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chuangxintou\"/>
    </mc:Choice>
  </mc:AlternateContent>
  <xr:revisionPtr revIDLastSave="0" documentId="8_{5426630D-3018-4BF0-8ADB-98A2BD8214ED}" xr6:coauthVersionLast="47" xr6:coauthVersionMax="47" xr10:uidLastSave="{00000000-0000-0000-0000-000000000000}"/>
  <bookViews>
    <workbookView xWindow="-120" yWindow="-120" windowWidth="29040" windowHeight="15720" activeTab="1" xr2:uid="{9748D156-A3E1-4848-8277-7BF5CB68F827}"/>
  </bookViews>
  <sheets>
    <sheet name="合约状态" sheetId="1" r:id="rId1"/>
    <sheet name="实时行情" sheetId="4" r:id="rId2"/>
    <sheet name="了结合约" sheetId="7" r:id="rId3"/>
    <sheet name="Sheet2" sheetId="15" r:id="rId4"/>
  </sheets>
  <externalReferences>
    <externalReference r:id="rId5"/>
    <externalReference r:id="rId6"/>
  </externalReferences>
  <calcPr calcId="191029" calcMode="manual" iterate="1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AA19" i="7"/>
  <c r="A2" i="4" l="1"/>
  <c r="P2" i="1" s="1"/>
  <c r="C3" i="15"/>
  <c r="D3" i="15"/>
  <c r="B3" i="15"/>
  <c r="E7" i="4"/>
  <c r="D27" i="4"/>
  <c r="B2" i="4" a="1"/>
  <c r="H2" i="1" l="1"/>
  <c r="Q2" i="1"/>
  <c r="N2" i="1"/>
  <c r="B2" i="4"/>
  <c r="G4" i="1"/>
  <c r="G5" i="1"/>
  <c r="G6" i="1"/>
  <c r="G7" i="1"/>
  <c r="G8" i="1"/>
  <c r="G3" i="1"/>
  <c r="D35" i="4"/>
  <c r="I2" i="1" a="1"/>
  <c r="R2" i="1" a="1"/>
  <c r="I2" i="1" l="1"/>
  <c r="L2" i="1"/>
  <c r="R2" i="1"/>
  <c r="R9" i="7"/>
  <c r="C29" i="4" l="1"/>
  <c r="D29" i="4"/>
  <c r="B29" i="4"/>
  <c r="AB9" i="7"/>
  <c r="AA20" i="7" s="1"/>
  <c r="L9" i="7"/>
  <c r="C27" i="4"/>
  <c r="B27" i="4"/>
  <c r="C24" i="4"/>
  <c r="B24" i="4"/>
  <c r="C20" i="4"/>
  <c r="B20" i="4"/>
  <c r="H3" i="1"/>
  <c r="D7" i="4"/>
  <c r="C7" i="4"/>
  <c r="B7" i="4"/>
  <c r="C11" i="4"/>
  <c r="B11" i="4"/>
  <c r="H4" i="1" l="1"/>
  <c r="H5" i="1"/>
  <c r="H6" i="1"/>
  <c r="H7" i="1"/>
  <c r="H8" i="1"/>
  <c r="Q4" i="1"/>
  <c r="Q3" i="1"/>
  <c r="P4" i="1"/>
  <c r="N4" i="1" s="1"/>
  <c r="P3" i="1"/>
  <c r="AA18" i="7"/>
  <c r="Q7" i="1"/>
  <c r="Q5" i="1"/>
  <c r="P6" i="1"/>
  <c r="N6" i="1" s="1"/>
  <c r="P5" i="1"/>
  <c r="N5" i="1" s="1"/>
  <c r="P8" i="1"/>
  <c r="N8" i="1" s="1"/>
  <c r="P7" i="1"/>
  <c r="N7" i="1" s="1"/>
  <c r="E29" i="4"/>
  <c r="G29" i="4" s="1"/>
  <c r="Q6" i="1"/>
  <c r="Q8" i="1"/>
  <c r="C23" i="4"/>
  <c r="B23" i="4"/>
  <c r="C25" i="4"/>
  <c r="B25" i="4"/>
  <c r="I5" i="1" a="1"/>
  <c r="R8" i="1" a="1"/>
  <c r="I3" i="1" a="1"/>
  <c r="I6" i="1" a="1"/>
  <c r="I8" i="1" a="1"/>
  <c r="R4" i="1" a="1"/>
  <c r="R7" i="1" a="1"/>
  <c r="I4" i="1" a="1"/>
  <c r="I7" i="1" a="1"/>
  <c r="D8" i="4" a="1"/>
  <c r="R6" i="1" a="1"/>
  <c r="C8" i="4" a="1"/>
  <c r="R5" i="1" a="1"/>
  <c r="R3" i="1" a="1"/>
  <c r="E8" i="4" a="1"/>
  <c r="B8" i="4" a="1"/>
  <c r="E24" i="4" l="1"/>
  <c r="E25" i="4" s="1"/>
  <c r="E27" i="4"/>
  <c r="G27" i="4" s="1"/>
  <c r="N3" i="1"/>
  <c r="I3" i="1"/>
  <c r="L3" i="1"/>
  <c r="R4" i="1"/>
  <c r="I4" i="1"/>
  <c r="L4" i="1"/>
  <c r="I5" i="1"/>
  <c r="R7" i="1"/>
  <c r="I7" i="1"/>
  <c r="R6" i="1"/>
  <c r="I6" i="1"/>
  <c r="I8" i="1"/>
  <c r="D8" i="4"/>
  <c r="E8" i="4"/>
  <c r="L5" i="1"/>
  <c r="B8" i="4"/>
  <c r="L6" i="1"/>
  <c r="L8" i="1"/>
  <c r="L7" i="1"/>
  <c r="C8" i="4"/>
  <c r="R8" i="1"/>
  <c r="R3" i="1"/>
  <c r="R5" i="1"/>
  <c r="AM3" i="1" a="1"/>
  <c r="AM2" i="1" a="1"/>
  <c r="AM9" i="7" a="1"/>
  <c r="AM5" i="7" a="1"/>
  <c r="AM6" i="1" a="1"/>
  <c r="AM8" i="7" a="1"/>
  <c r="AM6" i="7" a="1"/>
  <c r="AM8" i="1" a="1"/>
  <c r="AM4" i="7" a="1"/>
  <c r="AM4" i="1" a="1"/>
  <c r="AM7" i="1" a="1"/>
  <c r="AM7" i="7" a="1"/>
  <c r="AM2" i="7" a="1"/>
  <c r="AM3" i="7" a="1"/>
  <c r="AM5" i="1" a="1"/>
  <c r="AM2" i="1" l="1"/>
  <c r="AM3" i="1"/>
  <c r="AM2" i="7"/>
  <c r="AM7" i="1"/>
  <c r="AM4" i="1"/>
  <c r="AM5" i="1"/>
  <c r="AM6" i="1"/>
  <c r="AM8" i="1"/>
  <c r="AM3" i="7"/>
  <c r="AM4" i="7"/>
  <c r="AM5" i="7"/>
  <c r="AM6" i="7"/>
  <c r="AM9" i="7"/>
  <c r="AM8" i="7"/>
  <c r="AM7" i="7"/>
  <c r="E34" i="4" l="1"/>
  <c r="E11" i="4"/>
  <c r="D34" i="4"/>
  <c r="D11" i="4"/>
  <c r="C12" i="4"/>
  <c r="B12" i="4"/>
  <c r="B30" i="4" s="1"/>
  <c r="B35" i="4" l="1"/>
  <c r="B34" i="4"/>
  <c r="C13" i="4"/>
  <c r="C30" i="4"/>
  <c r="B13" i="4"/>
  <c r="C35" i="4" l="1"/>
  <c r="C34" i="4"/>
  <c r="G34" i="4" s="1"/>
  <c r="E12" i="4" l="1"/>
  <c r="E30" i="4" l="1"/>
  <c r="E35" i="4" s="1"/>
  <c r="G35" i="4" s="1"/>
  <c r="D12" i="4"/>
  <c r="D24" i="4"/>
  <c r="D25" i="4" s="1"/>
  <c r="G25" i="4" s="1"/>
  <c r="D20" i="4"/>
  <c r="D23" i="4" s="1"/>
  <c r="G12" i="4" l="1"/>
  <c r="D30" i="4"/>
  <c r="E17" i="4"/>
  <c r="E16" i="4"/>
  <c r="D17" i="4"/>
  <c r="C17" i="4"/>
  <c r="D16" i="4"/>
  <c r="B17" i="4"/>
  <c r="C16" i="4"/>
  <c r="B16" i="4"/>
  <c r="E13" i="4"/>
  <c r="G30" i="4" l="1"/>
  <c r="G16" i="4"/>
  <c r="G17" i="4"/>
  <c r="G11" i="4"/>
  <c r="D13" i="4"/>
  <c r="G13" i="4" s="1"/>
  <c r="E20" i="4" l="1"/>
  <c r="E23" i="4" s="1"/>
  <c r="G23" i="4" s="1"/>
  <c r="G2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AN13" authorId="0" shapeId="0" xr:uid="{57FF667D-2C38-45BB-B5BF-E919CD222773}">
      <text>
        <r>
          <rPr>
            <b/>
            <sz val="9"/>
            <color indexed="81"/>
            <rFont val="宋体"/>
            <family val="3"/>
            <charset val="134"/>
          </rPr>
          <t>点击此格计算公式前务必关闭自动计算！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<sst xmlns="http://schemas.openxmlformats.org/spreadsheetml/2006/main" count="184" uniqueCount="108">
  <si>
    <t>挂钩标的</t>
    <phoneticPr fontId="1" type="noConversion"/>
  </si>
  <si>
    <t>名义本金</t>
    <phoneticPr fontId="1" type="noConversion"/>
  </si>
  <si>
    <t>期初价格</t>
    <phoneticPr fontId="1" type="noConversion"/>
  </si>
  <si>
    <t>起息日</t>
    <phoneticPr fontId="1" type="noConversion"/>
  </si>
  <si>
    <t>敲入障碍价格</t>
    <phoneticPr fontId="1" type="noConversion"/>
  </si>
  <si>
    <t>敲入执行价格</t>
    <phoneticPr fontId="1" type="noConversion"/>
  </si>
  <si>
    <t>敲入参与率</t>
    <phoneticPr fontId="1" type="noConversion"/>
  </si>
  <si>
    <t>红利票息</t>
    <phoneticPr fontId="1" type="noConversion"/>
  </si>
  <si>
    <t>保证金比例</t>
    <phoneticPr fontId="1" type="noConversion"/>
  </si>
  <si>
    <t>最大亏损比例</t>
    <phoneticPr fontId="1" type="noConversion"/>
  </si>
  <si>
    <t>000905.SH</t>
    <phoneticPr fontId="1" type="noConversion"/>
  </si>
  <si>
    <t>NPV</t>
    <phoneticPr fontId="1" type="noConversion"/>
  </si>
  <si>
    <t>DELTA</t>
    <phoneticPr fontId="1" type="noConversion"/>
  </si>
  <si>
    <t>GAMMA</t>
    <phoneticPr fontId="1" type="noConversion"/>
  </si>
  <si>
    <t>VEGA</t>
    <phoneticPr fontId="1" type="noConversion"/>
  </si>
  <si>
    <t>THETA</t>
    <phoneticPr fontId="1" type="noConversion"/>
  </si>
  <si>
    <t xml:space="preserve">RHO </t>
    <phoneticPr fontId="1" type="noConversion"/>
  </si>
  <si>
    <t>RHO Q</t>
    <phoneticPr fontId="1" type="noConversion"/>
  </si>
  <si>
    <t>RISK FREE RATE</t>
    <phoneticPr fontId="1" type="noConversion"/>
  </si>
  <si>
    <t>CARRY COST</t>
    <phoneticPr fontId="1" type="noConversion"/>
  </si>
  <si>
    <t>VOLATILITY</t>
    <phoneticPr fontId="1" type="noConversion"/>
  </si>
  <si>
    <t>已了结收益</t>
    <phoneticPr fontId="1" type="noConversion"/>
  </si>
  <si>
    <t>合约编号</t>
    <phoneticPr fontId="1" type="noConversion"/>
  </si>
  <si>
    <t>沪深300</t>
    <phoneticPr fontId="1" type="noConversion"/>
  </si>
  <si>
    <t>SPOT</t>
    <phoneticPr fontId="1" type="noConversion"/>
  </si>
  <si>
    <t>DATE</t>
    <phoneticPr fontId="1" type="noConversion"/>
  </si>
  <si>
    <t>每日观察敲入</t>
    <phoneticPr fontId="1" type="noConversion"/>
  </si>
  <si>
    <t>是否已敲入</t>
    <phoneticPr fontId="1" type="noConversion"/>
  </si>
  <si>
    <t>实时观察</t>
    <phoneticPr fontId="1" type="noConversion"/>
  </si>
  <si>
    <t>中证500</t>
    <phoneticPr fontId="1" type="noConversion"/>
  </si>
  <si>
    <t>中证1000</t>
    <phoneticPr fontId="1" type="noConversion"/>
  </si>
  <si>
    <t>000300.SH</t>
    <phoneticPr fontId="1" type="noConversion"/>
  </si>
  <si>
    <t>000852.SH</t>
    <phoneticPr fontId="1" type="noConversion"/>
  </si>
  <si>
    <t>当日估值</t>
    <phoneticPr fontId="1" type="noConversion"/>
  </si>
  <si>
    <t>昨日估值</t>
    <phoneticPr fontId="1" type="noConversion"/>
  </si>
  <si>
    <t>当日盈亏</t>
    <phoneticPr fontId="1" type="noConversion"/>
  </si>
  <si>
    <t>D:\Quotation\China</t>
    <phoneticPr fontId="1" type="noConversion"/>
  </si>
  <si>
    <t>000852.SH</t>
  </si>
  <si>
    <t>SNB</t>
    <phoneticPr fontId="1" type="noConversion"/>
  </si>
  <si>
    <t>PHX</t>
    <phoneticPr fontId="1" type="noConversion"/>
  </si>
  <si>
    <t>派息观察日</t>
    <phoneticPr fontId="1" type="noConversion"/>
  </si>
  <si>
    <t>派息月息</t>
    <phoneticPr fontId="1" type="noConversion"/>
  </si>
  <si>
    <t>中证 50</t>
    <phoneticPr fontId="1" type="noConversion"/>
  </si>
  <si>
    <t>000016.SH</t>
    <phoneticPr fontId="1" type="noConversion"/>
  </si>
  <si>
    <t>上一交易日</t>
    <phoneticPr fontId="1" type="noConversion"/>
  </si>
  <si>
    <t>000905.SH</t>
  </si>
  <si>
    <t>敲出观察</t>
    <phoneticPr fontId="1" type="noConversion"/>
  </si>
  <si>
    <t>敲出障碍</t>
    <phoneticPr fontId="1" type="noConversion"/>
  </si>
  <si>
    <t>合计</t>
    <phoneticPr fontId="1" type="noConversion"/>
  </si>
  <si>
    <t>昨日NPV</t>
    <phoneticPr fontId="1" type="noConversion"/>
  </si>
  <si>
    <t>当前点位</t>
    <phoneticPr fontId="1" type="noConversion"/>
  </si>
  <si>
    <t>昨日收盘</t>
    <phoneticPr fontId="1" type="noConversion"/>
  </si>
  <si>
    <t>合约类型</t>
    <phoneticPr fontId="1" type="noConversion"/>
  </si>
  <si>
    <t>标的</t>
    <phoneticPr fontId="1" type="noConversion"/>
  </si>
  <si>
    <t>DELTACASH</t>
    <phoneticPr fontId="1" type="noConversion"/>
  </si>
  <si>
    <t>已实现收益</t>
    <phoneticPr fontId="1" type="noConversion"/>
  </si>
  <si>
    <t>累积收益</t>
    <phoneticPr fontId="1" type="noConversion"/>
  </si>
  <si>
    <t>TERMINATION DATE</t>
    <phoneticPr fontId="1" type="noConversion"/>
  </si>
  <si>
    <t>25年 合计</t>
    <phoneticPr fontId="1" type="noConversion"/>
  </si>
  <si>
    <t>26年合计</t>
    <phoneticPr fontId="1" type="noConversion"/>
  </si>
  <si>
    <t>2026.1.23</t>
    <phoneticPr fontId="1" type="noConversion"/>
  </si>
  <si>
    <t>2025.10.20</t>
    <phoneticPr fontId="1" type="noConversion"/>
  </si>
  <si>
    <t>2025.10.27</t>
    <phoneticPr fontId="1" type="noConversion"/>
  </si>
  <si>
    <t>2025.10.29</t>
    <phoneticPr fontId="1" type="noConversion"/>
  </si>
  <si>
    <t>2025.11.6</t>
    <phoneticPr fontId="1" type="noConversion"/>
  </si>
  <si>
    <t>2025.12.22</t>
    <phoneticPr fontId="1" type="noConversion"/>
  </si>
  <si>
    <t>存续估值</t>
    <phoneticPr fontId="1" type="noConversion"/>
  </si>
  <si>
    <t>累积估值</t>
    <phoneticPr fontId="1" type="noConversion"/>
  </si>
  <si>
    <t>2026.1.30</t>
    <phoneticPr fontId="1" type="noConversion"/>
  </si>
  <si>
    <t>2026.2.3</t>
    <phoneticPr fontId="1" type="noConversion"/>
  </si>
  <si>
    <t>2026.2.24</t>
    <phoneticPr fontId="1" type="noConversion"/>
  </si>
  <si>
    <t>2026.2.25</t>
    <phoneticPr fontId="1" type="noConversion"/>
  </si>
  <si>
    <t>存量合约估值情景分析</t>
    <phoneticPr fontId="1" type="noConversion"/>
  </si>
  <si>
    <t>起始日期</t>
  </si>
  <si>
    <t>起始日期</t>
    <phoneticPr fontId="1" type="noConversion"/>
  </si>
  <si>
    <t>敲入点位</t>
  </si>
  <si>
    <t>敲入点位</t>
    <phoneticPr fontId="1" type="noConversion"/>
  </si>
  <si>
    <t>距离敲出线</t>
  </si>
  <si>
    <t>距离敲出线</t>
    <phoneticPr fontId="1" type="noConversion"/>
  </si>
  <si>
    <t>下一敲出观察</t>
  </si>
  <si>
    <t>下一敲出观察</t>
    <phoneticPr fontId="1" type="noConversion"/>
  </si>
  <si>
    <t>次级票息</t>
  </si>
  <si>
    <t>次级票息</t>
    <phoneticPr fontId="1" type="noConversion"/>
  </si>
  <si>
    <t>下次敲出票息</t>
  </si>
  <si>
    <t>下次敲出票息</t>
    <phoneticPr fontId="1" type="noConversion"/>
  </si>
  <si>
    <t>下一敲出票息率</t>
  </si>
  <si>
    <t>下一敲出票息率</t>
    <phoneticPr fontId="1" type="noConversion"/>
  </si>
  <si>
    <t>敲入距离</t>
  </si>
  <si>
    <t>敲入距离</t>
    <phoneticPr fontId="1" type="noConversion"/>
  </si>
  <si>
    <t>距离合约结束</t>
  </si>
  <si>
    <t>距离合约结束</t>
    <phoneticPr fontId="1" type="noConversion"/>
  </si>
  <si>
    <t>合约类型</t>
  </si>
  <si>
    <t>合约编号</t>
  </si>
  <si>
    <t>名义本金</t>
  </si>
  <si>
    <t>挂钩标的</t>
  </si>
  <si>
    <t>期初价格</t>
  </si>
  <si>
    <t>了结日期</t>
    <phoneticPr fontId="1" type="noConversion"/>
  </si>
  <si>
    <t>敲出线下总名本</t>
    <phoneticPr fontId="1" type="noConversion"/>
  </si>
  <si>
    <t>敲出线上总名本</t>
    <phoneticPr fontId="1" type="noConversion"/>
  </si>
  <si>
    <t>（风险度）</t>
    <phoneticPr fontId="1" type="noConversion"/>
  </si>
  <si>
    <t>1% GAMMACASH</t>
    <phoneticPr fontId="1" type="noConversion"/>
  </si>
  <si>
    <t>1Day THETA</t>
    <phoneticPr fontId="1" type="noConversion"/>
  </si>
  <si>
    <t>GREEKS</t>
    <phoneticPr fontId="1" type="noConversion"/>
  </si>
  <si>
    <t>悲观（7000）</t>
    <phoneticPr fontId="1" type="noConversion"/>
  </si>
  <si>
    <t>横盘（8000）</t>
    <phoneticPr fontId="1" type="noConversion"/>
  </si>
  <si>
    <t>乐观（9000）</t>
    <phoneticPr fontId="1" type="noConversion"/>
  </si>
  <si>
    <t>当前（7746）</t>
    <phoneticPr fontId="1" type="noConversion"/>
  </si>
  <si>
    <t>2026.3.30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</si>
</sst>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76" formatCode="0.0000%"/>
    <numFmt numFmtId="177" formatCode="0.00_ "/>
    <numFmt numFmtId="178" formatCode="yyyy/mm/dd\ hh:mm"/>
    <numFmt numFmtId="179" formatCode="yyyy\-mm\-dd"/>
    <numFmt numFmtId="180" formatCode="yyyy/m/d\ h:mm;@"/>
    <numFmt numFmtId="181" formatCode="#,##0.00_ "/>
    <numFmt numFmtId="182" formatCode="0.00_);[Red]\(0.00\)"/>
    <numFmt numFmtId="183" formatCode="0.000%"/>
    <numFmt numFmtId="184" formatCode="#,##0.00_);[Red]\(#,##0.00\)"/>
    <numFmt numFmtId="185" formatCode="0.00000%"/>
    <numFmt numFmtId="186" formatCode="0.0%"/>
    <numFmt numFmtId="187" formatCode="0.0_ "/>
    <numFmt numFmtId="188" formatCode="#,##0.00_ ;[Red]\-#,##0.00\ "/>
    <numFmt numFmtId="189" formatCode="0.00_ ;[Red]\-0.00\ "/>
    <numFmt numFmtId="190" formatCode="yyyy/mm/dd"/>
    <numFmt numFmtId="191" formatCode="#,##0_);[Red]\(#,##0\)"/>
  </numFmts>
  <fonts count="8" x14ac:knownFonts="1">
    <font>
      <sz val="11"/>
      <color rgb="FF012B5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1"/>
      <color rgb="FF012B51"/>
      <name val="等线"/>
      <family val="3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2" borderId="0" xfId="0" applyNumberFormat="1" applyFill="1" applyAlignment="1">
      <alignment horizontal="left" vertical="center" indent="1"/>
    </xf>
    <xf numFmtId="0" fontId="0" fillId="3" borderId="0" xfId="0" applyFill="1">
      <alignment vertical="center"/>
    </xf>
    <xf numFmtId="179" fontId="3" fillId="0" borderId="0" xfId="1" applyNumberFormat="1">
      <alignment vertical="center"/>
    </xf>
    <xf numFmtId="14" fontId="3" fillId="0" borderId="0" xfId="1" applyNumberFormat="1">
      <alignment vertical="center"/>
    </xf>
    <xf numFmtId="180" fontId="0" fillId="0" borderId="0" xfId="0" applyNumberFormat="1">
      <alignment vertical="center"/>
    </xf>
    <xf numFmtId="177" fontId="0" fillId="4" borderId="0" xfId="0" applyNumberFormat="1" applyFill="1">
      <alignment vertical="center"/>
    </xf>
    <xf numFmtId="10" fontId="0" fillId="0" borderId="0" xfId="3" applyNumberFormat="1" applyFont="1">
      <alignment vertical="center"/>
    </xf>
    <xf numFmtId="0" fontId="0" fillId="6" borderId="0" xfId="0" applyFill="1">
      <alignment vertical="center"/>
    </xf>
    <xf numFmtId="177" fontId="0" fillId="6" borderId="0" xfId="0" applyNumberFormat="1" applyFill="1">
      <alignment vertical="center"/>
    </xf>
    <xf numFmtId="182" fontId="0" fillId="0" borderId="0" xfId="2" applyNumberFormat="1" applyFont="1">
      <alignment vertical="center"/>
    </xf>
    <xf numFmtId="9" fontId="0" fillId="0" borderId="0" xfId="3" applyFont="1">
      <alignment vertical="center"/>
    </xf>
    <xf numFmtId="182" fontId="0" fillId="0" borderId="0" xfId="0" applyNumberFormat="1">
      <alignment vertical="center"/>
    </xf>
    <xf numFmtId="184" fontId="0" fillId="0" borderId="0" xfId="0" applyNumberFormat="1">
      <alignment vertical="center"/>
    </xf>
    <xf numFmtId="185" fontId="0" fillId="0" borderId="0" xfId="0" applyNumberFormat="1">
      <alignment vertical="center"/>
    </xf>
    <xf numFmtId="0" fontId="3" fillId="0" borderId="0" xfId="1">
      <alignment vertical="center"/>
    </xf>
    <xf numFmtId="182" fontId="0" fillId="3" borderId="0" xfId="0" applyNumberFormat="1" applyFill="1">
      <alignment vertical="center"/>
    </xf>
    <xf numFmtId="176" fontId="0" fillId="6" borderId="0" xfId="0" applyNumberFormat="1" applyFill="1">
      <alignment vertical="center"/>
    </xf>
    <xf numFmtId="14" fontId="0" fillId="6" borderId="0" xfId="0" applyNumberFormat="1" applyFill="1">
      <alignment vertical="center"/>
    </xf>
    <xf numFmtId="0" fontId="0" fillId="6" borderId="0" xfId="0" applyFill="1" applyAlignment="1">
      <alignment horizontal="center" vertical="center"/>
    </xf>
    <xf numFmtId="10" fontId="0" fillId="6" borderId="0" xfId="0" applyNumberFormat="1" applyFill="1">
      <alignment vertical="center"/>
    </xf>
    <xf numFmtId="14" fontId="0" fillId="6" borderId="0" xfId="0" applyNumberFormat="1" applyFill="1" applyAlignment="1">
      <alignment horizontal="center" vertical="center"/>
    </xf>
    <xf numFmtId="9" fontId="0" fillId="6" borderId="0" xfId="0" applyNumberFormat="1" applyFill="1">
      <alignment vertical="center"/>
    </xf>
    <xf numFmtId="186" fontId="0" fillId="0" borderId="0" xfId="3" applyNumberFormat="1" applyFont="1">
      <alignment vertical="center"/>
    </xf>
    <xf numFmtId="18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6" fontId="0" fillId="0" borderId="0" xfId="3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7" fontId="0" fillId="0" borderId="0" xfId="3" applyNumberFormat="1" applyFont="1" applyAlignment="1">
      <alignment horizontal="center" vertical="center"/>
    </xf>
    <xf numFmtId="187" fontId="0" fillId="0" borderId="0" xfId="3" applyNumberFormat="1" applyFont="1">
      <alignment vertical="center"/>
    </xf>
    <xf numFmtId="22" fontId="0" fillId="0" borderId="0" xfId="0" applyNumberFormat="1" applyAlignment="1">
      <alignment horizontal="center" vertical="center"/>
    </xf>
    <xf numFmtId="2" fontId="0" fillId="0" borderId="0" xfId="0" applyNumberFormat="1">
      <alignment vertical="center"/>
    </xf>
    <xf numFmtId="188" fontId="0" fillId="0" borderId="0" xfId="0" applyNumberFormat="1">
      <alignment vertical="center"/>
    </xf>
    <xf numFmtId="188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6" borderId="0" xfId="0" applyNumberFormat="1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188" fontId="0" fillId="6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" fontId="0" fillId="5" borderId="0" xfId="0" applyNumberFormat="1" applyFill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188" fontId="0" fillId="5" borderId="0" xfId="0" applyNumberForma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3" fontId="4" fillId="0" borderId="0" xfId="3" applyNumberFormat="1" applyFont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4" fontId="0" fillId="4" borderId="0" xfId="0" applyNumberFormat="1" applyFill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188" fontId="0" fillId="4" borderId="0" xfId="0" applyNumberFormat="1" applyFill="1" applyAlignment="1">
      <alignment horizontal="center" vertical="center"/>
    </xf>
    <xf numFmtId="190" fontId="0" fillId="2" borderId="0" xfId="0" applyNumberFormat="1" applyFill="1" applyAlignment="1">
      <alignment horizontal="right" vertical="center" indent="1"/>
    </xf>
    <xf numFmtId="190" fontId="7" fillId="2" borderId="0" xfId="0" applyNumberFormat="1" applyFont="1" applyFill="1" applyAlignment="1">
      <alignment horizontal="right" vertical="center" indent="1"/>
    </xf>
    <xf numFmtId="191" fontId="0" fillId="0" borderId="0" xfId="0" applyNumberFormat="1" applyAlignment="1">
      <alignment horizontal="center" vertical="center"/>
    </xf>
    <xf numFmtId="191" fontId="0" fillId="0" borderId="0" xfId="0" applyNumberFormat="1">
      <alignment vertical="center"/>
    </xf>
    <xf numFmtId="4" fontId="0" fillId="0" borderId="0" xfId="0" applyNumberFormat="1">
      <alignment vertical="center"/>
    </xf>
    <xf numFmtId="3" fontId="0" fillId="0" borderId="0" xfId="0" applyNumberFormat="1" applyAlignment="1">
      <alignment horizontal="center" vertical="center"/>
    </xf>
  </cellXfs>
  <cellStyles count="4">
    <cellStyle name="百分比" xfId="3" builtinId="5"/>
    <cellStyle name="常规" xfId="0" builtinId="0" customBuiltin="1"/>
    <cellStyle name="常规 2" xfId="1" xr:uid="{FDF423B8-93F0-4B6B-B44F-E5C6242A6765}"/>
    <cellStyle name="千位分隔" xfId="2" builtinId="3"/>
  </cellStyles>
  <dxfs count="21"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em.rtq">
      <tp>
        <v>4566.2236999999996</v>
        <stp/>
        <stp>EM_I_DQ_CLOSE</stp>
        <stp>2</stp>
        <stp>000300.SH</stp>
        <stp>2026-04-09</stp>
        <tr r="C8" s="4"/>
      </tp>
      <tp>
        <v>7921.4465</v>
        <stp/>
        <stp>EM_I_DQ_CLOSE</stp>
        <stp>2</stp>
        <stp>000852.SH</stp>
        <stp>2026-04-09</stp>
        <tr r="E8" s="4"/>
      </tp>
      <tp>
        <v>7898.6328999999996</v>
        <stp/>
        <stp>EM_I_DQ_CLOSE</stp>
        <stp>2</stp>
        <stp>000905.SH</stp>
        <stp>2026-04-09</stp>
        <tr r="D8" s="4"/>
      </tp>
      <tp>
        <v>2884.76</v>
        <stp/>
        <stp>EM_I_DQ_CLOSE</stp>
        <stp>2</stp>
        <stp>000016.SH</stp>
        <stp>2026-04-09</stp>
        <tr r="B8" s="4"/>
      </tp>
      <tp>
        <v>2899.5790000000002</v>
        <stp/>
        <stp>000016.SH</stp>
        <stp>NOW</stp>
        <tr r="B7" s="4"/>
      </tp>
      <tp>
        <v>4636.5649999999996</v>
        <stp/>
        <stp>000300.SH</stp>
        <stp>NOW</stp>
        <tr r="C7" s="4"/>
      </tp>
      <tp>
        <v>7969.3639999999996</v>
        <stp/>
        <stp>000905.SH</stp>
        <stp>NOW</stp>
        <tr r="D7" s="4"/>
      </tp>
      <tp>
        <v>7998.232</v>
        <stp/>
        <stp>000852.SH</stp>
        <stp>NOW</stp>
        <tr r="E7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存续敲出情况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实时行情!$A$16</c:f>
              <c:strCache>
                <c:ptCount val="1"/>
                <c:pt idx="0">
                  <c:v>敲出线上总名本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实时行情!$B$5:$E$5</c:f>
              <c:strCache>
                <c:ptCount val="4"/>
                <c:pt idx="0">
                  <c:v>中证 50</c:v>
                </c:pt>
                <c:pt idx="1">
                  <c:v>沪深300</c:v>
                </c:pt>
                <c:pt idx="2">
                  <c:v>中证500</c:v>
                </c:pt>
                <c:pt idx="3">
                  <c:v>中证1000</c:v>
                </c:pt>
              </c:strCache>
            </c:strRef>
          </c:cat>
          <c:val>
            <c:numRef>
              <c:f>实时行情!$B$16:$E$16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9-460F-B6D4-24944FCD2A0D}"/>
            </c:ext>
          </c:extLst>
        </c:ser>
        <c:ser>
          <c:idx val="1"/>
          <c:order val="1"/>
          <c:tx>
            <c:strRef>
              <c:f>实时行情!$A$17</c:f>
              <c:strCache>
                <c:ptCount val="1"/>
                <c:pt idx="0">
                  <c:v>敲出线下总名本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实时行情!$B$5:$E$5</c:f>
              <c:strCache>
                <c:ptCount val="4"/>
                <c:pt idx="0">
                  <c:v>中证 50</c:v>
                </c:pt>
                <c:pt idx="1">
                  <c:v>沪深300</c:v>
                </c:pt>
                <c:pt idx="2">
                  <c:v>中证500</c:v>
                </c:pt>
                <c:pt idx="3">
                  <c:v>中证1000</c:v>
                </c:pt>
              </c:strCache>
            </c:strRef>
          </c:cat>
          <c:val>
            <c:numRef>
              <c:f>实时行情!$B$17:$E$17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89-460F-B6D4-24944FCD2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886896"/>
        <c:axId val="507888336"/>
      </c:barChart>
      <c:catAx>
        <c:axId val="50788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7888336"/>
        <c:crosses val="autoZero"/>
        <c:auto val="1"/>
        <c:lblAlgn val="ctr"/>
        <c:lblOffset val="100"/>
        <c:noMultiLvlLbl val="0"/>
      </c:catAx>
      <c:valAx>
        <c:axId val="50788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788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存续</a:t>
            </a:r>
            <a:r>
              <a:rPr lang="zh-CN"/>
              <a:t>收益情况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实时行情!$A$12</c:f>
              <c:strCache>
                <c:ptCount val="1"/>
                <c:pt idx="0">
                  <c:v>当日估值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实时行情!$B$5:$E$5</c:f>
              <c:strCache>
                <c:ptCount val="4"/>
                <c:pt idx="0">
                  <c:v>中证 50</c:v>
                </c:pt>
                <c:pt idx="1">
                  <c:v>沪深300</c:v>
                </c:pt>
                <c:pt idx="2">
                  <c:v>中证500</c:v>
                </c:pt>
                <c:pt idx="3">
                  <c:v>中证1000</c:v>
                </c:pt>
              </c:strCache>
            </c:strRef>
          </c:cat>
          <c:val>
            <c:numRef>
              <c:f>实时行情!$B$12:$E$12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2253574.8281211113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4-47F2-93FC-FDE18DA61093}"/>
            </c:ext>
          </c:extLst>
        </c:ser>
        <c:ser>
          <c:idx val="1"/>
          <c:order val="1"/>
          <c:tx>
            <c:strRef>
              <c:f>实时行情!$A$29</c:f>
              <c:strCache>
                <c:ptCount val="1"/>
                <c:pt idx="0">
                  <c:v>已实现收益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实时行情!$B$5:$E$5</c:f>
              <c:strCache>
                <c:ptCount val="4"/>
                <c:pt idx="0">
                  <c:v>中证 50</c:v>
                </c:pt>
                <c:pt idx="1">
                  <c:v>沪深300</c:v>
                </c:pt>
                <c:pt idx="2">
                  <c:v>中证500</c:v>
                </c:pt>
                <c:pt idx="3">
                  <c:v>中证1000</c:v>
                </c:pt>
              </c:strCache>
            </c:strRef>
          </c:cat>
          <c:val>
            <c:numRef>
              <c:f>实时行情!$B$29:$E$29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2881016.436986302</c:v>
                </c:pt>
                <c:pt idx="3">
                  <c:v>5796812.6019178107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D4-47F2-93FC-FDE18DA610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5319951"/>
        <c:axId val="5315151"/>
      </c:barChart>
      <c:catAx>
        <c:axId val="531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15151"/>
        <c:crosses val="autoZero"/>
        <c:auto val="1"/>
        <c:lblAlgn val="ctr"/>
        <c:lblOffset val="100"/>
        <c:noMultiLvlLbl val="0"/>
      </c:catAx>
      <c:valAx>
        <c:axId val="53151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1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154782</xdr:colOff>
      <xdr:row>1</xdr:row>
      <xdr:rowOff>142874</xdr:rowOff>
    </xdr:from>
    <xdr:to>
      <xdr:col>16</xdr:col>
      <xdr:colOff>219076</xdr:colOff>
      <xdr:row>19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F03FB1C-4AE0-4AEF-FEC8-431E6FDC0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157162</xdr:colOff>
      <xdr:row>19</xdr:row>
      <xdr:rowOff>0</xdr:rowOff>
    </xdr:from>
    <xdr:to>
      <xdr:col>16</xdr:col>
      <xdr:colOff>228600</xdr:colOff>
      <xdr:row>35</xdr:row>
      <xdr:rowOff>57150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AE9784A-B1DB-ED09-B538-95B09253E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astmoney\Choice\config\Office\WinExcel\EMFunc.xla" TargetMode="External"/><Relationship Id="rId1" Type="http://schemas.openxmlformats.org/officeDocument/2006/relationships/externalLinkPath" Target="file:///C:\Eastmoney\Choice\config\Office\WinExcel\EMFunc.xla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ithub\chuangxintou\&#21382;&#21490;&#20272;&#20540;.xlsx" TargetMode="External"/><Relationship Id="rId1" Type="http://schemas.openxmlformats.org/officeDocument/2006/relationships/externalLinkPath" Target="&#21382;&#21490;&#20272;&#205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EM_I_DQ_CLOSE"/>
    </defined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历史行情"/>
    </sheetNames>
    <sheetDataSet>
      <sheetData sheetId="0">
        <row r="5">
          <cell r="L5">
            <v>10514.503843034729</v>
          </cell>
        </row>
        <row r="6">
          <cell r="L6">
            <v>50363.243581909483</v>
          </cell>
        </row>
        <row r="7">
          <cell r="L7">
            <v>68300.469938986353</v>
          </cell>
        </row>
        <row r="8">
          <cell r="L8">
            <v>57068.686015685162</v>
          </cell>
        </row>
        <row r="9">
          <cell r="L9">
            <v>108276.02989139341</v>
          </cell>
        </row>
        <row r="10">
          <cell r="L10">
            <v>115011.33012369348</v>
          </cell>
        </row>
        <row r="11">
          <cell r="L11">
            <v>148096.6936752685</v>
          </cell>
        </row>
        <row r="12">
          <cell r="L12">
            <v>242226.87181082909</v>
          </cell>
        </row>
        <row r="13">
          <cell r="L13">
            <v>162604.23855115709</v>
          </cell>
        </row>
        <row r="14">
          <cell r="L14">
            <v>19612.230276743925</v>
          </cell>
        </row>
        <row r="15">
          <cell r="L15">
            <v>29442.888811831508</v>
          </cell>
        </row>
        <row r="16">
          <cell r="L16">
            <v>170588.07400018239</v>
          </cell>
        </row>
        <row r="17">
          <cell r="L17">
            <v>272222.7755669629</v>
          </cell>
        </row>
        <row r="18">
          <cell r="L18">
            <v>396640.53020400717</v>
          </cell>
        </row>
        <row r="19">
          <cell r="L19">
            <v>376598.75617671304</v>
          </cell>
        </row>
        <row r="20">
          <cell r="L20">
            <v>349867.25060944026</v>
          </cell>
        </row>
        <row r="21">
          <cell r="L21">
            <v>569968.82382881839</v>
          </cell>
        </row>
        <row r="22">
          <cell r="L22">
            <v>645659.25165802159</v>
          </cell>
        </row>
        <row r="23">
          <cell r="L23">
            <v>850689.22125700233</v>
          </cell>
        </row>
        <row r="24">
          <cell r="L24">
            <v>707487.72974834475</v>
          </cell>
        </row>
        <row r="25">
          <cell r="L25">
            <v>981053.44987541367</v>
          </cell>
        </row>
        <row r="26">
          <cell r="L26">
            <v>1134145.2428692337</v>
          </cell>
        </row>
        <row r="27">
          <cell r="L27">
            <v>1136280.2498419262</v>
          </cell>
        </row>
        <row r="28">
          <cell r="L28">
            <v>1222497.637733364</v>
          </cell>
        </row>
        <row r="29">
          <cell r="L29">
            <v>1148086.2415114997</v>
          </cell>
        </row>
        <row r="30">
          <cell r="L30">
            <v>1322553.8696434607</v>
          </cell>
        </row>
        <row r="31">
          <cell r="L31">
            <v>1454078.3689217637</v>
          </cell>
        </row>
        <row r="32">
          <cell r="L32">
            <v>1468903.0518520197</v>
          </cell>
        </row>
        <row r="33">
          <cell r="L33">
            <v>1366590.0616826208</v>
          </cell>
        </row>
        <row r="34">
          <cell r="L34">
            <v>1489858.782145537</v>
          </cell>
        </row>
        <row r="35">
          <cell r="L35">
            <v>1503486.3517702215</v>
          </cell>
        </row>
        <row r="36">
          <cell r="L36">
            <v>1552454.9824676451</v>
          </cell>
        </row>
        <row r="37">
          <cell r="L37">
            <v>1437458.7869554067</v>
          </cell>
        </row>
        <row r="38">
          <cell r="L38">
            <v>1343681.1586202113</v>
          </cell>
        </row>
        <row r="39">
          <cell r="L39">
            <v>1109312.282117469</v>
          </cell>
        </row>
        <row r="40">
          <cell r="L40">
            <v>1415789.9824857288</v>
          </cell>
        </row>
        <row r="41">
          <cell r="L41">
            <v>1489980.7527909563</v>
          </cell>
        </row>
        <row r="42">
          <cell r="L42">
            <v>1431073.4268073412</v>
          </cell>
        </row>
        <row r="43">
          <cell r="L43">
            <v>1447598.519693803</v>
          </cell>
        </row>
        <row r="44">
          <cell r="L44">
            <v>1585295.1291433848</v>
          </cell>
        </row>
        <row r="45">
          <cell r="L45">
            <v>1606515.9483487934</v>
          </cell>
        </row>
        <row r="46">
          <cell r="L46">
            <v>1611690.4945578808</v>
          </cell>
        </row>
        <row r="47">
          <cell r="L47">
            <v>1649487.3648616944</v>
          </cell>
        </row>
        <row r="48">
          <cell r="L48">
            <v>1681676.136745289</v>
          </cell>
        </row>
        <row r="49">
          <cell r="L49">
            <v>1663294.9242458425</v>
          </cell>
        </row>
        <row r="50">
          <cell r="L50">
            <v>1656584.9901199373</v>
          </cell>
        </row>
        <row r="51">
          <cell r="L51">
            <v>1683793.7523735177</v>
          </cell>
        </row>
        <row r="52">
          <cell r="L52">
            <v>1661301.1529224925</v>
          </cell>
        </row>
        <row r="53">
          <cell r="L53">
            <v>1864334.3936338574</v>
          </cell>
        </row>
        <row r="54">
          <cell r="L54">
            <v>1842161.9340599389</v>
          </cell>
        </row>
        <row r="55">
          <cell r="L55">
            <v>1693761.1675601522</v>
          </cell>
        </row>
        <row r="56">
          <cell r="L56">
            <v>1860710.0924772962</v>
          </cell>
        </row>
        <row r="57">
          <cell r="L57">
            <v>1975219.9492594607</v>
          </cell>
        </row>
        <row r="58">
          <cell r="L58">
            <v>2071405.8221781319</v>
          </cell>
        </row>
        <row r="59">
          <cell r="L59">
            <v>1953867.9599875191</v>
          </cell>
        </row>
        <row r="60">
          <cell r="L60">
            <v>1757294.9767166905</v>
          </cell>
        </row>
        <row r="61">
          <cell r="L61">
            <v>1750689.5794588062</v>
          </cell>
        </row>
        <row r="62">
          <cell r="L62">
            <v>1932963.0516375713</v>
          </cell>
        </row>
        <row r="63">
          <cell r="L63">
            <v>1829208.5047261452</v>
          </cell>
        </row>
        <row r="64">
          <cell r="L64">
            <v>1444338.2244451672</v>
          </cell>
        </row>
        <row r="65">
          <cell r="L65">
            <v>1573271.2839411523</v>
          </cell>
        </row>
        <row r="66">
          <cell r="L66">
            <v>1783071.0884258868</v>
          </cell>
        </row>
        <row r="67">
          <cell r="L67">
            <v>1738382.0973299486</v>
          </cell>
        </row>
        <row r="68">
          <cell r="L68">
            <v>1854150.6058505159</v>
          </cell>
        </row>
        <row r="69">
          <cell r="L69">
            <v>2177814.7115949914</v>
          </cell>
        </row>
        <row r="70">
          <cell r="L70">
            <v>2370806.5441656737</v>
          </cell>
        </row>
        <row r="71">
          <cell r="L71">
            <v>2357625.0895168236</v>
          </cell>
        </row>
        <row r="72">
          <cell r="L72">
            <v>2554505.6512924139</v>
          </cell>
        </row>
        <row r="73">
          <cell r="L73">
            <v>2322515.3320769263</v>
          </cell>
        </row>
        <row r="74">
          <cell r="L74">
            <v>2425789.8859143225</v>
          </cell>
        </row>
        <row r="75">
          <cell r="L75">
            <v>2676128.5680967574</v>
          </cell>
        </row>
        <row r="76">
          <cell r="L76">
            <v>2185992.1305483277</v>
          </cell>
        </row>
        <row r="77">
          <cell r="L77">
            <v>2357626.1799402842</v>
          </cell>
        </row>
        <row r="78">
          <cell r="L78">
            <v>2845452.1956134774</v>
          </cell>
        </row>
        <row r="79">
          <cell r="L79">
            <v>2827275.3742703749</v>
          </cell>
        </row>
        <row r="80">
          <cell r="L80">
            <v>2949324.4199345931</v>
          </cell>
        </row>
        <row r="81">
          <cell r="L81">
            <v>2847072.9161583241</v>
          </cell>
        </row>
        <row r="82">
          <cell r="L82">
            <v>2641067.7831440433</v>
          </cell>
        </row>
        <row r="83">
          <cell r="L83">
            <v>2689684.9100400731</v>
          </cell>
        </row>
        <row r="84">
          <cell r="L84">
            <v>2758572.9464200353</v>
          </cell>
        </row>
        <row r="85">
          <cell r="L85">
            <v>2867539.4099164712</v>
          </cell>
        </row>
        <row r="86">
          <cell r="L86">
            <v>2399742.3142138105</v>
          </cell>
        </row>
        <row r="87">
          <cell r="L87">
            <v>2131307.6197729688</v>
          </cell>
        </row>
        <row r="88">
          <cell r="L88">
            <v>1781558.482213703</v>
          </cell>
        </row>
        <row r="89">
          <cell r="L89">
            <v>-505112.34924315132</v>
          </cell>
        </row>
        <row r="90">
          <cell r="L90">
            <v>252777.96818196803</v>
          </cell>
        </row>
        <row r="91">
          <cell r="L91">
            <v>1118344.3914172782</v>
          </cell>
        </row>
        <row r="92">
          <cell r="L92">
            <v>1200625.0605635142</v>
          </cell>
        </row>
        <row r="93">
          <cell r="L93">
            <v>1238474.7934727734</v>
          </cell>
        </row>
        <row r="94">
          <cell r="L94">
            <v>1941417.5122021544</v>
          </cell>
        </row>
        <row r="95">
          <cell r="L95">
            <v>2461061.3556106193</v>
          </cell>
        </row>
        <row r="96">
          <cell r="L96">
            <v>1984881.4831413243</v>
          </cell>
        </row>
        <row r="97">
          <cell r="L97">
            <v>1570836.141151675</v>
          </cell>
        </row>
        <row r="98">
          <cell r="L98">
            <v>1687421.6325958981</v>
          </cell>
        </row>
        <row r="99">
          <cell r="L99">
            <v>2476794.2800034112</v>
          </cell>
        </row>
        <row r="100">
          <cell r="L100">
            <v>3099385.7425867482</v>
          </cell>
        </row>
        <row r="101">
          <cell r="L101">
            <v>2819823.1538476506</v>
          </cell>
        </row>
        <row r="102">
          <cell r="L102">
            <v>3098461.2164019714</v>
          </cell>
        </row>
        <row r="103">
          <cell r="L103">
            <v>2508209.7024819585</v>
          </cell>
        </row>
        <row r="104">
          <cell r="L104">
            <v>3116120.5007408853</v>
          </cell>
        </row>
        <row r="105">
          <cell r="L105">
            <v>2720053.1183448718</v>
          </cell>
        </row>
        <row r="106">
          <cell r="L106">
            <v>1720591.5309136568</v>
          </cell>
        </row>
        <row r="107">
          <cell r="L107">
            <v>2827240.8368537226</v>
          </cell>
        </row>
        <row r="108">
          <cell r="L108">
            <v>2673171.4187546037</v>
          </cell>
        </row>
        <row r="109">
          <cell r="L109">
            <v>3238545.0972218071</v>
          </cell>
        </row>
        <row r="110">
          <cell r="L110">
            <v>3902095.4418462403</v>
          </cell>
        </row>
        <row r="111">
          <cell r="L111">
            <v>3854169.3080699351</v>
          </cell>
        </row>
        <row r="112">
          <cell r="L112">
            <v>4546599.7502301512</v>
          </cell>
        </row>
        <row r="113">
          <cell r="L113">
            <v>4935975.5659327712</v>
          </cell>
        </row>
        <row r="114">
          <cell r="L114">
            <v>5190558.4237178015</v>
          </cell>
        </row>
        <row r="115">
          <cell r="L115">
            <v>5150506.9453692678</v>
          </cell>
        </row>
        <row r="116">
          <cell r="L116">
            <v>5281491.6018908015</v>
          </cell>
        </row>
        <row r="117">
          <cell r="L117">
            <v>5360075.0178805664</v>
          </cell>
        </row>
        <row r="118">
          <cell r="L118">
            <v>6485729.1578340791</v>
          </cell>
        </row>
        <row r="119">
          <cell r="L119">
            <v>7085426.9686337924</v>
          </cell>
        </row>
        <row r="120">
          <cell r="L120">
            <v>7291544.7436382631</v>
          </cell>
        </row>
        <row r="121">
          <cell r="L121">
            <v>7512462.3362697</v>
          </cell>
        </row>
        <row r="122">
          <cell r="L122">
            <v>8032095.289710247</v>
          </cell>
        </row>
        <row r="123">
          <cell r="L123">
            <v>8914681.638169203</v>
          </cell>
        </row>
        <row r="124">
          <cell r="L124">
            <v>8362655.0504622711</v>
          </cell>
        </row>
        <row r="125">
          <cell r="L125">
            <v>8666112.831641173</v>
          </cell>
        </row>
        <row r="126">
          <cell r="L126">
            <v>8647868.1917675436</v>
          </cell>
        </row>
        <row r="127">
          <cell r="L127">
            <v>8666139.449586479</v>
          </cell>
        </row>
        <row r="128">
          <cell r="L128">
            <v>8859873.1618741881</v>
          </cell>
        </row>
        <row r="129">
          <cell r="L129">
            <v>8548461.471772721</v>
          </cell>
        </row>
        <row r="130">
          <cell r="L130">
            <v>8888257.2225448899</v>
          </cell>
        </row>
        <row r="131">
          <cell r="L131">
            <v>9182706.9190132823</v>
          </cell>
        </row>
        <row r="132">
          <cell r="L132">
            <v>9759220.6549695302</v>
          </cell>
        </row>
        <row r="133">
          <cell r="L133">
            <v>9475294.8825032897</v>
          </cell>
        </row>
        <row r="134">
          <cell r="L134">
            <v>9769411.735867478</v>
          </cell>
        </row>
        <row r="135">
          <cell r="L135">
            <v>9912235.7055566497</v>
          </cell>
        </row>
        <row r="136">
          <cell r="L136">
            <v>9634863.6367282588</v>
          </cell>
        </row>
        <row r="137">
          <cell r="L137">
            <v>9272135.0814442579</v>
          </cell>
        </row>
        <row r="138">
          <cell r="L138">
            <v>7389924.6956144851</v>
          </cell>
        </row>
        <row r="139">
          <cell r="L139">
            <v>9126319.8127126805</v>
          </cell>
        </row>
        <row r="140">
          <cell r="L140">
            <v>9176542.7377469819</v>
          </cell>
        </row>
        <row r="141">
          <cell r="L141">
            <v>8286118.360486703</v>
          </cell>
        </row>
        <row r="142">
          <cell r="L142">
            <v>8266585.2290992066</v>
          </cell>
        </row>
        <row r="143">
          <cell r="L143">
            <v>9723502.3782162238</v>
          </cell>
        </row>
        <row r="144">
          <cell r="L144">
            <v>9908375.2536966633</v>
          </cell>
        </row>
        <row r="145">
          <cell r="L145">
            <v>9905890.1026740633</v>
          </cell>
        </row>
        <row r="146">
          <cell r="L146">
            <v>10126822.81297585</v>
          </cell>
        </row>
        <row r="147">
          <cell r="L147">
            <v>9823491.5886256937</v>
          </cell>
        </row>
        <row r="148">
          <cell r="L148">
            <v>10509127.131352706</v>
          </cell>
        </row>
        <row r="149">
          <cell r="L149">
            <v>11252242.043232158</v>
          </cell>
        </row>
        <row r="150">
          <cell r="L150">
            <v>11691148.310780551</v>
          </cell>
        </row>
        <row r="151">
          <cell r="L151">
            <v>12168720.659628224</v>
          </cell>
        </row>
        <row r="152">
          <cell r="L152">
            <v>11758995.440025553</v>
          </cell>
        </row>
        <row r="153">
          <cell r="L153">
            <v>9171582.5670925658</v>
          </cell>
        </row>
        <row r="154">
          <cell r="L154">
            <v>8773528.7519310601</v>
          </cell>
        </row>
        <row r="155">
          <cell r="L155">
            <v>9640151.2086432464</v>
          </cell>
        </row>
        <row r="156">
          <cell r="L156">
            <v>10433112.062445397</v>
          </cell>
        </row>
        <row r="157">
          <cell r="L157">
            <v>10130724.97831797</v>
          </cell>
        </row>
        <row r="158">
          <cell r="L158">
            <v>11399185.675757196</v>
          </cell>
        </row>
        <row r="159">
          <cell r="L159">
            <v>11577913.038744241</v>
          </cell>
        </row>
        <row r="160">
          <cell r="L160">
            <v>11467481.805312116</v>
          </cell>
        </row>
        <row r="161">
          <cell r="L161">
            <v>10594425.140749007</v>
          </cell>
        </row>
        <row r="162">
          <cell r="L162">
            <v>10662133.310988082</v>
          </cell>
        </row>
        <row r="163">
          <cell r="L163">
            <v>8857980.4838898648</v>
          </cell>
        </row>
        <row r="164">
          <cell r="L164">
            <v>9779927.225943774</v>
          </cell>
        </row>
        <row r="165">
          <cell r="L165">
            <v>7735159.2551845834</v>
          </cell>
        </row>
        <row r="166">
          <cell r="L166">
            <v>6102532.9259703252</v>
          </cell>
        </row>
        <row r="167">
          <cell r="L167">
            <v>-450705.82095695892</v>
          </cell>
        </row>
        <row r="168">
          <cell r="L168">
            <v>3331917.7084784289</v>
          </cell>
        </row>
        <row r="169">
          <cell r="L169">
            <v>5974115.7361695627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6AE5-E538-4C58-A46C-5856C4F6F420}">
  <dimension ref="A1:DA46"/>
  <sheetViews>
    <sheetView topLeftCell="AC1" workbookViewId="0">
      <selection activeCell="AL21" sqref="AL21"/>
    </sheetView>
  </sheetViews>
  <sheetFormatPr defaultRowHeight="14.25" x14ac:dyDescent="0.2"/>
  <cols>
    <col min="2" max="2" width="9" bestFit="1" customWidth="1"/>
    <col min="3" max="3" width="11.5" style="70" customWidth="1"/>
    <col min="4" max="4" width="10.125" bestFit="1" customWidth="1"/>
    <col min="5" max="5" width="16.5" style="6" bestFit="1" customWidth="1"/>
    <col min="7" max="7" width="9" style="39" bestFit="1" customWidth="1"/>
    <col min="8" max="8" width="9" style="29" bestFit="1" customWidth="1"/>
    <col min="9" max="9" width="11" bestFit="1" customWidth="1"/>
    <col min="10" max="10" width="13" style="3" bestFit="1" customWidth="1"/>
    <col min="11" max="11" width="15.125" style="4" bestFit="1" customWidth="1"/>
    <col min="12" max="12" width="13" style="71" bestFit="1" customWidth="1"/>
    <col min="13" max="13" width="9" style="4" bestFit="1" customWidth="1"/>
    <col min="14" max="14" width="13" style="6" bestFit="1" customWidth="1"/>
    <col min="15" max="15" width="2.75" style="6" customWidth="1"/>
    <col min="16" max="16" width="14.375" customWidth="1"/>
    <col min="17" max="17" width="9.25" customWidth="1"/>
    <col min="18" max="18" width="15.5" style="19" customWidth="1"/>
    <col min="19" max="19" width="10.375" customWidth="1"/>
    <col min="20" max="20" width="14.25" customWidth="1"/>
    <col min="21" max="21" width="12.875" customWidth="1"/>
    <col min="22" max="22" width="13.625" customWidth="1"/>
    <col min="23" max="23" width="14.375" customWidth="1"/>
    <col min="24" max="24" width="16.25" customWidth="1"/>
    <col min="25" max="25" width="13.75" style="4" customWidth="1"/>
    <col min="26" max="26" width="11.625" style="20" customWidth="1"/>
    <col min="27" max="27" width="10.25" style="4" customWidth="1"/>
    <col min="28" max="28" width="10.25" customWidth="1"/>
    <col min="29" max="29" width="11" customWidth="1"/>
    <col min="30" max="30" width="16.875" customWidth="1"/>
    <col min="31" max="31" width="12.625" customWidth="1"/>
    <col min="32" max="32" width="12" customWidth="1"/>
    <col min="33" max="33" width="11.75" customWidth="1"/>
    <col min="34" max="35" width="12.375" customWidth="1"/>
    <col min="37" max="37" width="16.625" customWidth="1"/>
    <col min="38" max="38" width="18.25" customWidth="1"/>
    <col min="39" max="39" width="18.25" style="6" customWidth="1"/>
    <col min="40" max="40" width="11.75" customWidth="1"/>
    <col min="41" max="41" width="11.625" customWidth="1"/>
    <col min="42" max="43" width="11.75" customWidth="1"/>
    <col min="44" max="48" width="11.625" customWidth="1"/>
    <col min="49" max="51" width="12" customWidth="1"/>
    <col min="52" max="52" width="11.875" customWidth="1"/>
    <col min="53" max="55" width="11.75" customWidth="1"/>
    <col min="56" max="60" width="11.625" customWidth="1"/>
    <col min="61" max="61" width="12" customWidth="1"/>
    <col min="62" max="63" width="11.625" style="4" customWidth="1"/>
    <col min="64" max="83" width="8.625" style="4" customWidth="1"/>
    <col min="84" max="84" width="12.25" style="4" customWidth="1"/>
    <col min="85" max="87" width="11.125" style="4" customWidth="1"/>
    <col min="88" max="96" width="10" style="4" customWidth="1"/>
    <col min="97" max="99" width="11.125" style="4" customWidth="1"/>
    <col min="100" max="105" width="10" style="4" customWidth="1"/>
    <col min="106" max="107" width="10" customWidth="1"/>
  </cols>
  <sheetData>
    <row r="1" spans="1:105" x14ac:dyDescent="0.2">
      <c r="A1" s="31" t="s">
        <v>52</v>
      </c>
      <c r="B1" s="31" t="s">
        <v>22</v>
      </c>
      <c r="C1" s="69" t="s">
        <v>1</v>
      </c>
      <c r="D1" s="31" t="s">
        <v>0</v>
      </c>
      <c r="E1" s="34" t="s">
        <v>74</v>
      </c>
      <c r="F1" s="31" t="s">
        <v>2</v>
      </c>
      <c r="G1" s="38" t="s">
        <v>76</v>
      </c>
      <c r="H1" s="35" t="s">
        <v>88</v>
      </c>
      <c r="I1" s="31" t="s">
        <v>78</v>
      </c>
      <c r="J1" s="32" t="s">
        <v>80</v>
      </c>
      <c r="K1" s="33" t="s">
        <v>86</v>
      </c>
      <c r="L1" s="45" t="s">
        <v>84</v>
      </c>
      <c r="M1" s="33" t="s">
        <v>82</v>
      </c>
      <c r="N1" s="34" t="s">
        <v>90</v>
      </c>
      <c r="O1" s="34" t="s">
        <v>96</v>
      </c>
      <c r="P1" s="31" t="s">
        <v>25</v>
      </c>
      <c r="Q1" t="s">
        <v>24</v>
      </c>
      <c r="R1" s="19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s="4" t="s">
        <v>18</v>
      </c>
      <c r="Z1" s="20" t="s">
        <v>19</v>
      </c>
      <c r="AA1" s="4" t="s">
        <v>20</v>
      </c>
      <c r="AB1" t="s">
        <v>21</v>
      </c>
      <c r="AC1" t="s">
        <v>2</v>
      </c>
      <c r="AD1" t="s">
        <v>3</v>
      </c>
      <c r="AE1" t="s">
        <v>4</v>
      </c>
      <c r="AF1" t="s">
        <v>26</v>
      </c>
      <c r="AG1" t="s">
        <v>5</v>
      </c>
      <c r="AH1" t="s">
        <v>6</v>
      </c>
      <c r="AI1" t="s">
        <v>27</v>
      </c>
      <c r="AJ1" t="s">
        <v>7</v>
      </c>
      <c r="AK1" t="s">
        <v>8</v>
      </c>
      <c r="AL1" t="s">
        <v>9</v>
      </c>
      <c r="AM1" s="6" t="s">
        <v>49</v>
      </c>
      <c r="AN1" t="s">
        <v>46</v>
      </c>
      <c r="AP1" t="s">
        <v>47</v>
      </c>
      <c r="AR1" s="4" t="s">
        <v>40</v>
      </c>
      <c r="AS1" s="4"/>
      <c r="AT1" s="4" t="s">
        <v>41</v>
      </c>
    </row>
    <row r="2" spans="1:105" x14ac:dyDescent="0.2">
      <c r="A2" s="31" t="s">
        <v>38</v>
      </c>
      <c r="B2" s="31">
        <v>19</v>
      </c>
      <c r="C2" s="69">
        <v>23000000</v>
      </c>
      <c r="D2" s="31" t="s">
        <v>32</v>
      </c>
      <c r="E2" s="40">
        <v>46111.625</v>
      </c>
      <c r="F2" s="37">
        <v>7767.9296999999997</v>
      </c>
      <c r="G2" s="38">
        <f>F2*AE2</f>
        <v>5437.5507899999993</v>
      </c>
      <c r="H2" s="35">
        <f>实时行情!$E$7 /( 合约状态!F2 *合约状态!AE2)-1</f>
        <v>0.47092547893240022</v>
      </c>
      <c r="I2" s="36" cm="1">
        <f t="array" aca="1" ref="I2:J2" ca="1">TRANSPOSE(_xll.DistanceToNearestBarrier(P2,Q2,F2,AN2:BI2,BJ2:CE2))</f>
        <v>-2.8794151007372704E-2</v>
      </c>
      <c r="J2" s="32">
        <f ca="1"/>
        <v>46203</v>
      </c>
      <c r="K2" s="33">
        <v>0.33</v>
      </c>
      <c r="L2" s="72">
        <f ca="1">(J2-AD2)/365*C2*K2</f>
        <v>1900099.3150684934</v>
      </c>
      <c r="M2" s="33">
        <v>0.1</v>
      </c>
      <c r="N2" s="34">
        <f t="shared" ref="N2" ca="1" si="0">BI2-P2</f>
        <v>719.375</v>
      </c>
      <c r="O2" s="34"/>
      <c r="P2" s="40">
        <f ca="1">实时行情!$A$2</f>
        <v>46122.625</v>
      </c>
      <c r="Q2">
        <f>实时行情!E7</f>
        <v>7998.232</v>
      </c>
      <c r="R2" s="19" cm="1">
        <f t="array" aca="1" ref="R2:X2" ca="1">TRANSPOSE(_xll.ValuateSnowball(实时行情!$D$1,F2,E2,AN2:BI2,BJ2:CE2,CF2:DA2,0,AJ2,AE2,AG2,AH2,AK2,AL2,0,0,0,TRUE,AF2,P2,Q2,Y2,Z2,AA2,AI2,"ALL")*C2/F2)</f>
        <v>698825.58947109408</v>
      </c>
      <c r="S2">
        <f ca="1"/>
        <v>2069.8467081741937</v>
      </c>
      <c r="T2">
        <f ca="1"/>
        <v>-2.6668999562743152</v>
      </c>
      <c r="U2">
        <f ca="1"/>
        <v>-12479628.05246442</v>
      </c>
      <c r="V2">
        <f ca="1"/>
        <v>4477089.1348993275</v>
      </c>
      <c r="W2">
        <f ca="1"/>
        <v>-14609095.615644149</v>
      </c>
      <c r="X2">
        <f ca="1"/>
        <v>-16377377.855550705</v>
      </c>
      <c r="Y2" s="4">
        <v>2.1000000000000001E-2</v>
      </c>
      <c r="Z2" s="20">
        <v>-7.46E-2</v>
      </c>
      <c r="AA2" s="4">
        <v>0.17899999999999999</v>
      </c>
      <c r="AB2" s="18">
        <v>0</v>
      </c>
      <c r="AC2" s="16">
        <v>7767.93</v>
      </c>
      <c r="AD2" s="1">
        <v>46111.625</v>
      </c>
      <c r="AE2" s="17">
        <v>0.7</v>
      </c>
      <c r="AF2" t="b">
        <v>1</v>
      </c>
      <c r="AG2" s="2">
        <v>1</v>
      </c>
      <c r="AH2" s="2">
        <v>1</v>
      </c>
      <c r="AI2" t="b">
        <v>0</v>
      </c>
      <c r="AJ2" s="4">
        <v>0.1</v>
      </c>
      <c r="AK2" s="2">
        <v>1</v>
      </c>
      <c r="AL2" s="2">
        <v>1</v>
      </c>
      <c r="AM2" s="6" cm="1">
        <f t="array" aca="1" ref="AM2" ca="1">IF(ISERROR(TRANSPOSE(_xll.ValuateSnowball(实时行情!$D$1,F2,AD2,AN2:BI2,BJ2:CE2,CF2:DA2,0,AJ2,AE2,AG2,AH2,AK2,AL2,0,0,0,TRUE,AF2,实时行情!$B$2,实时行情!E8,Y2,Z2,AA2,FALSE,"NPV")*C2/F2)),    0,   TRANSPOSE(_xll.ValuateSnowball(实时行情!$D$1,F2,AD2,AN2:BI2,BJ2:CE2,CF2:DA2,0,AJ2,AE2,AG2,AH2,AK2,AL2,0,0,0,TRUE,AF2,实时行情!$B$2,实时行情!$E$8,Y2,Z2,AA2,FALSE,"NPV")*C2/F2))</f>
        <v>513106.12254883308</v>
      </c>
      <c r="AN2" s="3">
        <v>46203</v>
      </c>
      <c r="AO2" s="3">
        <v>46233</v>
      </c>
      <c r="AP2" s="3">
        <v>46265</v>
      </c>
      <c r="AQ2" s="3">
        <v>46295</v>
      </c>
      <c r="AR2" s="3">
        <v>46325</v>
      </c>
      <c r="AS2" s="3">
        <v>46356</v>
      </c>
      <c r="AT2" s="3">
        <v>46386</v>
      </c>
      <c r="AU2" s="3">
        <v>46416</v>
      </c>
      <c r="AV2" s="3">
        <v>46444</v>
      </c>
      <c r="AW2" s="3">
        <v>46476</v>
      </c>
      <c r="AX2" s="3">
        <v>46507</v>
      </c>
      <c r="AY2" s="3">
        <v>46538</v>
      </c>
      <c r="AZ2" s="3">
        <v>46568</v>
      </c>
      <c r="BA2" s="3">
        <v>46598</v>
      </c>
      <c r="BB2" s="3">
        <v>46629</v>
      </c>
      <c r="BC2" s="3">
        <v>46660</v>
      </c>
      <c r="BD2" s="3">
        <v>46689</v>
      </c>
      <c r="BE2" s="3">
        <v>46721</v>
      </c>
      <c r="BF2" s="3">
        <v>46751</v>
      </c>
      <c r="BG2" s="3">
        <v>46776</v>
      </c>
      <c r="BH2" s="3">
        <v>46812</v>
      </c>
      <c r="BI2" s="3">
        <v>46842</v>
      </c>
      <c r="BJ2" s="4">
        <v>1</v>
      </c>
      <c r="BK2" s="4">
        <v>1</v>
      </c>
      <c r="BL2" s="4">
        <v>1</v>
      </c>
      <c r="BM2" s="4">
        <v>1</v>
      </c>
      <c r="BN2" s="4">
        <v>1</v>
      </c>
      <c r="BO2" s="4">
        <v>1</v>
      </c>
      <c r="BP2" s="4">
        <v>1</v>
      </c>
      <c r="BQ2" s="4">
        <v>1</v>
      </c>
      <c r="BR2" s="4">
        <v>1</v>
      </c>
      <c r="BS2" s="4">
        <v>1</v>
      </c>
      <c r="BT2" s="4">
        <v>1</v>
      </c>
      <c r="BU2" s="4">
        <v>1</v>
      </c>
      <c r="BV2" s="4">
        <v>1</v>
      </c>
      <c r="BW2" s="4">
        <v>1</v>
      </c>
      <c r="BX2" s="4">
        <v>1</v>
      </c>
      <c r="BY2" s="4">
        <v>1</v>
      </c>
      <c r="BZ2" s="4">
        <v>1</v>
      </c>
      <c r="CA2" s="4">
        <v>1</v>
      </c>
      <c r="CB2" s="4">
        <v>1</v>
      </c>
      <c r="CC2" s="4">
        <v>1</v>
      </c>
      <c r="CD2" s="4">
        <v>1</v>
      </c>
      <c r="CE2" s="4">
        <v>1</v>
      </c>
      <c r="CF2" s="4">
        <v>0.33</v>
      </c>
      <c r="CG2" s="4">
        <v>0.33</v>
      </c>
      <c r="CH2" s="4">
        <v>0.33</v>
      </c>
      <c r="CI2" s="4">
        <v>0.33</v>
      </c>
      <c r="CJ2" s="4">
        <v>0.33</v>
      </c>
      <c r="CK2" s="4">
        <v>0.33</v>
      </c>
      <c r="CL2" s="4">
        <v>0.33</v>
      </c>
      <c r="CM2" s="4">
        <v>0.33</v>
      </c>
      <c r="CN2" s="4">
        <v>0.33</v>
      </c>
      <c r="CO2" s="4">
        <v>0.33</v>
      </c>
      <c r="CP2" s="4">
        <v>0.1</v>
      </c>
      <c r="CQ2" s="4">
        <v>0.1</v>
      </c>
      <c r="CR2" s="4">
        <v>0.1</v>
      </c>
      <c r="CS2" s="4">
        <v>0.1</v>
      </c>
      <c r="CT2" s="4">
        <v>0.1</v>
      </c>
      <c r="CU2" s="4">
        <v>0.1</v>
      </c>
      <c r="CV2" s="4">
        <v>0.1</v>
      </c>
      <c r="CW2" s="4">
        <v>0.1</v>
      </c>
      <c r="CX2" s="4">
        <v>0.1</v>
      </c>
      <c r="CY2" s="4">
        <v>0.1</v>
      </c>
      <c r="CZ2" s="4">
        <v>0.1</v>
      </c>
      <c r="DA2" s="4">
        <v>0.1</v>
      </c>
    </row>
    <row r="3" spans="1:105" x14ac:dyDescent="0.2">
      <c r="A3" s="31" t="s">
        <v>38</v>
      </c>
      <c r="B3" s="31">
        <v>18</v>
      </c>
      <c r="C3" s="69">
        <v>11000000</v>
      </c>
      <c r="D3" s="31" t="s">
        <v>32</v>
      </c>
      <c r="E3" s="40">
        <v>46079.625</v>
      </c>
      <c r="F3" s="37">
        <v>8490.6200000000008</v>
      </c>
      <c r="G3" s="38">
        <f t="shared" ref="G3:G8" si="1">F3*AE3</f>
        <v>5943.4340000000002</v>
      </c>
      <c r="H3" s="35">
        <f>实时行情!$E$7 /( 合约状态!F3 *合约状态!AE3)-1</f>
        <v>0.34572572018129577</v>
      </c>
      <c r="I3" s="36" cm="1">
        <f t="array" aca="1" ref="I3:J3" ca="1">TRANSPOSE(_xll.DistanceToNearestBarrier(P3,Q3,F3,AN3:BI3,BJ3:CE3))</f>
        <v>6.1562105225254848E-2</v>
      </c>
      <c r="J3" s="32">
        <f ca="1"/>
        <v>46168</v>
      </c>
      <c r="K3" s="33">
        <v>0.1971</v>
      </c>
      <c r="L3" s="72">
        <f t="shared" ref="L3:L8" ca="1" si="2">(J3-AD3)/365*C3*K3</f>
        <v>524947.49999999988</v>
      </c>
      <c r="M3" s="33">
        <v>0.1971</v>
      </c>
      <c r="N3" s="34">
        <f t="shared" ref="N3:N8" ca="1" si="3">BI3-P3</f>
        <v>688.375</v>
      </c>
      <c r="O3" s="34"/>
      <c r="P3" s="40">
        <f ca="1">实时行情!$A$2</f>
        <v>46122.625</v>
      </c>
      <c r="Q3">
        <f>实时行情!E7</f>
        <v>7998.232</v>
      </c>
      <c r="R3" s="19" cm="1">
        <f t="array" aca="1" ref="R3:X3" ca="1">TRANSPOSE(_xll.ValuateSnowball(实时行情!$D$1,F3,AD3,AN3:BI3,BJ3:CE3,CF3:DA3,0,AJ3,AE3,AG3,AH3,AK3,AL3,0,0,0,TRUE,AF3,P3,Q3,Y3,Z3,AA3,FALSE,"ALL")*C3/F3)</f>
        <v>-224424.14541504136</v>
      </c>
      <c r="S3">
        <f ca="1"/>
        <v>1159.5028792747162</v>
      </c>
      <c r="T3">
        <f ca="1"/>
        <v>-1.1016717664950388</v>
      </c>
      <c r="U3">
        <f ca="1"/>
        <v>-11216114.921909634</v>
      </c>
      <c r="V3">
        <f ca="1"/>
        <v>2036904.497166309</v>
      </c>
      <c r="W3">
        <f ca="1"/>
        <v>-10667321.574025352</v>
      </c>
      <c r="X3">
        <f ca="1"/>
        <v>-13048952.30245816</v>
      </c>
      <c r="Y3" s="4">
        <v>2.1000000000000001E-2</v>
      </c>
      <c r="Z3" s="20">
        <v>-5.7829999999999999E-2</v>
      </c>
      <c r="AA3" s="4">
        <v>0.19</v>
      </c>
      <c r="AB3" s="18">
        <v>0</v>
      </c>
      <c r="AC3" s="16">
        <v>8490.6200000000008</v>
      </c>
      <c r="AD3" s="1">
        <v>46079.625</v>
      </c>
      <c r="AE3" s="17">
        <v>0.7</v>
      </c>
      <c r="AF3" t="b">
        <v>1</v>
      </c>
      <c r="AG3" s="2">
        <v>1</v>
      </c>
      <c r="AH3" s="2">
        <v>1</v>
      </c>
      <c r="AI3" t="b">
        <v>0</v>
      </c>
      <c r="AJ3" s="4">
        <v>0.1971</v>
      </c>
      <c r="AK3" s="2">
        <v>1</v>
      </c>
      <c r="AL3" s="2">
        <v>1</v>
      </c>
      <c r="AM3" s="6" cm="1">
        <f t="array" aca="1" ref="AM3" ca="1">IF(ISERROR(TRANSPOSE(_xll.ValuateSnowball(实时行情!$D$1,F3,AD3,AN3:BI3,BJ3:CE3,CF3:DA3,0,AJ3,AE3,AG3,AH3,AK3,AL3,0,0,0,TRUE,AF3,实时行情!$B$2,实时行情!E8,Y3,Z3,AA3,FALSE,"NPV")*C3/F3)),    0,   TRANSPOSE(_xll.ValuateSnowball(实时行情!$D$1,F3,AD3,AN3:BI3,BJ3:CE3,CF3:DA3,0,AJ3,AE3,AG3,AH3,AK3,AL3,0,0,0,TRUE,AF3,实时行情!$B$2,实时行情!$E$8,Y3,Z3,AA3,FALSE,"NPV")*C3/F3))</f>
        <v>-325040.10817128792</v>
      </c>
      <c r="AN3" s="3">
        <v>46168</v>
      </c>
      <c r="AO3" s="3">
        <v>46199</v>
      </c>
      <c r="AP3" s="3">
        <v>46230</v>
      </c>
      <c r="AQ3" s="3">
        <v>46260</v>
      </c>
      <c r="AR3" s="3">
        <v>46293</v>
      </c>
      <c r="AS3" s="3">
        <v>46321</v>
      </c>
      <c r="AT3" s="3">
        <v>46352</v>
      </c>
      <c r="AU3" s="3">
        <v>46384</v>
      </c>
      <c r="AV3" s="3">
        <v>46413</v>
      </c>
      <c r="AW3" s="3">
        <v>46444</v>
      </c>
      <c r="AX3" s="3">
        <v>46472</v>
      </c>
      <c r="AY3" s="3">
        <v>46503</v>
      </c>
      <c r="AZ3" s="3">
        <v>46533</v>
      </c>
      <c r="BA3" s="3">
        <v>46566</v>
      </c>
      <c r="BB3" s="3">
        <v>46594</v>
      </c>
      <c r="BC3" s="3">
        <v>46625</v>
      </c>
      <c r="BD3" s="3">
        <v>46657</v>
      </c>
      <c r="BE3" s="3">
        <v>46686</v>
      </c>
      <c r="BF3" s="3">
        <v>46717</v>
      </c>
      <c r="BG3" s="3">
        <v>46748</v>
      </c>
      <c r="BH3" s="3">
        <v>46776</v>
      </c>
      <c r="BI3" s="3">
        <v>46811</v>
      </c>
      <c r="BJ3" s="4">
        <v>1</v>
      </c>
      <c r="BK3" s="4">
        <v>1</v>
      </c>
      <c r="BL3" s="4">
        <v>1</v>
      </c>
      <c r="BM3" s="4">
        <v>1</v>
      </c>
      <c r="BN3" s="4">
        <v>1</v>
      </c>
      <c r="BO3" s="4">
        <v>1</v>
      </c>
      <c r="BP3" s="4">
        <v>1</v>
      </c>
      <c r="BQ3" s="4">
        <v>1</v>
      </c>
      <c r="BR3" s="4">
        <v>1</v>
      </c>
      <c r="BS3" s="4">
        <v>1</v>
      </c>
      <c r="BT3" s="4">
        <v>1</v>
      </c>
      <c r="BU3" s="4">
        <v>1</v>
      </c>
      <c r="BV3" s="4">
        <v>1</v>
      </c>
      <c r="BW3" s="4">
        <v>1</v>
      </c>
      <c r="BX3" s="4">
        <v>1</v>
      </c>
      <c r="BY3" s="4">
        <v>1</v>
      </c>
      <c r="BZ3" s="4">
        <v>1</v>
      </c>
      <c r="CA3" s="4">
        <v>1</v>
      </c>
      <c r="CB3" s="4">
        <v>1</v>
      </c>
      <c r="CC3" s="4">
        <v>1</v>
      </c>
      <c r="CD3" s="4">
        <v>1</v>
      </c>
      <c r="CE3" s="4">
        <v>1</v>
      </c>
      <c r="CF3" s="4">
        <v>0.1971</v>
      </c>
      <c r="CG3" s="4">
        <v>0.1971</v>
      </c>
      <c r="CH3" s="4">
        <v>0.1971</v>
      </c>
      <c r="CI3" s="4">
        <v>0.1971</v>
      </c>
      <c r="CJ3" s="4">
        <v>0.1971</v>
      </c>
      <c r="CK3" s="4">
        <v>0.1971</v>
      </c>
      <c r="CL3" s="4">
        <v>0.1971</v>
      </c>
      <c r="CM3" s="4">
        <v>0.1971</v>
      </c>
      <c r="CN3" s="4">
        <v>0.1971</v>
      </c>
      <c r="CO3" s="4">
        <v>0.1971</v>
      </c>
      <c r="CP3" s="4">
        <v>0.1971</v>
      </c>
      <c r="CQ3" s="4">
        <v>0.1971</v>
      </c>
      <c r="CR3" s="4">
        <v>0.1971</v>
      </c>
      <c r="CS3" s="4">
        <v>0.1971</v>
      </c>
      <c r="CT3" s="4">
        <v>0.1971</v>
      </c>
      <c r="CU3" s="4">
        <v>0.1971</v>
      </c>
      <c r="CV3" s="4">
        <v>0.1971</v>
      </c>
      <c r="CW3" s="4">
        <v>0.1971</v>
      </c>
      <c r="CX3" s="4">
        <v>0.1971</v>
      </c>
      <c r="CY3" s="4">
        <v>0.1971</v>
      </c>
      <c r="CZ3" s="4">
        <v>0.1971</v>
      </c>
      <c r="DA3" s="4">
        <v>0.1971</v>
      </c>
    </row>
    <row r="4" spans="1:105" x14ac:dyDescent="0.2">
      <c r="A4" s="31" t="s">
        <v>38</v>
      </c>
      <c r="B4" s="31">
        <v>17</v>
      </c>
      <c r="C4" s="69">
        <v>12000000</v>
      </c>
      <c r="D4" s="31" t="s">
        <v>32</v>
      </c>
      <c r="E4" s="40">
        <v>46078.625</v>
      </c>
      <c r="F4" s="37">
        <v>8426.33</v>
      </c>
      <c r="G4" s="38">
        <f t="shared" si="1"/>
        <v>5898.4309999999996</v>
      </c>
      <c r="H4" s="35">
        <f>实时行情!$E$7 /( 合约状态!F4 *合约状态!AE4)-1</f>
        <v>0.35599314461761122</v>
      </c>
      <c r="I4" s="36" cm="1">
        <f t="array" aca="1" ref="I4:J4" ca="1">TRANSPOSE(_xll.DistanceToNearestBarrier(P4,Q4,F4,AN4:BI4,BJ4:CE4))</f>
        <v>5.3524078821419518E-2</v>
      </c>
      <c r="J4" s="32">
        <f ca="1"/>
        <v>46167</v>
      </c>
      <c r="K4" s="33">
        <v>0.34</v>
      </c>
      <c r="L4" s="72">
        <f t="shared" ca="1" si="2"/>
        <v>987863.01369863015</v>
      </c>
      <c r="M4" s="33">
        <v>0.05</v>
      </c>
      <c r="N4" s="34">
        <f t="shared" ca="1" si="3"/>
        <v>685.375</v>
      </c>
      <c r="O4" s="34"/>
      <c r="P4" s="40">
        <f ca="1">实时行情!$A$2</f>
        <v>46122.625</v>
      </c>
      <c r="Q4">
        <f>实时行情!E7</f>
        <v>7998.232</v>
      </c>
      <c r="R4" s="19" cm="1">
        <f t="array" aca="1" ref="R4:X4" ca="1">TRANSPOSE(_xll.ValuateSnowball(实时行情!$D$1,F4,AD4,AN4:BI4,BJ4:CE4,CF4:DA4,0,AJ4,AE4,AG4,AH4,AK4,AL4,0,0,0,TRUE,AF4,P4,Q4,Y4,Z4,AA4,FALSE,"ALL")*C4/F4)</f>
        <v>-385397.8105275195</v>
      </c>
      <c r="S4">
        <f ca="1"/>
        <v>1919.3827904248028</v>
      </c>
      <c r="T4">
        <f ca="1"/>
        <v>-1.0040956520361028</v>
      </c>
      <c r="U4">
        <f ca="1"/>
        <v>-4868184.4906841619</v>
      </c>
      <c r="V4">
        <f ca="1"/>
        <v>2263621.2679012725</v>
      </c>
      <c r="W4">
        <f ca="1"/>
        <v>-10798896.842077164</v>
      </c>
      <c r="X4">
        <f ca="1"/>
        <v>-14427162.716973685</v>
      </c>
      <c r="Y4" s="4">
        <v>2.1000000000000001E-2</v>
      </c>
      <c r="Z4" s="20">
        <v>-6.3780000000000003E-2</v>
      </c>
      <c r="AA4" s="4">
        <v>0.18</v>
      </c>
      <c r="AB4" s="18">
        <v>0</v>
      </c>
      <c r="AC4" s="16">
        <v>8426.33</v>
      </c>
      <c r="AD4" s="1">
        <v>46078.625</v>
      </c>
      <c r="AE4" s="17">
        <v>0.7</v>
      </c>
      <c r="AF4" t="b">
        <v>1</v>
      </c>
      <c r="AG4" s="2">
        <v>1</v>
      </c>
      <c r="AH4" s="2">
        <v>1</v>
      </c>
      <c r="AI4" t="b">
        <v>0</v>
      </c>
      <c r="AJ4" s="4">
        <v>0.05</v>
      </c>
      <c r="AK4" s="2">
        <v>1</v>
      </c>
      <c r="AL4" s="2">
        <v>1</v>
      </c>
      <c r="AM4" s="6" cm="1">
        <f t="array" aca="1" ref="AM4" ca="1">IF(ISERROR(TRANSPOSE(_xll.ValuateSnowball(实时行情!$D$1,F4,AD4,AN4:BI4,BJ4:CE4,CF4:DA4,0,AJ4,AE4,AG4,AH4,AK4,AL4,0,0,0,TRUE,AF4,实时行情!$B$2,实时行情!E8,Y4,Z4,AA4,FALSE,"NPV")*C4/F4)),    0,   TRANSPOSE(_xll.ValuateSnowball(实时行情!$D$1,F4,AD4,AN4:BI4,BJ4:CE4,CF4:DA4,0,AJ4,AE4,AG4,AH4,AK4,AL4,0,0,0,TRUE,AF4,实时行情!$B$2,实时行情!$E$8,Y4,Z4,AA4,FALSE,"NPV")*C4/F4))</f>
        <v>-544399.68416885752</v>
      </c>
      <c r="AN4" s="3">
        <v>46167</v>
      </c>
      <c r="AO4" s="3">
        <v>46198</v>
      </c>
      <c r="AP4" s="3">
        <v>46230</v>
      </c>
      <c r="AQ4" s="3">
        <v>46259</v>
      </c>
      <c r="AR4" s="3">
        <v>46293</v>
      </c>
      <c r="AS4" s="3">
        <v>46321</v>
      </c>
      <c r="AT4" s="3">
        <v>46351</v>
      </c>
      <c r="AU4" s="3">
        <v>46381</v>
      </c>
      <c r="AV4" s="3">
        <v>46412</v>
      </c>
      <c r="AW4" s="3">
        <v>46443</v>
      </c>
      <c r="AX4" s="3">
        <v>46471</v>
      </c>
      <c r="AY4" s="3">
        <v>46503</v>
      </c>
      <c r="AZ4" s="3">
        <v>46532</v>
      </c>
      <c r="BA4" s="3">
        <v>46563</v>
      </c>
      <c r="BB4" s="3">
        <v>46594</v>
      </c>
      <c r="BC4" s="3">
        <v>46624</v>
      </c>
      <c r="BD4" s="3">
        <v>46657</v>
      </c>
      <c r="BE4" s="3">
        <v>46685</v>
      </c>
      <c r="BF4" s="3">
        <v>46716</v>
      </c>
      <c r="BG4" s="3">
        <v>46748</v>
      </c>
      <c r="BH4" s="3">
        <v>46776</v>
      </c>
      <c r="BI4" s="3">
        <v>46808</v>
      </c>
      <c r="BJ4" s="4">
        <v>1</v>
      </c>
      <c r="BK4" s="4">
        <v>1</v>
      </c>
      <c r="BL4" s="4">
        <v>1</v>
      </c>
      <c r="BM4" s="4">
        <v>1</v>
      </c>
      <c r="BN4" s="4">
        <v>1</v>
      </c>
      <c r="BO4" s="4">
        <v>1</v>
      </c>
      <c r="BP4" s="4">
        <v>1</v>
      </c>
      <c r="BQ4" s="4">
        <v>1</v>
      </c>
      <c r="BR4" s="4">
        <v>1</v>
      </c>
      <c r="BS4" s="4">
        <v>1</v>
      </c>
      <c r="BT4" s="4">
        <v>1</v>
      </c>
      <c r="BU4" s="4">
        <v>1</v>
      </c>
      <c r="BV4" s="4">
        <v>1</v>
      </c>
      <c r="BW4" s="4">
        <v>1</v>
      </c>
      <c r="BX4" s="4">
        <v>1</v>
      </c>
      <c r="BY4" s="4">
        <v>1</v>
      </c>
      <c r="BZ4" s="4">
        <v>1</v>
      </c>
      <c r="CA4" s="4">
        <v>1</v>
      </c>
      <c r="CB4" s="4">
        <v>1</v>
      </c>
      <c r="CC4" s="4">
        <v>1</v>
      </c>
      <c r="CD4" s="4">
        <v>1</v>
      </c>
      <c r="CE4" s="4">
        <v>1</v>
      </c>
      <c r="CF4" s="4">
        <v>0.34</v>
      </c>
      <c r="CG4" s="4">
        <v>0.34</v>
      </c>
      <c r="CH4" s="4">
        <v>0.34</v>
      </c>
      <c r="CI4" s="4">
        <v>0.34</v>
      </c>
      <c r="CJ4" s="4">
        <v>0.34</v>
      </c>
      <c r="CK4" s="4">
        <v>0.34</v>
      </c>
      <c r="CL4" s="4">
        <v>0.34</v>
      </c>
      <c r="CM4" s="4">
        <v>0.34</v>
      </c>
      <c r="CN4" s="4">
        <v>0.34</v>
      </c>
      <c r="CO4" s="4">
        <v>0.34</v>
      </c>
      <c r="CP4" s="4">
        <v>0.05</v>
      </c>
      <c r="CQ4" s="4">
        <v>0.05</v>
      </c>
      <c r="CR4" s="4">
        <v>0.05</v>
      </c>
      <c r="CS4" s="4">
        <v>0.05</v>
      </c>
      <c r="CT4" s="4">
        <v>0.05</v>
      </c>
      <c r="CU4" s="4">
        <v>0.05</v>
      </c>
      <c r="CV4" s="4">
        <v>0.05</v>
      </c>
      <c r="CW4" s="4">
        <v>0.05</v>
      </c>
      <c r="CX4" s="4">
        <v>0.05</v>
      </c>
      <c r="CY4" s="4">
        <v>0.05</v>
      </c>
      <c r="CZ4" s="4">
        <v>0.05</v>
      </c>
      <c r="DA4" s="4">
        <v>0.05</v>
      </c>
    </row>
    <row r="5" spans="1:105" x14ac:dyDescent="0.2">
      <c r="A5" s="31" t="s">
        <v>38</v>
      </c>
      <c r="B5" s="31">
        <v>16</v>
      </c>
      <c r="C5" s="69">
        <v>21000000</v>
      </c>
      <c r="D5" s="31" t="s">
        <v>32</v>
      </c>
      <c r="E5" s="40">
        <v>46058.625</v>
      </c>
      <c r="F5" s="37">
        <v>8091.49</v>
      </c>
      <c r="G5" s="38">
        <f t="shared" si="1"/>
        <v>5259.4684999999999</v>
      </c>
      <c r="H5" s="35">
        <f>实时行情!$E$7 /( 合约状态!F5 *合约状态!AE5)-1</f>
        <v>0.52073008898142459</v>
      </c>
      <c r="I5" s="36" cm="1">
        <f t="array" aca="1" ref="I5:J5" ca="1">TRANSPOSE(_xll.DistanceToNearestBarrier(P5,Q5,F5,AN5:BI5,BJ5:CE5))</f>
        <v>1.1659826821727615E-2</v>
      </c>
      <c r="J5" s="32">
        <f ca="1"/>
        <v>46148</v>
      </c>
      <c r="K5" s="33">
        <v>0.1769</v>
      </c>
      <c r="L5" s="72">
        <f t="shared" ca="1" si="2"/>
        <v>909641.60958904109</v>
      </c>
      <c r="M5" s="33">
        <v>0.1769</v>
      </c>
      <c r="N5" s="34">
        <f t="shared" ca="1" si="3"/>
        <v>667.375</v>
      </c>
      <c r="O5" s="34"/>
      <c r="P5" s="40">
        <f ca="1">实时行情!$A$2</f>
        <v>46122.625</v>
      </c>
      <c r="Q5">
        <f>实时行情!E7</f>
        <v>7998.232</v>
      </c>
      <c r="R5" s="19" cm="1">
        <f t="array" aca="1" ref="R5:X5" ca="1">TRANSPOSE(_xll.ValuateSnowball(实时行情!$D$1,F5,AD5,AN5:BI5,BJ5:CE5,CF5:DA5,0,AJ5,AE5,AG5,AH5,AK5,AL5,0,0,0,TRUE,AF5,P5,Q5,Y5,Z5,AA5,FALSE,"ALL")*C5/F5)</f>
        <v>472107.07046108315</v>
      </c>
      <c r="S5">
        <f ca="1"/>
        <v>1224.2822970365828</v>
      </c>
      <c r="T5">
        <f ca="1"/>
        <v>-2.3694665966419612</v>
      </c>
      <c r="U5">
        <f ca="1"/>
        <v>-17826180.355201997</v>
      </c>
      <c r="V5">
        <f ca="1"/>
        <v>4075029.642240929</v>
      </c>
      <c r="W5">
        <f ca="1"/>
        <v>-13757998.253312191</v>
      </c>
      <c r="X5">
        <f ca="1"/>
        <v>-14533189.718109094</v>
      </c>
      <c r="Y5" s="4">
        <v>2.1000000000000001E-2</v>
      </c>
      <c r="Z5" s="20">
        <v>-8.8489999999999999E-2</v>
      </c>
      <c r="AA5" s="4">
        <v>0.19</v>
      </c>
      <c r="AB5" s="18">
        <v>0</v>
      </c>
      <c r="AC5" s="16">
        <v>8091.49</v>
      </c>
      <c r="AD5" s="1">
        <v>46058.625</v>
      </c>
      <c r="AE5" s="17">
        <v>0.65</v>
      </c>
      <c r="AF5" t="b">
        <v>1</v>
      </c>
      <c r="AG5" s="2">
        <v>1</v>
      </c>
      <c r="AH5" s="2">
        <v>1</v>
      </c>
      <c r="AI5" t="b">
        <v>0</v>
      </c>
      <c r="AJ5" s="4">
        <v>0.1769</v>
      </c>
      <c r="AK5" s="2">
        <v>1</v>
      </c>
      <c r="AL5" s="2">
        <v>1</v>
      </c>
      <c r="AM5" s="6" cm="1">
        <f t="array" aca="1" ref="AM5" ca="1">IF(ISERROR(TRANSPOSE(_xll.ValuateSnowball(实时行情!$D$1,F5,AD5,AN5:BI5,BJ5:CE5,CF5:DA5,0,AJ5,AE5,AG5,AH5,AK5,AL5,0,0,0,TRUE,AF5,实时行情!$B$2,实时行情!E8,Y5,Z5,AA5,FALSE,"NPV")*C5/F5)),    0,   TRANSPOSE(_xll.ValuateSnowball(实时行情!$D$1,F5,AD5,AN5:BI5,BJ5:CE5,CF5:DA5,0,AJ5,AE5,AG5,AH5,AK5,AL5,0,0,0,TRUE,AF5,实时行情!$B$2,实时行情!$E$8,Y5,Z5,AA5,FALSE,"NPV")*C5/F5))</f>
        <v>353766.28253895877</v>
      </c>
      <c r="AN5" s="3">
        <v>46148</v>
      </c>
      <c r="AO5" s="3">
        <v>46178</v>
      </c>
      <c r="AP5" s="3">
        <v>46209</v>
      </c>
      <c r="AQ5" s="3">
        <v>46239</v>
      </c>
      <c r="AR5" s="3">
        <v>46272</v>
      </c>
      <c r="AS5" s="3">
        <v>46303</v>
      </c>
      <c r="AT5" s="3">
        <v>46331</v>
      </c>
      <c r="AU5" s="3">
        <v>46363</v>
      </c>
      <c r="AV5" s="3">
        <v>46392</v>
      </c>
      <c r="AW5" s="3">
        <v>46433</v>
      </c>
      <c r="AX5" s="3">
        <v>46451</v>
      </c>
      <c r="AY5" s="3">
        <v>46483</v>
      </c>
      <c r="AZ5" s="3">
        <v>46513</v>
      </c>
      <c r="BA5" s="3">
        <v>46545</v>
      </c>
      <c r="BB5" s="3">
        <v>46573</v>
      </c>
      <c r="BC5" s="3">
        <v>46604</v>
      </c>
      <c r="BD5" s="3">
        <v>46636</v>
      </c>
      <c r="BE5" s="3">
        <v>46668</v>
      </c>
      <c r="BF5" s="3">
        <v>46696</v>
      </c>
      <c r="BG5" s="3">
        <v>46727</v>
      </c>
      <c r="BH5" s="3">
        <v>46757</v>
      </c>
      <c r="BI5" s="3">
        <v>46790</v>
      </c>
      <c r="BJ5" s="4">
        <v>1</v>
      </c>
      <c r="BK5" s="4">
        <v>1</v>
      </c>
      <c r="BL5" s="4">
        <v>1</v>
      </c>
      <c r="BM5" s="4">
        <v>1</v>
      </c>
      <c r="BN5" s="4">
        <v>1</v>
      </c>
      <c r="BO5" s="4">
        <v>1</v>
      </c>
      <c r="BP5" s="4">
        <v>1</v>
      </c>
      <c r="BQ5" s="4">
        <v>1</v>
      </c>
      <c r="BR5" s="4">
        <v>1</v>
      </c>
      <c r="BS5" s="4">
        <v>1</v>
      </c>
      <c r="BT5" s="4">
        <v>1</v>
      </c>
      <c r="BU5" s="4">
        <v>1</v>
      </c>
      <c r="BV5" s="4">
        <v>1</v>
      </c>
      <c r="BW5" s="4">
        <v>1</v>
      </c>
      <c r="BX5" s="4">
        <v>1</v>
      </c>
      <c r="BY5" s="4">
        <v>1</v>
      </c>
      <c r="BZ5" s="4">
        <v>1</v>
      </c>
      <c r="CA5" s="4">
        <v>1</v>
      </c>
      <c r="CB5" s="4">
        <v>1</v>
      </c>
      <c r="CC5" s="4">
        <v>1</v>
      </c>
      <c r="CD5" s="4">
        <v>1</v>
      </c>
      <c r="CE5" s="4">
        <v>1</v>
      </c>
      <c r="CF5" s="4">
        <v>0.1769</v>
      </c>
      <c r="CG5" s="4">
        <v>0.1769</v>
      </c>
      <c r="CH5" s="4">
        <v>0.1769</v>
      </c>
      <c r="CI5" s="4">
        <v>0.1769</v>
      </c>
      <c r="CJ5" s="4">
        <v>0.1769</v>
      </c>
      <c r="CK5" s="4">
        <v>0.1769</v>
      </c>
      <c r="CL5" s="4">
        <v>0.1769</v>
      </c>
      <c r="CM5" s="4">
        <v>0.1769</v>
      </c>
      <c r="CN5" s="4">
        <v>0.1769</v>
      </c>
      <c r="CO5" s="4">
        <v>0.1769</v>
      </c>
      <c r="CP5" s="4">
        <v>0.1769</v>
      </c>
      <c r="CQ5" s="4">
        <v>0.1769</v>
      </c>
      <c r="CR5" s="4">
        <v>0.1769</v>
      </c>
      <c r="CS5" s="4">
        <v>0.1769</v>
      </c>
      <c r="CT5" s="4">
        <v>0.1769</v>
      </c>
      <c r="CU5" s="4">
        <v>0.1769</v>
      </c>
      <c r="CV5" s="4">
        <v>0.1769</v>
      </c>
      <c r="CW5" s="4">
        <v>0.1769</v>
      </c>
      <c r="CX5" s="4">
        <v>0.1769</v>
      </c>
      <c r="CY5" s="4">
        <v>0.1769</v>
      </c>
      <c r="CZ5" s="4">
        <v>0.1769</v>
      </c>
      <c r="DA5" s="4">
        <v>0.1769</v>
      </c>
    </row>
    <row r="6" spans="1:105" x14ac:dyDescent="0.2">
      <c r="A6" s="31" t="s">
        <v>38</v>
      </c>
      <c r="B6" s="31">
        <v>15</v>
      </c>
      <c r="C6" s="69">
        <v>21000000</v>
      </c>
      <c r="D6" s="31" t="s">
        <v>32</v>
      </c>
      <c r="E6" s="40">
        <v>46049.625</v>
      </c>
      <c r="F6" s="37">
        <v>8272.2000000000007</v>
      </c>
      <c r="G6" s="38">
        <f t="shared" si="1"/>
        <v>5376.93</v>
      </c>
      <c r="H6" s="35">
        <f>实时行情!$E$7 /( 合约状态!F6 *合约状态!AE6)-1</f>
        <v>0.48750904326446487</v>
      </c>
      <c r="I6" s="36" cm="1">
        <f t="array" aca="1" ref="I6:J6" ca="1">TRANSPOSE(_xll.DistanceToNearestBarrier(P6,Q6,F6,AN6:BI6,BJ6:CE6))</f>
        <v>3.4253570038978776E-2</v>
      </c>
      <c r="J6" s="32">
        <f ca="1"/>
        <v>46139</v>
      </c>
      <c r="K6" s="33">
        <v>0.25</v>
      </c>
      <c r="L6" s="72">
        <f t="shared" ca="1" si="2"/>
        <v>1285530.8219178081</v>
      </c>
      <c r="M6" s="33">
        <v>0.05</v>
      </c>
      <c r="N6" s="34">
        <f t="shared" ca="1" si="3"/>
        <v>653.375</v>
      </c>
      <c r="O6" s="34"/>
      <c r="P6" s="40">
        <f ca="1">实时行情!$A$2</f>
        <v>46122.625</v>
      </c>
      <c r="Q6">
        <f>实时行情!E7</f>
        <v>7998.232</v>
      </c>
      <c r="R6" s="19" cm="1">
        <f t="array" aca="1" ref="R6:X6" ca="1">TRANSPOSE(_xll.ValuateSnowball(实时行情!$D$1,F6,AD6,AN6:BI6,BJ6:CE6,CF6:DA6,0,AJ6,AE6,AG6,AH6,AK6,AL6,0,0,0,TRUE,AF6,P6,Q6,Y6,Z6,AA6,FALSE,"ALL")*C6/F6)</f>
        <v>137586.54399209042</v>
      </c>
      <c r="S6">
        <f ca="1"/>
        <v>2651.8782167749237</v>
      </c>
      <c r="T6">
        <f ca="1"/>
        <v>-2.201965015610428</v>
      </c>
      <c r="U6">
        <f ca="1"/>
        <v>-13262508.57896772</v>
      </c>
      <c r="V6">
        <f ca="1"/>
        <v>4031604.7932414906</v>
      </c>
      <c r="W6">
        <f ca="1"/>
        <v>-17048115.952332672</v>
      </c>
      <c r="X6">
        <f ca="1"/>
        <v>-18567227.578185316</v>
      </c>
      <c r="Y6" s="4">
        <v>2.1000000000000001E-2</v>
      </c>
      <c r="Z6" s="20">
        <v>-7.4075000000000002E-2</v>
      </c>
      <c r="AA6" s="4">
        <v>0.17</v>
      </c>
      <c r="AB6" s="18">
        <v>0</v>
      </c>
      <c r="AC6" s="16">
        <v>8272.2000000000007</v>
      </c>
      <c r="AD6" s="1">
        <v>46049.625</v>
      </c>
      <c r="AE6" s="17">
        <v>0.65</v>
      </c>
      <c r="AF6" t="b">
        <v>1</v>
      </c>
      <c r="AG6" s="2">
        <v>1</v>
      </c>
      <c r="AH6" s="2">
        <v>1</v>
      </c>
      <c r="AI6" t="b">
        <v>0</v>
      </c>
      <c r="AJ6" s="4">
        <v>0.05</v>
      </c>
      <c r="AK6" s="2">
        <v>1</v>
      </c>
      <c r="AL6" s="2">
        <v>1</v>
      </c>
      <c r="AM6" s="6" cm="1">
        <f t="array" aca="1" ref="AM6" ca="1">IF(ISERROR(TRANSPOSE(_xll.ValuateSnowball(实时行情!$D$1,F6,AD6,AN6:BI6,BJ6:CE6,CF6:DA6,0,AJ6,AE6,AG6,AH6,AK6,AL6,0,0,0,TRUE,AF6,实时行情!$B$2,实时行情!E8,Y6,Z6,AA6,FALSE,"NPV")*C6/F6)),    0,   TRANSPOSE(_xll.ValuateSnowball(实时行情!$D$1,F6,AD6,AN6:BI6,BJ6:CE6,CF6:DA6,0,AJ6,AE6,AG6,AH6,AK6,AL6,0,0,0,TRUE,AF6,实时行情!$B$2,实时行情!$E$8,Y6,Z6,AA6,FALSE,"NPV")*C6/F6))</f>
        <v>-87731.504912431948</v>
      </c>
      <c r="AN6" s="3">
        <v>46139</v>
      </c>
      <c r="AO6" s="3">
        <v>46169</v>
      </c>
      <c r="AP6" s="3">
        <v>46202</v>
      </c>
      <c r="AQ6" s="3">
        <v>46230</v>
      </c>
      <c r="AR6" s="3">
        <v>46261</v>
      </c>
      <c r="AS6" s="3">
        <v>46293</v>
      </c>
      <c r="AT6" s="3">
        <v>46322</v>
      </c>
      <c r="AU6" s="3">
        <v>46353</v>
      </c>
      <c r="AV6" s="3">
        <v>46384</v>
      </c>
      <c r="AW6" s="3">
        <v>46414</v>
      </c>
      <c r="AX6" s="3">
        <v>46444</v>
      </c>
      <c r="AY6" s="3">
        <v>46475</v>
      </c>
      <c r="AZ6" s="3">
        <v>46504</v>
      </c>
      <c r="BA6" s="3">
        <v>46534</v>
      </c>
      <c r="BB6" s="3">
        <v>46566</v>
      </c>
      <c r="BC6" s="3">
        <v>46595</v>
      </c>
      <c r="BD6" s="3">
        <v>46626</v>
      </c>
      <c r="BE6" s="3">
        <v>46657</v>
      </c>
      <c r="BF6" s="3">
        <v>46687</v>
      </c>
      <c r="BG6" s="3">
        <v>46720</v>
      </c>
      <c r="BH6" s="3">
        <v>46748</v>
      </c>
      <c r="BI6" s="3">
        <v>46776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4">
        <v>1</v>
      </c>
      <c r="BQ6" s="4">
        <v>1</v>
      </c>
      <c r="BR6" s="4">
        <v>1</v>
      </c>
      <c r="BS6" s="4">
        <v>1</v>
      </c>
      <c r="BT6" s="4">
        <v>1</v>
      </c>
      <c r="BU6" s="4">
        <v>1</v>
      </c>
      <c r="BV6" s="4">
        <v>1</v>
      </c>
      <c r="BW6" s="4">
        <v>1</v>
      </c>
      <c r="BX6" s="4">
        <v>1</v>
      </c>
      <c r="BY6" s="4">
        <v>1</v>
      </c>
      <c r="BZ6" s="4">
        <v>1</v>
      </c>
      <c r="CA6" s="4">
        <v>1</v>
      </c>
      <c r="CB6" s="4">
        <v>1</v>
      </c>
      <c r="CC6" s="4">
        <v>1</v>
      </c>
      <c r="CD6" s="4">
        <v>1</v>
      </c>
      <c r="CE6" s="4">
        <v>1</v>
      </c>
      <c r="CF6" s="4">
        <v>0.25</v>
      </c>
      <c r="CG6" s="4">
        <v>0.25</v>
      </c>
      <c r="CH6" s="4">
        <v>0.25</v>
      </c>
      <c r="CI6" s="4">
        <v>0.25</v>
      </c>
      <c r="CJ6" s="4">
        <v>0.25</v>
      </c>
      <c r="CK6" s="4">
        <v>0.25</v>
      </c>
      <c r="CL6" s="4">
        <v>0.25</v>
      </c>
      <c r="CM6" s="4">
        <v>0.25</v>
      </c>
      <c r="CN6" s="4">
        <v>0.25</v>
      </c>
      <c r="CO6" s="4">
        <v>0.25</v>
      </c>
      <c r="CP6" s="4">
        <v>0.05</v>
      </c>
      <c r="CQ6" s="4">
        <v>0.05</v>
      </c>
      <c r="CR6" s="4">
        <v>0.05</v>
      </c>
      <c r="CS6" s="4">
        <v>0.05</v>
      </c>
      <c r="CT6" s="4">
        <v>0.05</v>
      </c>
      <c r="CU6" s="4">
        <v>0.05</v>
      </c>
      <c r="CV6" s="4">
        <v>0.05</v>
      </c>
      <c r="CW6" s="4">
        <v>0.05</v>
      </c>
      <c r="CX6" s="4">
        <v>0.05</v>
      </c>
      <c r="CY6" s="4">
        <v>0.05</v>
      </c>
      <c r="CZ6" s="4">
        <v>0.05</v>
      </c>
      <c r="DA6" s="4">
        <v>0.05</v>
      </c>
    </row>
    <row r="7" spans="1:105" x14ac:dyDescent="0.2">
      <c r="A7" s="31" t="s">
        <v>38</v>
      </c>
      <c r="B7" s="31">
        <v>14</v>
      </c>
      <c r="C7" s="69">
        <v>10000000</v>
      </c>
      <c r="D7" s="31" t="s">
        <v>32</v>
      </c>
      <c r="E7" s="40">
        <v>46035.625</v>
      </c>
      <c r="F7" s="37">
        <v>8287.81</v>
      </c>
      <c r="G7" s="38">
        <f t="shared" si="1"/>
        <v>5387.0765000000001</v>
      </c>
      <c r="H7" s="35">
        <f>实时行情!$E$7 /( 合约状态!F7 *合约状态!AE7)-1</f>
        <v>0.4847073361590466</v>
      </c>
      <c r="I7" s="36" cm="1">
        <f t="array" aca="1" ref="I7:J7" ca="1">TRANSPOSE(_xll.DistanceToNearestBarrier(P7,Q7,F7,AN7:BI7,BJ7:CE7))</f>
        <v>3.6205251360550639E-2</v>
      </c>
      <c r="J7" s="32">
        <f ca="1"/>
        <v>46125</v>
      </c>
      <c r="K7" s="33">
        <v>0.25840000000000002</v>
      </c>
      <c r="L7" s="72">
        <f t="shared" ca="1" si="2"/>
        <v>632726.0273972603</v>
      </c>
      <c r="M7" s="33">
        <v>0.05</v>
      </c>
      <c r="N7" s="34">
        <f t="shared" ca="1" si="3"/>
        <v>642.375</v>
      </c>
      <c r="O7" s="34"/>
      <c r="P7" s="40">
        <f ca="1">实时行情!$A$2</f>
        <v>46122.625</v>
      </c>
      <c r="Q7">
        <f>实时行情!E7</f>
        <v>7998.232</v>
      </c>
      <c r="R7" s="19" cm="1">
        <f t="array" aca="1" ref="R7:X7" ca="1">TRANSPOSE(_xll.ValuateSnowball(实时行情!$D$1,F7,AD7,AN7:BI7,BJ7:CE7,CF7:DA7,0,AJ7,AE7,AG7,AH7,AK7,AL7,0,0,0,TRUE,AF7,P7,Q7,Y7,Z7,AA7,FALSE,"ALL")*C7/F7)</f>
        <v>163460.24988005144</v>
      </c>
      <c r="S7">
        <f ca="1"/>
        <v>1299.5900783699442</v>
      </c>
      <c r="T7">
        <f ca="1"/>
        <v>-0.97027907609655517</v>
      </c>
      <c r="U7">
        <f ca="1"/>
        <v>-5106577.5881704986</v>
      </c>
      <c r="V7">
        <f ca="1"/>
        <v>2203143.4628552408</v>
      </c>
      <c r="W7">
        <f ca="1"/>
        <v>-1107932.2800942056</v>
      </c>
      <c r="X7">
        <f ca="1"/>
        <v>-8646944.9967431594</v>
      </c>
      <c r="Y7" s="4">
        <v>2.1000000000000001E-2</v>
      </c>
      <c r="Z7" s="20">
        <v>-8.8994599999999993E-2</v>
      </c>
      <c r="AA7" s="4">
        <v>0.185</v>
      </c>
      <c r="AB7" s="18">
        <v>0</v>
      </c>
      <c r="AC7" s="16">
        <v>8287.81</v>
      </c>
      <c r="AD7" s="1">
        <v>46035.625</v>
      </c>
      <c r="AE7" s="17">
        <v>0.65</v>
      </c>
      <c r="AF7" t="b">
        <v>1</v>
      </c>
      <c r="AG7" s="2">
        <v>1</v>
      </c>
      <c r="AH7" s="2">
        <v>1</v>
      </c>
      <c r="AI7" t="b">
        <v>0</v>
      </c>
      <c r="AJ7" s="4">
        <v>0.05</v>
      </c>
      <c r="AK7" s="2">
        <v>0.25</v>
      </c>
      <c r="AL7" s="2">
        <v>1</v>
      </c>
      <c r="AM7" s="6" cm="1">
        <f t="array" aca="1" ref="AM7" ca="1">IF(ISERROR(TRANSPOSE(_xll.ValuateSnowball(实时行情!$D$1,F7,AD7,AN7:BI7,BJ7:CE7,CF7:DA7,0,AJ7,AE7,AG7,AH7,AK7,AL7,0,0,0,TRUE,AF7,实时行情!$B$2,实时行情!E8,Y7,Z7,AA7,FALSE,"NPV")*C7/F7)),    0,   TRANSPOSE(_xll.ValuateSnowball(实时行情!$D$1,F7,AD7,AN7:BI7,BJ7:CE7,CF7:DA7,0,AJ7,AE7,AG7,AH7,AK7,AL7,0,0,0,TRUE,AF7,实时行情!$B$2,实时行情!$E$8,Y7,Z7,AA7,FALSE,"NPV")*C7/F7))</f>
        <v>52236.701685903296</v>
      </c>
      <c r="AN7" s="3">
        <v>46125</v>
      </c>
      <c r="AO7" s="3">
        <v>46155</v>
      </c>
      <c r="AP7" s="3">
        <v>46188</v>
      </c>
      <c r="AQ7" s="3">
        <v>46216</v>
      </c>
      <c r="AR7" s="3">
        <v>46247</v>
      </c>
      <c r="AS7" s="3">
        <v>46279</v>
      </c>
      <c r="AT7" s="3">
        <v>46308</v>
      </c>
      <c r="AU7" s="3">
        <v>46339</v>
      </c>
      <c r="AV7" s="3">
        <v>46370</v>
      </c>
      <c r="AW7" s="3">
        <v>46400</v>
      </c>
      <c r="AX7" s="3">
        <v>46433</v>
      </c>
      <c r="AY7" s="3">
        <v>46461</v>
      </c>
      <c r="AZ7" s="3">
        <v>46490</v>
      </c>
      <c r="BA7" s="3">
        <v>46520</v>
      </c>
      <c r="BB7" s="3">
        <v>46552</v>
      </c>
      <c r="BC7" s="3">
        <v>46581</v>
      </c>
      <c r="BD7" s="3">
        <v>46612</v>
      </c>
      <c r="BE7" s="3">
        <v>46643</v>
      </c>
      <c r="BF7" s="3">
        <v>46673</v>
      </c>
      <c r="BG7" s="3">
        <v>46706</v>
      </c>
      <c r="BH7" s="3">
        <v>46734</v>
      </c>
      <c r="BI7" s="3">
        <v>46765</v>
      </c>
      <c r="BJ7" s="4">
        <v>1</v>
      </c>
      <c r="BK7" s="4">
        <v>0.995</v>
      </c>
      <c r="BL7" s="4">
        <v>0.99</v>
      </c>
      <c r="BM7" s="4">
        <v>0.98499999999999999</v>
      </c>
      <c r="BN7" s="4">
        <v>0.98</v>
      </c>
      <c r="BO7" s="4">
        <v>0.97499999999999998</v>
      </c>
      <c r="BP7" s="4">
        <v>0.97</v>
      </c>
      <c r="BQ7" s="4">
        <v>0.96499999999999997</v>
      </c>
      <c r="BR7" s="4">
        <v>0.96</v>
      </c>
      <c r="BS7" s="4">
        <v>0.95499999999999996</v>
      </c>
      <c r="BT7" s="4">
        <v>0.95</v>
      </c>
      <c r="BU7" s="4">
        <v>0.94499999999999995</v>
      </c>
      <c r="BV7" s="4">
        <v>0.94</v>
      </c>
      <c r="BW7" s="4">
        <v>0.93500000000000005</v>
      </c>
      <c r="BX7" s="4">
        <v>0.92999999999999994</v>
      </c>
      <c r="BY7" s="4">
        <v>0.92500000000000004</v>
      </c>
      <c r="BZ7" s="4">
        <v>0.92</v>
      </c>
      <c r="CA7" s="4">
        <v>0.91500000000000004</v>
      </c>
      <c r="CB7" s="4">
        <v>0.91</v>
      </c>
      <c r="CC7" s="4">
        <v>0.90500000000000003</v>
      </c>
      <c r="CD7" s="4">
        <v>0.9</v>
      </c>
      <c r="CE7" s="4">
        <v>0.89500000000000002</v>
      </c>
      <c r="CF7" s="4">
        <v>0.25840000000000002</v>
      </c>
      <c r="CG7" s="4">
        <v>0.25840000000000002</v>
      </c>
      <c r="CH7" s="4">
        <v>0.25840000000000002</v>
      </c>
      <c r="CI7" s="4">
        <v>0.25840000000000002</v>
      </c>
      <c r="CJ7" s="4">
        <v>0.25840000000000002</v>
      </c>
      <c r="CK7" s="4">
        <v>0.25840000000000002</v>
      </c>
      <c r="CL7" s="4">
        <v>0.25840000000000002</v>
      </c>
      <c r="CM7" s="4">
        <v>0.25840000000000002</v>
      </c>
      <c r="CN7" s="4">
        <v>0.25840000000000002</v>
      </c>
      <c r="CO7" s="4">
        <v>0.25840000000000002</v>
      </c>
      <c r="CP7" s="4">
        <v>0.05</v>
      </c>
      <c r="CQ7" s="4">
        <v>0.05</v>
      </c>
      <c r="CR7" s="4">
        <v>0.05</v>
      </c>
      <c r="CS7" s="4">
        <v>0.05</v>
      </c>
      <c r="CT7" s="4">
        <v>0.05</v>
      </c>
      <c r="CU7" s="4">
        <v>0.05</v>
      </c>
      <c r="CV7" s="4">
        <v>0.05</v>
      </c>
      <c r="CW7" s="4">
        <v>0.05</v>
      </c>
      <c r="CX7" s="4">
        <v>0.05</v>
      </c>
      <c r="CY7" s="4">
        <v>0.05</v>
      </c>
      <c r="CZ7" s="4">
        <v>0.05</v>
      </c>
      <c r="DA7" s="4">
        <v>0.05</v>
      </c>
    </row>
    <row r="8" spans="1:105" x14ac:dyDescent="0.2">
      <c r="A8" s="31" t="s">
        <v>38</v>
      </c>
      <c r="B8" s="31">
        <v>13</v>
      </c>
      <c r="C8" s="69">
        <v>30000000</v>
      </c>
      <c r="D8" s="31" t="s">
        <v>32</v>
      </c>
      <c r="E8" s="40">
        <v>46031.625</v>
      </c>
      <c r="F8" s="37">
        <v>8080.6</v>
      </c>
      <c r="G8" s="38">
        <f t="shared" si="1"/>
        <v>5252.39</v>
      </c>
      <c r="H8" s="35">
        <f>实时行情!$E$7 /( 合约状态!F8 *合约状态!AE8)-1</f>
        <v>0.5227795346499402</v>
      </c>
      <c r="I8" s="36" cm="1">
        <f t="array" aca="1" ref="I8:J8" ca="1">TRANSPOSE(_xll.DistanceToNearestBarrier(P8,Q8,F8,AN8:BI8,BJ8:CE8))</f>
        <v>5.2467845393833201E-3</v>
      </c>
      <c r="J8" s="32">
        <f ca="1"/>
        <v>46153</v>
      </c>
      <c r="K8" s="33">
        <v>0.27500000000000002</v>
      </c>
      <c r="L8" s="72">
        <f t="shared" ca="1" si="2"/>
        <v>2743407.5342465756</v>
      </c>
      <c r="M8" s="33">
        <v>0.05</v>
      </c>
      <c r="N8" s="34">
        <f t="shared" ca="1" si="3"/>
        <v>639.375</v>
      </c>
      <c r="O8" s="34"/>
      <c r="P8" s="40">
        <f ca="1">实时行情!$A$2</f>
        <v>46122.625</v>
      </c>
      <c r="Q8">
        <f>实时行情!E7</f>
        <v>7998.232</v>
      </c>
      <c r="R8" s="19" cm="1">
        <f t="array" aca="1" ref="R8:X8" ca="1">TRANSPOSE(_xll.ValuateSnowball(实时行情!$D$1,F8,AD8,AN8:BI8,BJ8:CE8,CF8:DA8,0,AJ8,AE8,AG8,AH8,AK8,AL8,0,0,0,TRUE,AF8,P8,Q8,Y8,Z8,AA8,FALSE,"ALL")*C8/F8)</f>
        <v>1391417.3302593529</v>
      </c>
      <c r="S8">
        <f ca="1"/>
        <v>3364.2095974689314</v>
      </c>
      <c r="T8">
        <f ca="1"/>
        <v>-4.8192494526451179</v>
      </c>
      <c r="U8">
        <f ca="1"/>
        <v>-13522660.940881956</v>
      </c>
      <c r="V8">
        <f ca="1"/>
        <v>8009419.8936316893</v>
      </c>
      <c r="W8">
        <f ca="1"/>
        <v>-14950354.610838111</v>
      </c>
      <c r="X8">
        <f ca="1"/>
        <v>-18418310.052647069</v>
      </c>
      <c r="Y8" s="4">
        <v>2.1000000000000001E-2</v>
      </c>
      <c r="Z8" s="20">
        <v>-8.1110000000000002E-2</v>
      </c>
      <c r="AA8" s="4">
        <v>0.182</v>
      </c>
      <c r="AB8" s="18">
        <v>0</v>
      </c>
      <c r="AC8" s="16">
        <v>8080.6</v>
      </c>
      <c r="AD8" s="1">
        <v>46031.625</v>
      </c>
      <c r="AE8" s="17">
        <v>0.65</v>
      </c>
      <c r="AF8" t="b">
        <v>1</v>
      </c>
      <c r="AG8" s="2">
        <v>1</v>
      </c>
      <c r="AH8" s="2">
        <v>1</v>
      </c>
      <c r="AI8" t="b">
        <v>0</v>
      </c>
      <c r="AJ8" s="4">
        <v>0.05</v>
      </c>
      <c r="AK8" s="2">
        <v>1</v>
      </c>
      <c r="AL8" s="2">
        <v>1</v>
      </c>
      <c r="AM8" s="6" cm="1">
        <f t="array" aca="1" ref="AM8" ca="1">TRANSPOSE(_xll.ValuateSnowball(实时行情!$D$1,F8,AD8,AN8:BI8,BJ8:CE8,CF8:DA8,0,AJ8,AE8,AG8,AH8,AK8,AL8,0,0,0,TRUE,AF8,实时行情!$B$2,实时行情!E8,Y8,Z8,AA8,FALSE,"NPV")*C8/F8)</f>
        <v>1087082.4904270889</v>
      </c>
      <c r="AN8" s="3">
        <v>46121</v>
      </c>
      <c r="AO8" s="3">
        <v>46153</v>
      </c>
      <c r="AP8" s="3">
        <v>46182</v>
      </c>
      <c r="AQ8" s="3">
        <v>46212</v>
      </c>
      <c r="AR8" s="3">
        <v>46244</v>
      </c>
      <c r="AS8" s="3">
        <v>46274</v>
      </c>
      <c r="AT8" s="3">
        <v>46304</v>
      </c>
      <c r="AU8" s="3">
        <v>46335</v>
      </c>
      <c r="AV8" s="3">
        <v>46365</v>
      </c>
      <c r="AW8" s="3">
        <v>46398</v>
      </c>
      <c r="AX8" s="3">
        <v>46433</v>
      </c>
      <c r="AY8" s="3">
        <v>46455</v>
      </c>
      <c r="AZ8" s="3">
        <v>46486</v>
      </c>
      <c r="BA8" s="3">
        <v>46517</v>
      </c>
      <c r="BB8" s="3">
        <v>46548</v>
      </c>
      <c r="BC8" s="3">
        <v>46577</v>
      </c>
      <c r="BD8" s="3">
        <v>46608</v>
      </c>
      <c r="BE8" s="3">
        <v>46639</v>
      </c>
      <c r="BF8" s="3">
        <v>46671</v>
      </c>
      <c r="BG8" s="3">
        <v>46700</v>
      </c>
      <c r="BH8" s="3">
        <v>46730</v>
      </c>
      <c r="BI8" s="3">
        <v>46762</v>
      </c>
      <c r="BJ8" s="4">
        <v>1</v>
      </c>
      <c r="BK8" s="4">
        <v>0.995</v>
      </c>
      <c r="BL8" s="4">
        <v>0.99</v>
      </c>
      <c r="BM8" s="4">
        <v>0.98499999999999999</v>
      </c>
      <c r="BN8" s="4">
        <v>0.98</v>
      </c>
      <c r="BO8" s="4">
        <v>0.97499999999999998</v>
      </c>
      <c r="BP8" s="4">
        <v>0.97</v>
      </c>
      <c r="BQ8" s="4">
        <v>0.96499999999999997</v>
      </c>
      <c r="BR8" s="4">
        <v>0.96</v>
      </c>
      <c r="BS8" s="4">
        <v>0.95499999999999996</v>
      </c>
      <c r="BT8" s="4">
        <v>0.95</v>
      </c>
      <c r="BU8" s="4">
        <v>0.94499999999999995</v>
      </c>
      <c r="BV8" s="4">
        <v>0.94</v>
      </c>
      <c r="BW8" s="4">
        <v>0.93500000000000005</v>
      </c>
      <c r="BX8" s="4">
        <v>0.92999999999999994</v>
      </c>
      <c r="BY8" s="4">
        <v>0.92500000000000004</v>
      </c>
      <c r="BZ8" s="4">
        <v>0.92</v>
      </c>
      <c r="CA8" s="4">
        <v>0.91500000000000004</v>
      </c>
      <c r="CB8" s="4">
        <v>0.91</v>
      </c>
      <c r="CC8" s="4">
        <v>0.90500000000000003</v>
      </c>
      <c r="CD8" s="4">
        <v>0.9</v>
      </c>
      <c r="CE8" s="4">
        <v>0.89500000000000002</v>
      </c>
      <c r="CF8" s="4">
        <v>0.27500000000000002</v>
      </c>
      <c r="CG8" s="4">
        <v>0.27500000000000002</v>
      </c>
      <c r="CH8" s="4">
        <v>0.27500000000000002</v>
      </c>
      <c r="CI8" s="4">
        <v>0.27500000000000002</v>
      </c>
      <c r="CJ8" s="4">
        <v>0.27500000000000002</v>
      </c>
      <c r="CK8" s="4">
        <v>0.27500000000000002</v>
      </c>
      <c r="CL8" s="4">
        <v>0.27500000000000002</v>
      </c>
      <c r="CM8" s="4">
        <v>0.27500000000000002</v>
      </c>
      <c r="CN8" s="4">
        <v>0.27500000000000002</v>
      </c>
      <c r="CO8" s="4">
        <v>0.27500000000000002</v>
      </c>
      <c r="CP8" s="4">
        <v>0.05</v>
      </c>
      <c r="CQ8" s="4">
        <v>0.05</v>
      </c>
      <c r="CR8" s="4">
        <v>0.05</v>
      </c>
      <c r="CS8" s="4">
        <v>0.05</v>
      </c>
      <c r="CT8" s="4">
        <v>0.05</v>
      </c>
      <c r="CU8" s="4">
        <v>0.05</v>
      </c>
      <c r="CV8" s="4">
        <v>0.05</v>
      </c>
      <c r="CW8" s="4">
        <v>0.05</v>
      </c>
      <c r="CX8" s="4">
        <v>0.05</v>
      </c>
      <c r="CY8" s="4">
        <v>0.05</v>
      </c>
      <c r="CZ8" s="4">
        <v>0.05</v>
      </c>
      <c r="DA8" s="4">
        <v>0.05</v>
      </c>
    </row>
    <row r="10" spans="1:105" x14ac:dyDescent="0.2">
      <c r="E10" s="4"/>
      <c r="AJ10" s="4"/>
    </row>
    <row r="11" spans="1:105" x14ac:dyDescent="0.2">
      <c r="AJ11" s="4"/>
    </row>
    <row r="12" spans="1:105" x14ac:dyDescent="0.2">
      <c r="AJ12" s="4"/>
    </row>
    <row r="13" spans="1:105" x14ac:dyDescent="0.2">
      <c r="AJ13" s="4"/>
      <c r="AN13" s="68"/>
    </row>
    <row r="14" spans="1:105" x14ac:dyDescent="0.2">
      <c r="AJ14" s="4"/>
      <c r="AN14" s="67"/>
    </row>
    <row r="15" spans="1:105" x14ac:dyDescent="0.2">
      <c r="P15" s="9"/>
      <c r="Q15" s="12"/>
      <c r="S15" s="6"/>
      <c r="T15" s="6"/>
      <c r="U15" s="6"/>
      <c r="V15" s="6"/>
      <c r="W15" s="6"/>
      <c r="X15" s="6"/>
      <c r="AA15"/>
      <c r="AL15" s="6"/>
      <c r="AM15"/>
      <c r="AN15" s="67"/>
      <c r="BI15" s="4"/>
      <c r="DA15"/>
    </row>
    <row r="16" spans="1:105" x14ac:dyDescent="0.2">
      <c r="P16" s="9"/>
      <c r="Q16" s="12"/>
      <c r="S16" s="6"/>
      <c r="T16" s="6"/>
      <c r="U16" s="6"/>
      <c r="V16" s="6"/>
      <c r="W16" s="6"/>
      <c r="X16" s="6"/>
      <c r="AA16"/>
      <c r="AL16" s="6"/>
      <c r="AM16"/>
      <c r="AN16" s="67"/>
      <c r="BI16" s="4"/>
      <c r="DA16"/>
    </row>
    <row r="17" spans="16:105" x14ac:dyDescent="0.2">
      <c r="P17" s="9"/>
      <c r="Q17" s="12"/>
      <c r="S17" s="6"/>
      <c r="T17" s="6"/>
      <c r="U17" s="6"/>
      <c r="V17" s="6"/>
      <c r="W17" s="6"/>
      <c r="X17" s="6"/>
      <c r="AA17"/>
      <c r="AL17" s="6"/>
      <c r="AM17"/>
      <c r="AN17" s="67"/>
      <c r="BI17" s="4"/>
      <c r="DA17"/>
    </row>
    <row r="18" spans="16:105" x14ac:dyDescent="0.2">
      <c r="P18" s="9"/>
      <c r="Q18" s="12"/>
      <c r="S18" s="6"/>
      <c r="T18" s="6"/>
      <c r="U18" s="6"/>
      <c r="V18" s="6"/>
      <c r="W18" s="6"/>
      <c r="X18" s="6"/>
      <c r="AA18"/>
      <c r="AL18" s="6"/>
      <c r="AM18"/>
      <c r="AN18" s="67"/>
      <c r="BI18" s="4"/>
      <c r="DA18"/>
    </row>
    <row r="19" spans="16:105" x14ac:dyDescent="0.2">
      <c r="P19" s="9"/>
      <c r="Q19" s="12"/>
      <c r="S19" s="6"/>
      <c r="T19" s="6"/>
      <c r="U19" s="6"/>
      <c r="V19" s="6"/>
      <c r="W19" s="6"/>
      <c r="X19" s="6"/>
      <c r="AA19"/>
      <c r="AL19" s="6"/>
      <c r="AM19"/>
      <c r="AN19" s="67"/>
      <c r="BI19" s="4"/>
      <c r="DA19"/>
    </row>
    <row r="20" spans="16:105" x14ac:dyDescent="0.2">
      <c r="P20" s="9"/>
      <c r="Q20" s="12"/>
      <c r="S20" s="6"/>
      <c r="T20" s="6"/>
      <c r="U20" s="6"/>
      <c r="V20" s="6"/>
      <c r="W20" s="6"/>
      <c r="X20" s="6"/>
      <c r="AA20"/>
      <c r="AL20" s="6"/>
      <c r="AM20"/>
      <c r="AN20" s="67"/>
      <c r="BI20" s="4"/>
      <c r="DA20"/>
    </row>
    <row r="21" spans="16:105" x14ac:dyDescent="0.2">
      <c r="P21" s="9"/>
      <c r="Q21" s="12"/>
      <c r="S21" s="6"/>
      <c r="T21" s="6"/>
      <c r="U21" s="6"/>
      <c r="V21" s="6"/>
      <c r="W21" s="6"/>
      <c r="X21" s="6"/>
      <c r="AA21"/>
      <c r="AL21" s="6"/>
      <c r="AM21"/>
      <c r="AN21" s="67"/>
      <c r="BI21" s="4"/>
      <c r="DA21"/>
    </row>
    <row r="22" spans="16:105" x14ac:dyDescent="0.2">
      <c r="P22" s="9"/>
      <c r="Q22" s="12"/>
      <c r="S22" s="6"/>
      <c r="T22" s="6"/>
      <c r="U22" s="6"/>
      <c r="V22" s="6"/>
      <c r="W22" s="6"/>
      <c r="X22" s="6"/>
      <c r="AA22"/>
      <c r="AL22" s="6"/>
      <c r="AM22"/>
      <c r="AN22" s="67"/>
      <c r="BI22" s="4"/>
      <c r="DA22"/>
    </row>
    <row r="23" spans="16:105" x14ac:dyDescent="0.2">
      <c r="P23" s="9"/>
      <c r="Q23" s="12"/>
      <c r="S23" s="6"/>
      <c r="T23" s="6"/>
      <c r="U23" s="6"/>
      <c r="V23" s="6"/>
      <c r="W23" s="6"/>
      <c r="X23" s="6"/>
      <c r="AA23"/>
      <c r="AL23" s="6"/>
      <c r="AM23"/>
      <c r="AN23" s="67"/>
      <c r="BI23" s="4"/>
      <c r="DA23"/>
    </row>
    <row r="24" spans="16:105" x14ac:dyDescent="0.2">
      <c r="P24" s="9"/>
      <c r="Q24" s="12"/>
      <c r="S24" s="6"/>
      <c r="T24" s="6"/>
      <c r="U24" s="6"/>
      <c r="V24" s="6"/>
      <c r="W24" s="6"/>
      <c r="X24" s="6"/>
      <c r="AA24"/>
      <c r="AL24" s="6"/>
      <c r="AM24"/>
      <c r="AN24" s="67"/>
      <c r="BI24" s="4"/>
      <c r="DA24"/>
    </row>
    <row r="25" spans="16:105" x14ac:dyDescent="0.2">
      <c r="P25" s="9"/>
      <c r="Q25" s="12"/>
      <c r="S25" s="6"/>
      <c r="T25" s="6"/>
      <c r="U25" s="6"/>
      <c r="V25" s="6"/>
      <c r="W25" s="6"/>
      <c r="X25" s="6"/>
      <c r="AA25"/>
      <c r="AL25" s="6"/>
      <c r="AM25"/>
      <c r="AN25" s="67"/>
      <c r="BI25" s="4"/>
      <c r="DA25"/>
    </row>
    <row r="26" spans="16:105" x14ac:dyDescent="0.2">
      <c r="P26" s="9"/>
      <c r="Q26" s="12"/>
      <c r="S26" s="6"/>
      <c r="T26" s="6"/>
      <c r="U26" s="6"/>
      <c r="V26" s="6"/>
      <c r="W26" s="6"/>
      <c r="X26" s="6"/>
      <c r="AA26"/>
      <c r="AL26" s="6"/>
      <c r="AM26"/>
      <c r="AN26" s="67"/>
      <c r="BI26" s="4"/>
      <c r="DA26"/>
    </row>
    <row r="27" spans="16:105" x14ac:dyDescent="0.2">
      <c r="P27" s="9"/>
      <c r="Q27" s="12"/>
      <c r="S27" s="6"/>
      <c r="T27" s="6"/>
      <c r="U27" s="6"/>
      <c r="V27" s="6"/>
      <c r="W27" s="6"/>
      <c r="X27" s="6"/>
      <c r="AA27"/>
      <c r="AL27" s="6"/>
      <c r="AM27"/>
      <c r="AN27" s="67"/>
      <c r="BI27" s="4"/>
      <c r="DA27"/>
    </row>
    <row r="28" spans="16:105" x14ac:dyDescent="0.2">
      <c r="P28" s="9"/>
      <c r="Q28" s="12"/>
      <c r="S28" s="6"/>
      <c r="T28" s="6"/>
      <c r="U28" s="6"/>
      <c r="V28" s="6"/>
      <c r="W28" s="6"/>
      <c r="X28" s="6"/>
      <c r="AA28"/>
      <c r="AL28" s="6"/>
      <c r="AM28"/>
      <c r="AN28" s="67"/>
      <c r="BI28" s="4"/>
      <c r="DA28"/>
    </row>
    <row r="29" spans="16:105" x14ac:dyDescent="0.2">
      <c r="P29" s="9"/>
      <c r="Q29" s="12"/>
      <c r="S29" s="6"/>
      <c r="T29" s="6"/>
      <c r="U29" s="6"/>
      <c r="V29" s="6"/>
      <c r="W29" s="6"/>
      <c r="X29" s="6"/>
      <c r="AA29"/>
      <c r="AL29" s="6"/>
      <c r="AM29"/>
      <c r="AN29" s="67"/>
      <c r="BI29" s="4"/>
      <c r="DA29"/>
    </row>
    <row r="30" spans="16:105" x14ac:dyDescent="0.2">
      <c r="P30" s="9"/>
      <c r="Q30" s="12"/>
      <c r="S30" s="6"/>
      <c r="T30" s="6"/>
      <c r="U30" s="6"/>
      <c r="V30" s="6"/>
      <c r="W30" s="6"/>
      <c r="X30" s="6"/>
      <c r="AA30"/>
      <c r="AL30" s="6"/>
      <c r="AM30"/>
      <c r="AN30" s="67"/>
      <c r="BI30" s="4"/>
      <c r="DA30"/>
    </row>
    <row r="31" spans="16:105" x14ac:dyDescent="0.2">
      <c r="P31" s="9"/>
      <c r="Q31" s="12"/>
      <c r="S31" s="6"/>
      <c r="T31" s="6"/>
      <c r="U31" s="6"/>
      <c r="V31" s="6"/>
      <c r="W31" s="6"/>
      <c r="X31" s="6"/>
      <c r="AA31"/>
      <c r="AL31" s="6"/>
      <c r="AM31"/>
      <c r="AN31" s="67"/>
      <c r="BI31" s="4"/>
      <c r="DA31"/>
    </row>
    <row r="32" spans="16:105" x14ac:dyDescent="0.2">
      <c r="P32" s="9"/>
      <c r="Q32" s="12"/>
      <c r="S32" s="6"/>
      <c r="T32" s="6"/>
      <c r="U32" s="6"/>
      <c r="V32" s="6"/>
      <c r="W32" s="6"/>
      <c r="X32" s="6"/>
      <c r="AA32"/>
      <c r="AL32" s="6"/>
      <c r="AM32"/>
      <c r="AN32" s="67"/>
      <c r="BI32" s="4"/>
      <c r="DA32"/>
    </row>
    <row r="33" spans="16:105" x14ac:dyDescent="0.2">
      <c r="P33" s="9"/>
      <c r="Q33" s="12"/>
      <c r="S33" s="6"/>
      <c r="T33" s="6"/>
      <c r="U33" s="6"/>
      <c r="V33" s="6"/>
      <c r="W33" s="6"/>
      <c r="X33" s="6"/>
      <c r="AA33"/>
      <c r="AL33" s="6"/>
      <c r="AM33"/>
      <c r="AN33" s="67"/>
      <c r="BI33" s="4"/>
      <c r="DA33"/>
    </row>
    <row r="34" spans="16:105" x14ac:dyDescent="0.2">
      <c r="P34" s="9"/>
      <c r="Q34" s="12"/>
      <c r="S34" s="6"/>
      <c r="T34" s="6"/>
      <c r="U34" s="6"/>
      <c r="V34" s="6"/>
      <c r="W34" s="6"/>
      <c r="X34" s="6"/>
      <c r="AA34"/>
      <c r="AL34" s="6"/>
      <c r="AM34"/>
      <c r="AN34" s="67"/>
      <c r="BI34" s="4"/>
      <c r="DA34"/>
    </row>
    <row r="35" spans="16:105" x14ac:dyDescent="0.2">
      <c r="P35" s="9"/>
      <c r="Q35" s="12"/>
      <c r="S35" s="6"/>
      <c r="T35" s="6"/>
      <c r="U35" s="6"/>
      <c r="V35" s="6"/>
      <c r="W35" s="6"/>
      <c r="X35" s="6"/>
      <c r="AA35"/>
      <c r="AL35" s="6"/>
      <c r="AM35"/>
      <c r="BI35" s="4"/>
      <c r="DA35"/>
    </row>
    <row r="36" spans="16:105" x14ac:dyDescent="0.2">
      <c r="P36" s="9"/>
      <c r="Q36" s="12"/>
      <c r="S36" s="6"/>
      <c r="T36" s="6"/>
      <c r="U36" s="6"/>
      <c r="V36" s="6"/>
      <c r="W36" s="6"/>
      <c r="X36" s="6"/>
      <c r="AA36"/>
      <c r="AL36" s="6"/>
      <c r="AM36"/>
      <c r="BI36" s="4"/>
      <c r="DA36"/>
    </row>
    <row r="37" spans="16:105" x14ac:dyDescent="0.2">
      <c r="P37" s="9"/>
      <c r="Q37" s="12"/>
      <c r="S37" s="6"/>
      <c r="T37" s="6"/>
      <c r="U37" s="6"/>
      <c r="V37" s="6"/>
      <c r="W37" s="6"/>
      <c r="X37" s="6"/>
      <c r="AA37"/>
      <c r="AL37" s="6"/>
      <c r="AM37"/>
      <c r="BI37" s="4"/>
      <c r="DA37"/>
    </row>
    <row r="38" spans="16:105" x14ac:dyDescent="0.2">
      <c r="P38" s="9"/>
      <c r="Q38" s="12"/>
      <c r="S38" s="6"/>
      <c r="T38" s="6"/>
      <c r="U38" s="6"/>
      <c r="V38" s="6"/>
      <c r="W38" s="6"/>
      <c r="X38" s="6"/>
      <c r="AA38"/>
      <c r="AL38" s="6"/>
      <c r="AM38"/>
      <c r="BI38" s="4"/>
      <c r="DA38"/>
    </row>
    <row r="39" spans="16:105" x14ac:dyDescent="0.2">
      <c r="P39" s="9"/>
      <c r="Q39" s="12"/>
      <c r="S39" s="6"/>
      <c r="T39" s="6"/>
      <c r="U39" s="6"/>
      <c r="V39" s="6"/>
      <c r="W39" s="6"/>
      <c r="X39" s="6"/>
      <c r="AA39"/>
      <c r="AL39" s="6"/>
      <c r="AM39"/>
      <c r="BI39" s="4"/>
      <c r="DA39"/>
    </row>
    <row r="40" spans="16:105" x14ac:dyDescent="0.2">
      <c r="P40" s="9"/>
      <c r="Q40" s="12"/>
      <c r="S40" s="6"/>
      <c r="T40" s="6"/>
      <c r="U40" s="6"/>
      <c r="V40" s="6"/>
      <c r="W40" s="6"/>
      <c r="X40" s="6"/>
      <c r="AA40"/>
      <c r="AL40" s="6"/>
      <c r="AM40"/>
      <c r="BI40" s="4"/>
      <c r="DA40"/>
    </row>
    <row r="41" spans="16:105" x14ac:dyDescent="0.2">
      <c r="P41" s="9"/>
      <c r="Q41" s="12"/>
      <c r="S41" s="6"/>
      <c r="T41" s="6"/>
      <c r="U41" s="6"/>
      <c r="V41" s="6"/>
      <c r="W41" s="6"/>
      <c r="X41" s="6"/>
      <c r="AA41"/>
      <c r="AL41" s="6"/>
      <c r="AM41"/>
      <c r="BI41" s="4"/>
      <c r="DA41"/>
    </row>
    <row r="42" spans="16:105" x14ac:dyDescent="0.2">
      <c r="P42" s="9"/>
      <c r="Q42" s="12"/>
      <c r="S42" s="6"/>
      <c r="T42" s="6"/>
      <c r="U42" s="6"/>
      <c r="V42" s="6"/>
      <c r="W42" s="6"/>
      <c r="X42" s="6"/>
      <c r="AA42"/>
      <c r="AL42" s="6"/>
      <c r="AM42"/>
      <c r="BI42" s="4"/>
      <c r="DA42"/>
    </row>
    <row r="43" spans="16:105" x14ac:dyDescent="0.2">
      <c r="P43" s="9"/>
      <c r="Q43" s="12"/>
      <c r="S43" s="6"/>
      <c r="T43" s="6"/>
      <c r="U43" s="6"/>
      <c r="V43" s="6"/>
      <c r="W43" s="6"/>
      <c r="X43" s="6"/>
      <c r="AA43"/>
      <c r="AL43" s="6"/>
      <c r="AM43"/>
      <c r="BI43" s="4"/>
      <c r="DA43"/>
    </row>
    <row r="44" spans="16:105" x14ac:dyDescent="0.2">
      <c r="P44" s="10"/>
      <c r="Q44" s="12"/>
      <c r="S44" s="6"/>
      <c r="T44" s="6"/>
      <c r="U44" s="6"/>
      <c r="V44" s="6"/>
      <c r="W44" s="6"/>
      <c r="X44" s="6"/>
      <c r="AA44"/>
      <c r="AL44" s="6"/>
      <c r="AM44"/>
      <c r="BI44" s="4"/>
      <c r="DA44"/>
    </row>
    <row r="45" spans="16:105" x14ac:dyDescent="0.2">
      <c r="X45" s="4"/>
      <c r="AA45"/>
      <c r="AL45" s="6"/>
      <c r="AM45"/>
      <c r="BI45" s="4"/>
      <c r="DA45"/>
    </row>
    <row r="46" spans="16:105" x14ac:dyDescent="0.2">
      <c r="P46" s="11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4688-BF49-46AD-9A16-1F3BC2720D6D}">
  <dimension ref="A1:R37"/>
  <sheetViews>
    <sheetView tabSelected="1" workbookViewId="0">
      <selection activeCell="C16" sqref="C16"/>
    </sheetView>
  </sheetViews>
  <sheetFormatPr defaultRowHeight="14.25" x14ac:dyDescent="0.2"/>
  <cols>
    <col min="1" max="1" width="18.875" customWidth="1"/>
    <col min="2" max="5" width="13.5" customWidth="1"/>
    <col min="7" max="7" width="18.25" style="42" customWidth="1"/>
    <col min="18" max="18" width="19.875" bestFit="1" customWidth="1"/>
  </cols>
  <sheetData>
    <row r="1" spans="1:8" x14ac:dyDescent="0.2">
      <c r="A1" s="31" t="s">
        <v>28</v>
      </c>
      <c r="B1" s="31" t="s">
        <v>44</v>
      </c>
      <c r="C1" s="31"/>
      <c r="D1" s="56" t="s">
        <v>36</v>
      </c>
      <c r="E1" s="31"/>
      <c r="F1" s="31"/>
      <c r="G1" s="43"/>
      <c r="H1" s="31"/>
    </row>
    <row r="2" spans="1:8" x14ac:dyDescent="0.2">
      <c r="A2" s="40">
        <f ca="1">IF(NOW()&gt;TODAY()+0.625, TODAY()+0.625, NOW())</f>
        <v>46122.625</v>
      </c>
      <c r="B2" s="57" cm="1">
        <f t="array" aca="1" ref="B2" ca="1">_xll.GetNextBusinessDate(D1,TODAY(),-1)+0.625</f>
        <v>46121.625</v>
      </c>
      <c r="C2" s="31"/>
      <c r="D2" s="31"/>
      <c r="E2" s="31"/>
      <c r="F2" s="31"/>
      <c r="G2" s="43"/>
      <c r="H2" s="31"/>
    </row>
    <row r="3" spans="1:8" x14ac:dyDescent="0.2">
      <c r="A3" s="31"/>
      <c r="B3" s="31"/>
      <c r="C3" s="31"/>
      <c r="D3" s="31"/>
      <c r="E3" s="31"/>
      <c r="F3" s="31"/>
      <c r="G3" s="43"/>
      <c r="H3" s="31"/>
    </row>
    <row r="4" spans="1:8" x14ac:dyDescent="0.2">
      <c r="A4" s="31"/>
      <c r="B4" s="31"/>
      <c r="C4" s="31"/>
      <c r="D4" s="31"/>
      <c r="E4" s="31"/>
      <c r="F4" s="31"/>
      <c r="G4" s="43"/>
      <c r="H4" s="31"/>
    </row>
    <row r="5" spans="1:8" x14ac:dyDescent="0.2">
      <c r="A5" s="31" t="s">
        <v>53</v>
      </c>
      <c r="B5" s="31" t="s">
        <v>42</v>
      </c>
      <c r="C5" s="31" t="s">
        <v>23</v>
      </c>
      <c r="D5" s="31" t="s">
        <v>29</v>
      </c>
      <c r="E5" s="31" t="s">
        <v>30</v>
      </c>
      <c r="F5" s="31"/>
      <c r="G5" s="43"/>
      <c r="H5" s="31"/>
    </row>
    <row r="6" spans="1:8" x14ac:dyDescent="0.2">
      <c r="A6" s="31"/>
      <c r="B6" s="31" t="s">
        <v>43</v>
      </c>
      <c r="C6" s="31" t="s">
        <v>31</v>
      </c>
      <c r="D6" s="31" t="s">
        <v>10</v>
      </c>
      <c r="E6" s="31" t="s">
        <v>32</v>
      </c>
      <c r="F6" s="31"/>
      <c r="G6" s="43"/>
      <c r="H6" s="31"/>
    </row>
    <row r="7" spans="1:8" x14ac:dyDescent="0.2">
      <c r="A7" s="31" t="s">
        <v>50</v>
      </c>
      <c r="B7" s="31">
        <f>RTD("em.rtq",,B6,"NOW")</f>
        <v>2899.5790000000002</v>
      </c>
      <c r="C7" s="31">
        <f>RTD("em.rtq",,C6,"NOW")</f>
        <v>4636.5649999999996</v>
      </c>
      <c r="D7" s="31">
        <f>RTD("em.rtq",,D6,"NOW")</f>
        <v>7969.3639999999996</v>
      </c>
      <c r="E7" s="31">
        <f>RTD("em.rtq",,E6,"NOW")</f>
        <v>7998.232</v>
      </c>
      <c r="F7" s="31"/>
      <c r="G7" s="43"/>
      <c r="H7" s="31"/>
    </row>
    <row r="8" spans="1:8" x14ac:dyDescent="0.2">
      <c r="A8" s="31" t="s">
        <v>51</v>
      </c>
      <c r="B8" s="31" cm="1">
        <f t="array" aca="1" ref="B8" ca="1">[1]!EM_I_DQ_CLOSE(B6,实时行情!$B$2)</f>
        <v>2884.76</v>
      </c>
      <c r="C8" s="31" cm="1">
        <f t="array" aca="1" ref="C8" ca="1">[1]!EM_I_DQ_CLOSE(C6,实时行情!$B$2)</f>
        <v>4566.2236999999996</v>
      </c>
      <c r="D8" s="31" cm="1">
        <f t="array" aca="1" ref="D8" ca="1">[1]!EM_I_DQ_CLOSE(D6,实时行情!$B$2)</f>
        <v>7898.6328999999996</v>
      </c>
      <c r="E8" s="31" cm="1">
        <f t="array" aca="1" ref="E8" ca="1">[1]!EM_I_DQ_CLOSE(E6,实时行情!$B$2)</f>
        <v>7921.4465</v>
      </c>
      <c r="F8" s="31"/>
      <c r="G8" s="43"/>
      <c r="H8" s="31"/>
    </row>
    <row r="9" spans="1:8" x14ac:dyDescent="0.2">
      <c r="A9" s="44" t="s">
        <v>66</v>
      </c>
      <c r="B9" s="44"/>
      <c r="C9" s="44"/>
      <c r="D9" s="44"/>
      <c r="E9" s="44"/>
      <c r="F9" s="44"/>
      <c r="G9" s="43" t="s">
        <v>48</v>
      </c>
      <c r="H9" s="31"/>
    </row>
    <row r="10" spans="1:8" x14ac:dyDescent="0.2">
      <c r="A10" s="44"/>
      <c r="B10" s="44"/>
      <c r="C10" s="44"/>
      <c r="D10" s="44"/>
      <c r="E10" s="44"/>
      <c r="F10" s="44"/>
      <c r="G10" s="43"/>
      <c r="H10" s="31"/>
    </row>
    <row r="11" spans="1:8" x14ac:dyDescent="0.2">
      <c r="A11" s="31" t="s">
        <v>34</v>
      </c>
      <c r="B11" s="45">
        <f>SUMIF(合约状态!$D:$D,B6,合约状态!$AM:$AM)</f>
        <v>0</v>
      </c>
      <c r="C11" s="45">
        <f>SUMIF(合约状态!$D:$D,C6,合约状态!$AM:$AM)</f>
        <v>0</v>
      </c>
      <c r="D11" s="45">
        <f>SUMIF(合约状态!$D:$D,D6,合约状态!$AM:$AM)</f>
        <v>0</v>
      </c>
      <c r="E11" s="45">
        <f ca="1">SUMIF(合约状态!$D:$D,E6,合约状态!$AM:$AM)+ SUMIF(合约状态!$D:$D,E6,合约状态!$AB:$AB)</f>
        <v>1049020.2999482066</v>
      </c>
      <c r="F11" s="34"/>
      <c r="G11" s="43">
        <f t="shared" ref="G11" ca="1" si="0">SUM(B11:E11)</f>
        <v>1049020.2999482066</v>
      </c>
      <c r="H11" s="31"/>
    </row>
    <row r="12" spans="1:8" x14ac:dyDescent="0.2">
      <c r="A12" s="25" t="s">
        <v>33</v>
      </c>
      <c r="B12" s="46">
        <f>SUMIF(合约状态!$D:$D,B6,合约状态!$R:$R)</f>
        <v>0</v>
      </c>
      <c r="C12" s="46">
        <f>SUMIF(合约状态!$D:$D,C6,合约状态!$R:$R)</f>
        <v>0</v>
      </c>
      <c r="D12" s="46">
        <f>SUMIF(合约状态!$D:$D,D6,合约状态!$R:$R)</f>
        <v>0</v>
      </c>
      <c r="E12" s="46">
        <f ca="1">SUMIF(合约状态!$D:$D,E6,合约状态!$R:$R)+ SUMIF(合约状态!$D:$D,E6,合约状态!$AB:$AB)</f>
        <v>2253574.8281211113</v>
      </c>
      <c r="F12" s="47"/>
      <c r="G12" s="48">
        <f ca="1">SUM(B12:E12)</f>
        <v>2253574.8281211113</v>
      </c>
      <c r="H12" s="58"/>
    </row>
    <row r="13" spans="1:8" x14ac:dyDescent="0.2">
      <c r="A13" s="49" t="s">
        <v>35</v>
      </c>
      <c r="B13" s="50">
        <f>B12-B11</f>
        <v>0</v>
      </c>
      <c r="C13" s="50">
        <f>C12-C11</f>
        <v>0</v>
      </c>
      <c r="D13" s="50">
        <f>D12-D11</f>
        <v>0</v>
      </c>
      <c r="E13" s="50">
        <f ca="1">E12-E11</f>
        <v>1204554.5281729046</v>
      </c>
      <c r="F13" s="51"/>
      <c r="G13" s="52">
        <f ca="1">SUM(B13:E13)</f>
        <v>1204554.5281729046</v>
      </c>
      <c r="H13" s="31"/>
    </row>
    <row r="14" spans="1:8" x14ac:dyDescent="0.2">
      <c r="H14" s="31"/>
    </row>
    <row r="15" spans="1:8" x14ac:dyDescent="0.2">
      <c r="H15" s="31"/>
    </row>
    <row r="16" spans="1:8" x14ac:dyDescent="0.2">
      <c r="A16" s="31" t="s">
        <v>98</v>
      </c>
      <c r="B16" s="45">
        <f ca="1">SUMIFS(合约状态!$C:$C,合约状态!$I:$I,"&lt;0",合约状态!$D:$D,B6)</f>
        <v>0</v>
      </c>
      <c r="C16" s="45">
        <f ca="1">SUMIFS(合约状态!$C:$C,合约状态!$I:$I,"&lt;0",合约状态!$D:$D,C6)</f>
        <v>0</v>
      </c>
      <c r="D16" s="45">
        <f ca="1">SUMIFS(合约状态!$C:$C,合约状态!$I:$I,"&lt;0",合约状态!$D:$D,D6)</f>
        <v>0</v>
      </c>
      <c r="E16" s="45">
        <f ca="1">SUMIFS(合约状态!$C:$C,合约状态!$I:$I,"&lt;0",合约状态!$D:$D,E6)</f>
        <v>23000000</v>
      </c>
      <c r="F16" s="31"/>
      <c r="G16" s="43">
        <f ca="1">SUM(B16:E16)</f>
        <v>23000000</v>
      </c>
      <c r="H16" s="31"/>
    </row>
    <row r="17" spans="1:18" x14ac:dyDescent="0.2">
      <c r="A17" s="31" t="s">
        <v>97</v>
      </c>
      <c r="B17" s="45">
        <f ca="1">SUMIFS(合约状态!$C:$C,合约状态!$I:$I,"&gt;0",合约状态!$D:$D,B6)</f>
        <v>0</v>
      </c>
      <c r="C17" s="45">
        <f ca="1">SUMIFS(合约状态!$C:$C,合约状态!$I:$I,"&gt;0",合约状态!$D:$D,C6)</f>
        <v>0</v>
      </c>
      <c r="D17" s="45">
        <f ca="1">SUMIFS(合约状态!$C:$C,合约状态!$I:$I,"&gt;0",合约状态!$D:$D,D6)</f>
        <v>0</v>
      </c>
      <c r="E17" s="45">
        <f ca="1">SUMIFS(合约状态!$C:$C,合约状态!$I:$I,"&gt;0",合约状态!$D:$D,E6)</f>
        <v>105000000</v>
      </c>
      <c r="F17" s="31"/>
      <c r="G17" s="43">
        <f ca="1">SUM(B17:E17)</f>
        <v>105000000</v>
      </c>
      <c r="H17" s="31"/>
    </row>
    <row r="18" spans="1:18" x14ac:dyDescent="0.2">
      <c r="A18" s="31"/>
      <c r="B18" s="45"/>
      <c r="C18" s="45"/>
      <c r="D18" s="45"/>
      <c r="E18" s="45"/>
      <c r="F18" s="31"/>
      <c r="G18" s="43"/>
      <c r="H18" s="31"/>
    </row>
    <row r="19" spans="1:18" x14ac:dyDescent="0.2">
      <c r="A19" s="31" t="s">
        <v>53</v>
      </c>
      <c r="B19" s="31" t="s">
        <v>42</v>
      </c>
      <c r="C19" s="31" t="s">
        <v>23</v>
      </c>
      <c r="D19" s="31" t="s">
        <v>29</v>
      </c>
      <c r="E19" s="31" t="s">
        <v>30</v>
      </c>
      <c r="F19" s="31"/>
      <c r="G19" s="43" t="s">
        <v>48</v>
      </c>
      <c r="H19" s="31"/>
    </row>
    <row r="20" spans="1:18" x14ac:dyDescent="0.2">
      <c r="A20" s="61" t="s">
        <v>102</v>
      </c>
      <c r="B20" s="54">
        <f>SUMIF(合约状态!$D:$D,B6,合约状态!$S:$S)</f>
        <v>0</v>
      </c>
      <c r="C20" s="54">
        <f>SUMIF(合约状态!$D:$D,C6,合约状态!$S:$S)</f>
        <v>0</v>
      </c>
      <c r="D20" s="54">
        <f>SUMIF(合约状态!$D:$D,D6,合约状态!$S:$S)</f>
        <v>0</v>
      </c>
      <c r="E20" s="54">
        <f ca="1">SUMIF(合约状态!$D:$D,E6,合约状态!$S:$S)</f>
        <v>13688.692567524093</v>
      </c>
      <c r="F20" s="31"/>
      <c r="G20" s="43"/>
      <c r="H20" s="31"/>
      <c r="R20" s="41"/>
    </row>
    <row r="21" spans="1:18" x14ac:dyDescent="0.2">
      <c r="A21" s="25" t="s">
        <v>11</v>
      </c>
      <c r="B21" s="46">
        <v>0</v>
      </c>
      <c r="C21" s="46">
        <v>0</v>
      </c>
      <c r="D21" s="46">
        <v>0</v>
      </c>
      <c r="E21" s="46">
        <v>-975660.2929728725</v>
      </c>
      <c r="F21" s="47"/>
      <c r="G21" s="48">
        <v>-975660.2929728725</v>
      </c>
      <c r="H21" s="58"/>
    </row>
    <row r="22" spans="1:18" x14ac:dyDescent="0.2">
      <c r="A22" s="63"/>
      <c r="B22" s="64"/>
      <c r="C22" s="64"/>
      <c r="D22" s="64"/>
      <c r="E22" s="64"/>
      <c r="F22" s="65"/>
      <c r="G22" s="66"/>
      <c r="H22" s="58"/>
    </row>
    <row r="23" spans="1:18" x14ac:dyDescent="0.2">
      <c r="A23" s="63" t="s">
        <v>54</v>
      </c>
      <c r="B23" s="64">
        <f>B20*B7</f>
        <v>0</v>
      </c>
      <c r="C23" s="64">
        <f>C20*C7</f>
        <v>0</v>
      </c>
      <c r="D23" s="64">
        <f>D20*D7</f>
        <v>0</v>
      </c>
      <c r="E23" s="64">
        <f ca="1">E20*E7</f>
        <v>109485338.93173335</v>
      </c>
      <c r="F23" s="63"/>
      <c r="G23" s="66">
        <f ca="1">SUM(B23:E23)</f>
        <v>109485338.93173335</v>
      </c>
      <c r="H23" s="59"/>
      <c r="R23" s="41"/>
    </row>
    <row r="24" spans="1:18" x14ac:dyDescent="0.2">
      <c r="A24" s="53" t="s">
        <v>13</v>
      </c>
      <c r="B24" s="55">
        <f>SUMIF(合约状态!$D:$D,B6,合约状态!$T:$T)</f>
        <v>0</v>
      </c>
      <c r="C24" s="55">
        <f>SUMIF(合约状态!$D:$D,C6,合约状态!$T:$T)</f>
        <v>0</v>
      </c>
      <c r="D24" s="55">
        <f>SUMIF(合约状态!$D:$D,D6,合约状态!$T:$T)</f>
        <v>0</v>
      </c>
      <c r="E24" s="55">
        <f ca="1">SUMIF(合约状态!$D:$D,E6,合约状态!$T:$T)</f>
        <v>-15.133627515799517</v>
      </c>
      <c r="F24" s="31" t="s">
        <v>99</v>
      </c>
      <c r="G24" s="59">
        <f ca="1">G23/(G16+G17)</f>
        <v>0.85535421040416681</v>
      </c>
      <c r="H24" s="31"/>
      <c r="R24" s="41"/>
    </row>
    <row r="25" spans="1:18" x14ac:dyDescent="0.2">
      <c r="A25" s="31" t="s">
        <v>100</v>
      </c>
      <c r="B25" s="45">
        <f>B24*B7</f>
        <v>0</v>
      </c>
      <c r="C25" s="45">
        <f>C24*C7</f>
        <v>0</v>
      </c>
      <c r="D25" s="45">
        <f>D24*D7</f>
        <v>0</v>
      </c>
      <c r="E25" s="45">
        <f ca="1">E24*E7*E7*0.01</f>
        <v>-9681241.0826105829</v>
      </c>
      <c r="F25" s="31"/>
      <c r="G25" s="43">
        <f t="shared" ref="G25:G27" ca="1" si="1">SUM(B25:E25)</f>
        <v>-9681241.0826105829</v>
      </c>
      <c r="H25" s="31"/>
    </row>
    <row r="26" spans="1:18" x14ac:dyDescent="0.2">
      <c r="A26" s="31"/>
      <c r="B26" s="45"/>
      <c r="C26" s="45"/>
      <c r="D26" s="45"/>
      <c r="E26" s="45"/>
      <c r="F26" s="31"/>
      <c r="G26" s="43"/>
      <c r="H26" s="31"/>
    </row>
    <row r="27" spans="1:18" x14ac:dyDescent="0.2">
      <c r="A27" s="31" t="s">
        <v>101</v>
      </c>
      <c r="B27" s="45">
        <f>SUMIF(合约状态!$D:$D,B6,合约状态!$V:$V)</f>
        <v>0</v>
      </c>
      <c r="C27" s="45">
        <f>SUMIF(合约状态!$D:$D,C6,合约状态!$V:$V)</f>
        <v>0</v>
      </c>
      <c r="D27" s="45">
        <f>SUMIF(合约状态!$D:$D,D6,合约状态!$V:$V)*1/242</f>
        <v>0</v>
      </c>
      <c r="E27" s="45">
        <f ca="1">SUMIF(合约状态!$D:$D,E6,合约状态!$V:$V) / 242</f>
        <v>111970.30037990191</v>
      </c>
      <c r="F27" s="31"/>
      <c r="G27" s="43">
        <f t="shared" ca="1" si="1"/>
        <v>111970.30037990191</v>
      </c>
      <c r="H27" s="31"/>
    </row>
    <row r="28" spans="1:18" x14ac:dyDescent="0.2">
      <c r="A28" s="31"/>
      <c r="B28" s="31"/>
      <c r="C28" s="31"/>
      <c r="D28" s="31"/>
      <c r="E28" s="31"/>
      <c r="F28" s="31"/>
      <c r="G28" s="43"/>
      <c r="H28" s="31"/>
    </row>
    <row r="29" spans="1:18" x14ac:dyDescent="0.2">
      <c r="A29" s="31" t="s">
        <v>55</v>
      </c>
      <c r="B29" s="31">
        <f>SUMIF(了结合约!$D:$D,B6,了结合约!$AB:$AB)</f>
        <v>0</v>
      </c>
      <c r="C29" s="31">
        <f>SUMIF(了结合约!$D:$D,C6,了结合约!$AB:$AB)</f>
        <v>0</v>
      </c>
      <c r="D29" s="31">
        <f>SUMIF(了结合约!$D:$D,D6,了结合约!$AB:$AB)</f>
        <v>2881016.436986302</v>
      </c>
      <c r="E29" s="31">
        <f>SUMIF(了结合约!$D:$D,E6,了结合约!$AB:$AB)</f>
        <v>5796812.6019178107</v>
      </c>
      <c r="F29" s="31"/>
      <c r="G29" s="43">
        <f>SUM(B29:E29)</f>
        <v>8677829.0389041118</v>
      </c>
      <c r="H29" s="31"/>
    </row>
    <row r="30" spans="1:18" x14ac:dyDescent="0.2">
      <c r="A30" s="31" t="s">
        <v>56</v>
      </c>
      <c r="B30" s="60">
        <f>B12+B29</f>
        <v>0</v>
      </c>
      <c r="C30" s="60">
        <f>C12+C29</f>
        <v>0</v>
      </c>
      <c r="D30" s="60">
        <f>D12+D29</f>
        <v>2881016.436986302</v>
      </c>
      <c r="E30" s="60">
        <f ca="1">E12+E29</f>
        <v>8050387.4300389215</v>
      </c>
      <c r="F30" s="60"/>
      <c r="G30" s="43">
        <f ca="1">G12+G29</f>
        <v>10931403.867025223</v>
      </c>
      <c r="H30" s="31"/>
    </row>
    <row r="31" spans="1:18" x14ac:dyDescent="0.2">
      <c r="A31" s="31"/>
      <c r="B31" s="31"/>
      <c r="C31" s="31"/>
      <c r="D31" s="31"/>
      <c r="E31" s="31"/>
      <c r="F31" s="31"/>
      <c r="G31" s="43"/>
      <c r="H31" s="31"/>
    </row>
    <row r="32" spans="1:18" x14ac:dyDescent="0.2">
      <c r="A32" s="31"/>
      <c r="B32" s="31"/>
      <c r="C32" s="31"/>
      <c r="D32" s="31"/>
      <c r="E32" s="31"/>
      <c r="F32" s="31"/>
      <c r="G32" s="43"/>
      <c r="H32" s="31"/>
    </row>
    <row r="33" spans="1:8" x14ac:dyDescent="0.2">
      <c r="A33" s="44" t="s">
        <v>67</v>
      </c>
      <c r="B33" s="44"/>
      <c r="C33" s="44"/>
      <c r="D33" s="44"/>
      <c r="E33" s="44"/>
      <c r="F33" s="44"/>
      <c r="G33" s="43" t="s">
        <v>48</v>
      </c>
      <c r="H33" s="31"/>
    </row>
    <row r="34" spans="1:8" x14ac:dyDescent="0.2">
      <c r="A34" s="31" t="s">
        <v>34</v>
      </c>
      <c r="B34" s="45">
        <f>SUMIF(合约状态!$D:$D,B30,合约状态!$AM:$AM)</f>
        <v>0</v>
      </c>
      <c r="C34" s="45">
        <f>SUMIF(合约状态!$D:$D,C30,合约状态!$AM:$AM)</f>
        <v>0</v>
      </c>
      <c r="D34" s="45">
        <f>SUMIF(合约状态!$D:$D,D6,合约状态!$AM:$AM) + SUMIF(了结合约!$D:$D,D6,了结合约!$R:$R)</f>
        <v>2881016.4387671235</v>
      </c>
      <c r="E34" s="45">
        <f ca="1">SUMIF(合约状态!$D:$D,E6,合约状态!$AM:$AM)+ SUMIF(合约状态!$D:$D,E6,合约状态!$AB:$AB) + SUMIF(了结合约!$D:$D,E6,了结合约!$R:$R)</f>
        <v>5310058.9991639405</v>
      </c>
      <c r="F34" s="34"/>
      <c r="G34" s="43">
        <f ca="1">SUM(B34:E34)</f>
        <v>8191075.4379310645</v>
      </c>
      <c r="H34" s="31"/>
    </row>
    <row r="35" spans="1:8" x14ac:dyDescent="0.2">
      <c r="A35" s="25" t="s">
        <v>33</v>
      </c>
      <c r="B35" s="46">
        <f>SUMIF(合约状态!$D:$D,B30,合约状态!$R:$R)</f>
        <v>0</v>
      </c>
      <c r="C35" s="46">
        <f>SUMIF(合约状态!$D:$D,C30,合约状态!$R:$R)</f>
        <v>0</v>
      </c>
      <c r="D35" s="46">
        <f>SUMIF(合约状态!$D:$D,D6,合约状态!$R:$R) + SUMIF(了结合约!$D:$D,D6,了结合约!$R:$R)</f>
        <v>2881016.4387671235</v>
      </c>
      <c r="E35" s="46">
        <f ca="1">SUMIF(合约状态!$D:$D,E6,合约状态!$R:$R)+ SUMIF(合约状态!$D:$D,E30,合约状态!$AB:$AB)  + SUMIF(了结合约!$D:$D,E6,了结合约!$R:$R)</f>
        <v>6514613.5273368452</v>
      </c>
      <c r="F35" s="47"/>
      <c r="G35" s="48">
        <f ca="1">SUM(B35:E35)</f>
        <v>9395629.9661039691</v>
      </c>
      <c r="H35" s="31"/>
    </row>
    <row r="36" spans="1:8" x14ac:dyDescent="0.2">
      <c r="A36" s="31"/>
      <c r="B36" s="31"/>
      <c r="C36" s="31"/>
      <c r="D36" s="31"/>
      <c r="E36" s="31"/>
      <c r="F36" s="31"/>
      <c r="G36" s="43"/>
      <c r="H36" s="31"/>
    </row>
    <row r="37" spans="1:8" x14ac:dyDescent="0.2">
      <c r="A37" s="31"/>
      <c r="B37" s="31"/>
      <c r="C37" s="31"/>
      <c r="D37" s="31"/>
      <c r="E37" s="31"/>
      <c r="F37" s="31"/>
      <c r="G37" s="43"/>
      <c r="H37" s="31"/>
    </row>
  </sheetData>
  <phoneticPr fontId="1" type="noConversion"/>
  <conditionalFormatting sqref="A11:G11">
    <cfRule type="expression" dxfId="20" priority="14">
      <formula>XEZ9&lt;0</formula>
    </cfRule>
  </conditionalFormatting>
  <conditionalFormatting sqref="A12:G12">
    <cfRule type="expression" dxfId="19" priority="26">
      <formula>XEZ8&lt;0</formula>
    </cfRule>
  </conditionalFormatting>
  <conditionalFormatting sqref="A13:G13">
    <cfRule type="expression" dxfId="18" priority="35">
      <formula>XEZ12&lt;0</formula>
    </cfRule>
  </conditionalFormatting>
  <conditionalFormatting sqref="A21:G22">
    <cfRule type="expression" dxfId="17" priority="4">
      <formula>XEZ17&lt;0</formula>
    </cfRule>
  </conditionalFormatting>
  <conditionalFormatting sqref="A34:G34">
    <cfRule type="expression" dxfId="16" priority="7">
      <formula>XEZ33&lt;0</formula>
    </cfRule>
  </conditionalFormatting>
  <conditionalFormatting sqref="A35:G35">
    <cfRule type="expression" dxfId="15" priority="11">
      <formula>XEZ32&lt;0</formula>
    </cfRule>
  </conditionalFormatting>
  <conditionalFormatting sqref="B11:E11">
    <cfRule type="expression" dxfId="14" priority="18">
      <formula>XFC9&lt;0</formula>
    </cfRule>
  </conditionalFormatting>
  <conditionalFormatting sqref="B11:E13">
    <cfRule type="expression" dxfId="13" priority="17">
      <formula>B11&lt;0</formula>
    </cfRule>
  </conditionalFormatting>
  <conditionalFormatting sqref="B12:E12">
    <cfRule type="expression" dxfId="12" priority="30">
      <formula>XFC8&lt;0</formula>
    </cfRule>
  </conditionalFormatting>
  <conditionalFormatting sqref="B13:E13">
    <cfRule type="expression" dxfId="11" priority="38">
      <formula>XFC12&lt;0</formula>
    </cfRule>
  </conditionalFormatting>
  <conditionalFormatting sqref="B21:E22">
    <cfRule type="expression" dxfId="10" priority="3">
      <formula>B21&lt;0</formula>
    </cfRule>
    <cfRule type="expression" dxfId="9" priority="5">
      <formula>XFC17&lt;0</formula>
    </cfRule>
  </conditionalFormatting>
  <conditionalFormatting sqref="B34:E34">
    <cfRule type="expression" dxfId="8" priority="10">
      <formula>XFC33&lt;0</formula>
    </cfRule>
  </conditionalFormatting>
  <conditionalFormatting sqref="B34:E35">
    <cfRule type="expression" dxfId="7" priority="9">
      <formula>B34&lt;0</formula>
    </cfRule>
  </conditionalFormatting>
  <conditionalFormatting sqref="B35:E35">
    <cfRule type="expression" dxfId="6" priority="12">
      <formula>XFC32&lt;0</formula>
    </cfRule>
  </conditionalFormatting>
  <conditionalFormatting sqref="B11:G13">
    <cfRule type="expression" dxfId="5" priority="13">
      <formula>B11&lt;0</formula>
    </cfRule>
    <cfRule type="expression" dxfId="4" priority="16">
      <formula>B11&gt;0</formula>
    </cfRule>
  </conditionalFormatting>
  <conditionalFormatting sqref="B21:G22">
    <cfRule type="expression" dxfId="3" priority="1">
      <formula>B21&lt;0</formula>
    </cfRule>
    <cfRule type="expression" dxfId="2" priority="2">
      <formula>B21&gt;0</formula>
    </cfRule>
  </conditionalFormatting>
  <conditionalFormatting sqref="B34:G35">
    <cfRule type="expression" dxfId="1" priority="6">
      <formula>B34&lt;0</formula>
    </cfRule>
    <cfRule type="expression" dxfId="0" priority="8">
      <formula>B34&gt;0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449F-A848-401A-B96B-72D6D4FEA20C}">
  <dimension ref="A1:EB25"/>
  <sheetViews>
    <sheetView workbookViewId="0">
      <selection activeCell="L23" sqref="L23"/>
    </sheetView>
  </sheetViews>
  <sheetFormatPr defaultRowHeight="14.25" x14ac:dyDescent="0.2"/>
  <cols>
    <col min="1" max="1" width="7.875" customWidth="1"/>
    <col min="3" max="3" width="14.875" customWidth="1"/>
    <col min="5" max="5" width="8.375" customWidth="1"/>
    <col min="7" max="8" width="2.25" style="29" customWidth="1"/>
    <col min="9" max="14" width="2.25" customWidth="1"/>
    <col min="15" max="15" width="13.375" customWidth="1"/>
    <col min="16" max="17" width="3.125" customWidth="1"/>
    <col min="18" max="18" width="15.125" customWidth="1"/>
    <col min="19" max="21" width="0" hidden="1" customWidth="1"/>
    <col min="22" max="24" width="9" hidden="1" customWidth="1"/>
    <col min="27" max="27" width="13.625" customWidth="1"/>
    <col min="28" max="28" width="14.625" style="8" customWidth="1"/>
    <col min="30" max="30" width="21.625" customWidth="1"/>
  </cols>
  <sheetData>
    <row r="1" spans="1:132" x14ac:dyDescent="0.2">
      <c r="A1" s="31" t="s">
        <v>91</v>
      </c>
      <c r="B1" s="31" t="s">
        <v>92</v>
      </c>
      <c r="C1" s="30" t="s">
        <v>93</v>
      </c>
      <c r="D1" s="31" t="s">
        <v>94</v>
      </c>
      <c r="E1" s="34" t="s">
        <v>73</v>
      </c>
      <c r="F1" s="31" t="s">
        <v>95</v>
      </c>
      <c r="G1" s="38" t="s">
        <v>75</v>
      </c>
      <c r="H1" s="29" t="s">
        <v>87</v>
      </c>
      <c r="I1" s="31" t="s">
        <v>77</v>
      </c>
      <c r="J1" s="32" t="s">
        <v>79</v>
      </c>
      <c r="K1" s="33" t="s">
        <v>85</v>
      </c>
      <c r="L1" s="34" t="s">
        <v>83</v>
      </c>
      <c r="M1" s="33" t="s">
        <v>81</v>
      </c>
      <c r="N1" s="6" t="s">
        <v>89</v>
      </c>
      <c r="O1" s="6" t="s">
        <v>57</v>
      </c>
      <c r="P1" t="s">
        <v>25</v>
      </c>
      <c r="Q1" t="s">
        <v>24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s="4" t="s">
        <v>18</v>
      </c>
      <c r="Z1" s="4" t="s">
        <v>19</v>
      </c>
      <c r="AA1" s="4" t="s">
        <v>20</v>
      </c>
      <c r="AB1" s="8" t="s">
        <v>21</v>
      </c>
      <c r="AC1" t="s">
        <v>2</v>
      </c>
      <c r="AD1" t="s">
        <v>3</v>
      </c>
      <c r="AE1" t="s">
        <v>4</v>
      </c>
      <c r="AF1" t="s">
        <v>26</v>
      </c>
      <c r="AG1" t="s">
        <v>5</v>
      </c>
      <c r="AH1" t="s">
        <v>6</v>
      </c>
      <c r="AI1" t="s">
        <v>27</v>
      </c>
      <c r="AJ1" t="s">
        <v>7</v>
      </c>
      <c r="AK1" t="s">
        <v>8</v>
      </c>
      <c r="AL1" t="s">
        <v>9</v>
      </c>
      <c r="AM1" s="6" t="s">
        <v>49</v>
      </c>
      <c r="AP1" t="s">
        <v>46</v>
      </c>
      <c r="AR1" t="s">
        <v>47</v>
      </c>
      <c r="AT1" s="4" t="s">
        <v>40</v>
      </c>
      <c r="AU1" s="4"/>
      <c r="AV1" s="4" t="s">
        <v>41</v>
      </c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</row>
    <row r="2" spans="1:132" x14ac:dyDescent="0.2">
      <c r="A2" s="31" t="s">
        <v>38</v>
      </c>
      <c r="B2" s="31">
        <v>12</v>
      </c>
      <c r="C2" s="30">
        <v>22000000</v>
      </c>
      <c r="D2" s="31" t="s">
        <v>32</v>
      </c>
      <c r="E2" s="40">
        <v>46021.625</v>
      </c>
      <c r="F2" s="37">
        <v>7597.3</v>
      </c>
      <c r="G2" s="38"/>
      <c r="H2" s="35"/>
      <c r="I2" s="36"/>
      <c r="J2" s="32"/>
      <c r="K2" s="33"/>
      <c r="L2" s="34"/>
      <c r="M2" s="33"/>
      <c r="N2" s="34"/>
      <c r="O2" s="34" t="s">
        <v>107</v>
      </c>
      <c r="P2" s="40"/>
      <c r="R2" s="19"/>
      <c r="Y2" s="4">
        <v>2.1000000000000001E-2</v>
      </c>
      <c r="Z2" s="20">
        <v>-7.7410000000000007E-2</v>
      </c>
      <c r="AA2" s="4">
        <v>0.17499999999999999</v>
      </c>
      <c r="AB2" s="18">
        <v>1535780.8219178109</v>
      </c>
      <c r="AC2" s="16">
        <v>7597.3</v>
      </c>
      <c r="AD2" s="1">
        <v>46021.625</v>
      </c>
      <c r="AE2" s="17">
        <v>0.65</v>
      </c>
      <c r="AF2" t="b">
        <v>1</v>
      </c>
      <c r="AG2" s="2">
        <v>1</v>
      </c>
      <c r="AH2" s="2">
        <v>1</v>
      </c>
      <c r="AI2" t="b">
        <v>0</v>
      </c>
      <c r="AJ2" s="4">
        <v>0.05</v>
      </c>
      <c r="AK2" s="2">
        <v>1</v>
      </c>
      <c r="AL2" s="2">
        <v>1</v>
      </c>
      <c r="AM2" s="6" cm="1">
        <f t="array" aca="1" ref="AM2" ca="1">TRANSPOSE(_xll.ValuateSnowball(实时行情!$D$1,F2,AD2,AN2:BI2,BJ2:CE2,CF2:DA2,0,AJ2,AE2,AG2,AH2,AK2,AL2,0,0,0,TRUE,AF2,实时行情!$B$2,实时行情!$E$8,Y2,Z2,AA2,FALSE,"NPV")*C2/F2)</f>
        <v>1794048.3639402681</v>
      </c>
      <c r="AN2" s="3">
        <v>46111</v>
      </c>
      <c r="AO2" s="3">
        <v>46142</v>
      </c>
      <c r="AP2" s="3">
        <v>46171</v>
      </c>
      <c r="AQ2" s="3">
        <v>46203</v>
      </c>
      <c r="AR2" s="3">
        <v>46233</v>
      </c>
      <c r="AS2" s="3">
        <v>46265</v>
      </c>
      <c r="AT2" s="3">
        <v>46295</v>
      </c>
      <c r="AU2" s="3">
        <v>46325</v>
      </c>
      <c r="AV2" s="3">
        <v>46356</v>
      </c>
      <c r="AW2" s="3">
        <v>46386</v>
      </c>
      <c r="AX2" s="3">
        <v>46416</v>
      </c>
      <c r="AY2" s="3">
        <v>46444</v>
      </c>
      <c r="AZ2" s="3">
        <v>46476</v>
      </c>
      <c r="BA2" s="3">
        <v>46507</v>
      </c>
      <c r="BB2" s="3">
        <v>46538</v>
      </c>
      <c r="BC2" s="3">
        <v>46568</v>
      </c>
      <c r="BD2" s="3">
        <v>46598</v>
      </c>
      <c r="BE2" s="3">
        <v>46629</v>
      </c>
      <c r="BF2" s="3">
        <v>46660</v>
      </c>
      <c r="BG2" s="3">
        <v>46689</v>
      </c>
      <c r="BH2" s="3">
        <v>46721</v>
      </c>
      <c r="BI2" s="3">
        <v>46751</v>
      </c>
      <c r="BJ2" s="4">
        <v>1</v>
      </c>
      <c r="BK2" s="4">
        <v>1</v>
      </c>
      <c r="BL2" s="4">
        <v>1</v>
      </c>
      <c r="BM2" s="4">
        <v>1</v>
      </c>
      <c r="BN2" s="4">
        <v>1</v>
      </c>
      <c r="BO2" s="4">
        <v>1</v>
      </c>
      <c r="BP2" s="4">
        <v>1</v>
      </c>
      <c r="BQ2" s="4">
        <v>1</v>
      </c>
      <c r="BR2" s="4">
        <v>1</v>
      </c>
      <c r="BS2" s="4">
        <v>1</v>
      </c>
      <c r="BT2" s="4">
        <v>1</v>
      </c>
      <c r="BU2" s="4">
        <v>1</v>
      </c>
      <c r="BV2" s="4">
        <v>1</v>
      </c>
      <c r="BW2" s="4">
        <v>1</v>
      </c>
      <c r="BX2" s="4">
        <v>1</v>
      </c>
      <c r="BY2" s="4">
        <v>1</v>
      </c>
      <c r="BZ2" s="4">
        <v>1</v>
      </c>
      <c r="CA2" s="4">
        <v>1</v>
      </c>
      <c r="CB2" s="4">
        <v>1</v>
      </c>
      <c r="CC2" s="4">
        <v>1</v>
      </c>
      <c r="CD2" s="4">
        <v>1</v>
      </c>
      <c r="CE2" s="4">
        <v>1</v>
      </c>
      <c r="CF2" s="4">
        <v>0.28000000000000003</v>
      </c>
      <c r="CG2" s="4">
        <v>0.28000000000000003</v>
      </c>
      <c r="CH2" s="4">
        <v>0.28000000000000003</v>
      </c>
      <c r="CI2" s="4">
        <v>0.28000000000000003</v>
      </c>
      <c r="CJ2" s="4">
        <v>0.28000000000000003</v>
      </c>
      <c r="CK2" s="4">
        <v>0.28000000000000003</v>
      </c>
      <c r="CL2" s="4">
        <v>0.28000000000000003</v>
      </c>
      <c r="CM2" s="4">
        <v>0.28000000000000003</v>
      </c>
      <c r="CN2" s="4">
        <v>0.28000000000000003</v>
      </c>
      <c r="CO2" s="4">
        <v>0.28000000000000003</v>
      </c>
      <c r="CP2" s="4">
        <v>0.05</v>
      </c>
      <c r="CQ2" s="4">
        <v>0.05</v>
      </c>
      <c r="CR2" s="4">
        <v>0.05</v>
      </c>
      <c r="CS2" s="4">
        <v>0.05</v>
      </c>
      <c r="CT2" s="4">
        <v>0.05</v>
      </c>
      <c r="CU2" s="4">
        <v>0.05</v>
      </c>
      <c r="CV2" s="4">
        <v>0.05</v>
      </c>
      <c r="CW2" s="4">
        <v>0.05</v>
      </c>
      <c r="CX2" s="4">
        <v>0.05</v>
      </c>
      <c r="CY2" s="4">
        <v>0.05</v>
      </c>
      <c r="CZ2" s="4">
        <v>0.05</v>
      </c>
      <c r="DA2" s="4">
        <v>0.05</v>
      </c>
    </row>
    <row r="3" spans="1:132" x14ac:dyDescent="0.2">
      <c r="A3" t="s">
        <v>38</v>
      </c>
      <c r="B3">
        <v>11</v>
      </c>
      <c r="C3" s="19">
        <v>10000000</v>
      </c>
      <c r="D3" t="s">
        <v>32</v>
      </c>
      <c r="E3" s="6"/>
      <c r="F3" s="18">
        <v>7579.38</v>
      </c>
      <c r="I3" s="5"/>
      <c r="J3" s="3"/>
      <c r="K3" s="4"/>
      <c r="L3" s="6"/>
      <c r="M3" s="4"/>
      <c r="N3" s="6"/>
      <c r="O3" s="6" t="s">
        <v>71</v>
      </c>
      <c r="P3" s="1"/>
      <c r="R3" s="19">
        <v>552328.77</v>
      </c>
      <c r="Y3" s="4">
        <v>2.1000000000000001E-2</v>
      </c>
      <c r="Z3" s="20">
        <v>-7.571E-2</v>
      </c>
      <c r="AA3" s="4">
        <v>0.17499999999999999</v>
      </c>
      <c r="AB3" s="19">
        <v>552328.77</v>
      </c>
      <c r="AC3" s="16">
        <v>7579.38</v>
      </c>
      <c r="AD3" s="1">
        <v>46016.625</v>
      </c>
      <c r="AE3" s="17">
        <v>0.7</v>
      </c>
      <c r="AF3" t="b">
        <v>1</v>
      </c>
      <c r="AG3" s="2">
        <v>1</v>
      </c>
      <c r="AH3" s="2">
        <v>1</v>
      </c>
      <c r="AI3" t="b">
        <v>0</v>
      </c>
      <c r="AJ3" s="2">
        <v>0.1</v>
      </c>
      <c r="AK3" s="2">
        <v>1</v>
      </c>
      <c r="AL3" s="2">
        <v>1</v>
      </c>
      <c r="AM3" s="6" cm="1">
        <f t="array" aca="1" ref="AM3" ca="1">TRANSPOSE(_xll.ValuateSnowball(实时行情!$D$1,AC3,AD3,AN3:BJ3,BK3:CG3,CH3:DD3,0,AJ3,AE3,AG3,AH3,AK3,AL3,0,0,0,TRUE,AF3,实时行情!$B$2,实时行情!E8,Y3,Z3,AA3,FALSE,"NPV")*C3/AC3)</f>
        <v>993498.22076851875</v>
      </c>
      <c r="AN3" s="3">
        <v>46078</v>
      </c>
      <c r="AO3" s="3">
        <v>46106</v>
      </c>
      <c r="AP3" s="3">
        <v>46139</v>
      </c>
      <c r="AQ3" s="3">
        <v>46167</v>
      </c>
      <c r="AR3" s="3">
        <v>46198</v>
      </c>
      <c r="AS3" s="3">
        <v>46230</v>
      </c>
      <c r="AT3" s="3">
        <v>46259</v>
      </c>
      <c r="AU3" s="3">
        <v>46293</v>
      </c>
      <c r="AV3" s="3">
        <v>46321</v>
      </c>
      <c r="AW3" s="3">
        <v>46351</v>
      </c>
      <c r="AX3" s="3">
        <v>46381</v>
      </c>
      <c r="AY3" s="3">
        <v>46412</v>
      </c>
      <c r="AZ3" s="3">
        <v>46443</v>
      </c>
      <c r="BA3" s="3">
        <v>46471</v>
      </c>
      <c r="BB3" s="3">
        <v>46503</v>
      </c>
      <c r="BC3" s="3">
        <v>46532</v>
      </c>
      <c r="BD3" s="3">
        <v>46563</v>
      </c>
      <c r="BE3" s="3">
        <v>46594</v>
      </c>
      <c r="BF3" s="3">
        <v>46624</v>
      </c>
      <c r="BG3" s="3">
        <v>46657</v>
      </c>
      <c r="BH3" s="3">
        <v>46685</v>
      </c>
      <c r="BI3" s="3">
        <v>46716</v>
      </c>
      <c r="BJ3" s="3">
        <v>46748</v>
      </c>
      <c r="BK3" s="4">
        <v>1</v>
      </c>
      <c r="BL3" s="4">
        <v>1</v>
      </c>
      <c r="BM3" s="4">
        <v>1</v>
      </c>
      <c r="BN3" s="4">
        <v>1</v>
      </c>
      <c r="BO3" s="4">
        <v>1</v>
      </c>
      <c r="BP3" s="4">
        <v>1</v>
      </c>
      <c r="BQ3" s="4">
        <v>1</v>
      </c>
      <c r="BR3" s="4">
        <v>1</v>
      </c>
      <c r="BS3" s="4">
        <v>1</v>
      </c>
      <c r="BT3" s="4">
        <v>1</v>
      </c>
      <c r="BU3" s="4">
        <v>1</v>
      </c>
      <c r="BV3" s="4">
        <v>1</v>
      </c>
      <c r="BW3" s="4">
        <v>1</v>
      </c>
      <c r="BX3" s="4">
        <v>1</v>
      </c>
      <c r="BY3" s="4">
        <v>1</v>
      </c>
      <c r="BZ3" s="4">
        <v>1</v>
      </c>
      <c r="CA3" s="4">
        <v>1</v>
      </c>
      <c r="CB3" s="4">
        <v>1</v>
      </c>
      <c r="CC3" s="4">
        <v>1</v>
      </c>
      <c r="CD3" s="4">
        <v>1</v>
      </c>
      <c r="CE3" s="4">
        <v>1</v>
      </c>
      <c r="CF3" s="4">
        <v>1</v>
      </c>
      <c r="CG3" s="4">
        <v>1</v>
      </c>
      <c r="CH3" s="13">
        <v>0.32</v>
      </c>
      <c r="CI3" s="13">
        <v>0.32</v>
      </c>
      <c r="CJ3" s="13">
        <v>0.32</v>
      </c>
      <c r="CK3" s="13">
        <v>0.32</v>
      </c>
      <c r="CL3" s="13">
        <v>0.32</v>
      </c>
      <c r="CM3" s="13">
        <v>0.32</v>
      </c>
      <c r="CN3" s="13">
        <v>0.32</v>
      </c>
      <c r="CO3" s="13">
        <v>0.32</v>
      </c>
      <c r="CP3" s="13">
        <v>0.32</v>
      </c>
      <c r="CQ3" s="13">
        <v>0.32</v>
      </c>
      <c r="CR3" s="13">
        <v>0.32</v>
      </c>
      <c r="CS3" s="13">
        <v>0.1</v>
      </c>
      <c r="CT3" s="13">
        <v>0.1</v>
      </c>
      <c r="CU3" s="13">
        <v>0.1</v>
      </c>
      <c r="CV3" s="13">
        <v>0.1</v>
      </c>
      <c r="CW3" s="13">
        <v>0.1</v>
      </c>
      <c r="CX3" s="13">
        <v>0.1</v>
      </c>
      <c r="CY3" s="13">
        <v>0.1</v>
      </c>
      <c r="CZ3" s="13">
        <v>0.1</v>
      </c>
      <c r="DA3" s="13">
        <v>0.1</v>
      </c>
      <c r="DB3" s="13">
        <v>0.1</v>
      </c>
      <c r="DC3" s="13">
        <v>0.1</v>
      </c>
      <c r="DD3" s="13">
        <v>0.1</v>
      </c>
    </row>
    <row r="4" spans="1:132" x14ac:dyDescent="0.2">
      <c r="A4" t="s">
        <v>38</v>
      </c>
      <c r="B4">
        <v>10</v>
      </c>
      <c r="C4" s="19">
        <v>10000000</v>
      </c>
      <c r="D4" t="s">
        <v>10</v>
      </c>
      <c r="E4" s="6"/>
      <c r="F4" s="18">
        <v>7235.46</v>
      </c>
      <c r="I4" s="5"/>
      <c r="J4" s="3"/>
      <c r="K4" s="4"/>
      <c r="L4" s="6"/>
      <c r="M4" s="4"/>
      <c r="N4" s="6"/>
      <c r="O4" s="6" t="s">
        <v>70</v>
      </c>
      <c r="P4" s="1"/>
      <c r="R4" s="19">
        <v>997830.13698630198</v>
      </c>
      <c r="Y4" s="4">
        <v>2.1000000000000001E-2</v>
      </c>
      <c r="Z4" s="20">
        <v>-6.5040000000000001E-2</v>
      </c>
      <c r="AA4" s="4">
        <v>0.16</v>
      </c>
      <c r="AB4" s="18">
        <v>997830.13698630198</v>
      </c>
      <c r="AC4" s="16">
        <v>7235.46</v>
      </c>
      <c r="AD4" s="1">
        <v>45975.625</v>
      </c>
      <c r="AE4" s="17">
        <v>0.75</v>
      </c>
      <c r="AF4" t="b">
        <v>1</v>
      </c>
      <c r="AG4" s="2">
        <v>1</v>
      </c>
      <c r="AH4" s="2">
        <v>1</v>
      </c>
      <c r="AI4" s="2" t="b">
        <v>0</v>
      </c>
      <c r="AJ4" s="2">
        <v>0.05</v>
      </c>
      <c r="AK4" s="2">
        <v>1</v>
      </c>
      <c r="AL4" s="2">
        <v>1</v>
      </c>
      <c r="AM4" s="6" cm="1">
        <f t="array" aca="1" ref="AM4" ca="1">TRANSPOSE(_xll.ValuateSnowball(实时行情!D1,AC4,AD4,AN4:BI4,BJ4:CE4,CF4:DA4,0,AJ4,AE4,AG4,AH4,AK4,AL4,0,0,0,TRUE,AF4,实时行情!B2,实时行情!D8,Y4,Z4,AA4,FALSE,"NPV")*C4/AC4)</f>
        <v>1469532.7707886999</v>
      </c>
      <c r="AN4" s="3">
        <v>46077</v>
      </c>
      <c r="AO4" s="3">
        <v>46097</v>
      </c>
      <c r="AP4" s="3">
        <v>46126</v>
      </c>
      <c r="AQ4" s="3">
        <v>46156</v>
      </c>
      <c r="AR4" s="3">
        <v>46188</v>
      </c>
      <c r="AS4" s="3">
        <v>46217</v>
      </c>
      <c r="AT4" s="3">
        <v>46248</v>
      </c>
      <c r="AU4" s="3">
        <v>46279</v>
      </c>
      <c r="AV4" s="3">
        <v>46309</v>
      </c>
      <c r="AW4" s="3">
        <v>46342</v>
      </c>
      <c r="AX4" s="3">
        <v>46370</v>
      </c>
      <c r="AY4" s="3">
        <v>46401</v>
      </c>
      <c r="AZ4" s="3">
        <v>46433</v>
      </c>
      <c r="BA4" s="3">
        <v>46461</v>
      </c>
      <c r="BB4" s="3">
        <v>46491</v>
      </c>
      <c r="BC4" s="3">
        <v>46521</v>
      </c>
      <c r="BD4" s="3">
        <v>46552</v>
      </c>
      <c r="BE4" s="3">
        <v>46582</v>
      </c>
      <c r="BF4" s="3">
        <v>46615</v>
      </c>
      <c r="BG4" s="3">
        <v>46644</v>
      </c>
      <c r="BH4" s="3">
        <v>46674</v>
      </c>
      <c r="BI4" s="3">
        <v>46706</v>
      </c>
      <c r="BJ4" s="4">
        <v>1</v>
      </c>
      <c r="BK4" s="4">
        <v>1</v>
      </c>
      <c r="BL4" s="4">
        <v>1</v>
      </c>
      <c r="BM4" s="4">
        <v>1</v>
      </c>
      <c r="BN4" s="4">
        <v>1</v>
      </c>
      <c r="BO4" s="4">
        <v>1</v>
      </c>
      <c r="BP4" s="4">
        <v>1</v>
      </c>
      <c r="BQ4" s="4">
        <v>1</v>
      </c>
      <c r="BR4" s="4">
        <v>1</v>
      </c>
      <c r="BS4" s="4">
        <v>1</v>
      </c>
      <c r="BT4" s="4">
        <v>1</v>
      </c>
      <c r="BU4" s="4">
        <v>1</v>
      </c>
      <c r="BV4" s="4">
        <v>1</v>
      </c>
      <c r="BW4" s="4">
        <v>1</v>
      </c>
      <c r="BX4" s="4">
        <v>1</v>
      </c>
      <c r="BY4" s="4">
        <v>1</v>
      </c>
      <c r="BZ4" s="4">
        <v>1</v>
      </c>
      <c r="CA4" s="4">
        <v>1</v>
      </c>
      <c r="CB4" s="4">
        <v>1</v>
      </c>
      <c r="CC4" s="4">
        <v>1</v>
      </c>
      <c r="CD4" s="4">
        <v>1</v>
      </c>
      <c r="CE4" s="4">
        <v>1</v>
      </c>
      <c r="CF4" s="4">
        <v>0.35360000000000003</v>
      </c>
      <c r="CG4" s="4">
        <v>0.35360000000000003</v>
      </c>
      <c r="CH4" s="4">
        <v>0.35360000000000003</v>
      </c>
      <c r="CI4" s="4">
        <v>0.35360000000000003</v>
      </c>
      <c r="CJ4" s="4">
        <v>0.35360000000000003</v>
      </c>
      <c r="CK4" s="4">
        <v>0.35360000000000003</v>
      </c>
      <c r="CL4" s="4">
        <v>0.35360000000000003</v>
      </c>
      <c r="CM4" s="4">
        <v>0.35360000000000003</v>
      </c>
      <c r="CN4" s="4">
        <v>0.35360000000000003</v>
      </c>
      <c r="CO4" s="4">
        <v>0.35360000000000003</v>
      </c>
      <c r="CP4" s="4">
        <v>0.05</v>
      </c>
      <c r="CQ4" s="4">
        <v>0.05</v>
      </c>
      <c r="CR4" s="4">
        <v>0.05</v>
      </c>
      <c r="CS4" s="4">
        <v>0.05</v>
      </c>
      <c r="CT4" s="4">
        <v>0.05</v>
      </c>
      <c r="CU4" s="4">
        <v>0.05</v>
      </c>
      <c r="CV4" s="4">
        <v>0.05</v>
      </c>
      <c r="CW4" s="4">
        <v>0.05</v>
      </c>
      <c r="CX4" s="4">
        <v>0.05</v>
      </c>
      <c r="CY4" s="4">
        <v>0.05</v>
      </c>
      <c r="CZ4" s="4">
        <v>0.05</v>
      </c>
      <c r="DA4" s="4">
        <v>0.05</v>
      </c>
    </row>
    <row r="5" spans="1:132" x14ac:dyDescent="0.2">
      <c r="A5" t="s">
        <v>38</v>
      </c>
      <c r="B5">
        <v>9</v>
      </c>
      <c r="C5" s="19">
        <v>10000000</v>
      </c>
      <c r="D5" t="s">
        <v>10</v>
      </c>
      <c r="E5" s="6"/>
      <c r="F5" s="18">
        <v>7248.9</v>
      </c>
      <c r="I5" s="5"/>
      <c r="J5" s="3"/>
      <c r="K5" s="4"/>
      <c r="L5" s="6"/>
      <c r="M5" s="4"/>
      <c r="N5" s="6"/>
      <c r="O5" s="6" t="s">
        <v>69</v>
      </c>
      <c r="P5" s="1"/>
      <c r="R5" s="19">
        <v>924904.11</v>
      </c>
      <c r="Y5" s="4">
        <v>2.1000000000000001E-2</v>
      </c>
      <c r="Z5" s="20">
        <v>-6.087E-2</v>
      </c>
      <c r="AA5" s="4">
        <v>0.16500000000000001</v>
      </c>
      <c r="AB5" s="18">
        <v>924904.11</v>
      </c>
      <c r="AC5" s="16">
        <v>7248.9</v>
      </c>
      <c r="AD5" s="7">
        <v>45964.625</v>
      </c>
      <c r="AE5" s="17">
        <v>0.75</v>
      </c>
      <c r="AF5" t="b">
        <v>1</v>
      </c>
      <c r="AG5" s="2">
        <v>1</v>
      </c>
      <c r="AH5" s="2">
        <v>1</v>
      </c>
      <c r="AI5" t="b">
        <v>0</v>
      </c>
      <c r="AJ5" s="2">
        <v>0.05</v>
      </c>
      <c r="AK5" s="2">
        <v>1</v>
      </c>
      <c r="AL5" s="2">
        <v>1</v>
      </c>
      <c r="AM5" s="6" cm="1">
        <f t="array" aca="1" ref="AM5" ca="1">TRANSPOSE(_xll.ValuateSnowball(实时行情!$D$1,AC5,AD5,AN5:BI5,BJ5:CE5,CF5:DA5,0,AJ5,AE5,AG5,AH5,AK5,AL5,0,0,0,TRUE,AF5,实时行情!B2,实时行情!D8,Y5,Z5,AA5,FALSE,"NPV")*C5/AC5)</f>
        <v>1796846.6676116714</v>
      </c>
      <c r="AN5" s="3">
        <v>46056</v>
      </c>
      <c r="AO5" s="3">
        <v>46084</v>
      </c>
      <c r="AP5" s="3">
        <v>46115</v>
      </c>
      <c r="AQ5" s="3">
        <v>46148</v>
      </c>
      <c r="AR5" s="3">
        <v>46176</v>
      </c>
      <c r="AS5" s="3">
        <v>46206</v>
      </c>
      <c r="AT5" s="3">
        <v>46237</v>
      </c>
      <c r="AU5" s="3">
        <v>46268</v>
      </c>
      <c r="AV5" s="3">
        <v>46303</v>
      </c>
      <c r="AW5" s="3">
        <v>46329</v>
      </c>
      <c r="AX5" s="3">
        <v>46359</v>
      </c>
      <c r="AY5" s="3">
        <v>46391</v>
      </c>
      <c r="AZ5" s="3">
        <v>46421</v>
      </c>
      <c r="BA5" s="3">
        <v>46449</v>
      </c>
      <c r="BB5" s="3">
        <v>46483</v>
      </c>
      <c r="BC5" s="3">
        <v>46513</v>
      </c>
      <c r="BD5" s="3">
        <v>46541</v>
      </c>
      <c r="BE5" s="3">
        <v>46573</v>
      </c>
      <c r="BF5" s="3">
        <v>46602</v>
      </c>
      <c r="BG5" s="3">
        <v>46633</v>
      </c>
      <c r="BH5" s="3">
        <v>46668</v>
      </c>
      <c r="BI5" s="3">
        <v>46694</v>
      </c>
      <c r="BJ5" s="4">
        <v>1</v>
      </c>
      <c r="BK5" s="4">
        <v>1</v>
      </c>
      <c r="BL5" s="4">
        <v>1</v>
      </c>
      <c r="BM5" s="4">
        <v>1</v>
      </c>
      <c r="BN5" s="4">
        <v>1</v>
      </c>
      <c r="BO5" s="4">
        <v>1</v>
      </c>
      <c r="BP5" s="4">
        <v>1</v>
      </c>
      <c r="BQ5" s="4">
        <v>1</v>
      </c>
      <c r="BR5" s="4">
        <v>1</v>
      </c>
      <c r="BS5" s="4">
        <v>1</v>
      </c>
      <c r="BT5" s="4">
        <v>1</v>
      </c>
      <c r="BU5" s="4">
        <v>1</v>
      </c>
      <c r="BV5" s="4">
        <v>1</v>
      </c>
      <c r="BW5" s="4">
        <v>1</v>
      </c>
      <c r="BX5" s="4">
        <v>1</v>
      </c>
      <c r="BY5" s="4">
        <v>1</v>
      </c>
      <c r="BZ5" s="4">
        <v>1</v>
      </c>
      <c r="CA5" s="4">
        <v>1</v>
      </c>
      <c r="CB5" s="4">
        <v>1</v>
      </c>
      <c r="CC5" s="4">
        <v>1</v>
      </c>
      <c r="CD5" s="4">
        <v>1</v>
      </c>
      <c r="CE5" s="4">
        <v>1</v>
      </c>
      <c r="CF5" s="4">
        <v>0.36299999999999999</v>
      </c>
      <c r="CG5" s="4">
        <v>0.36299999999999999</v>
      </c>
      <c r="CH5" s="4">
        <v>0.36299999999999999</v>
      </c>
      <c r="CI5" s="4">
        <v>0.36299999999999999</v>
      </c>
      <c r="CJ5" s="4">
        <v>0.36299999999999999</v>
      </c>
      <c r="CK5" s="4">
        <v>0.36299999999999999</v>
      </c>
      <c r="CL5" s="4">
        <v>0.36299999999999999</v>
      </c>
      <c r="CM5" s="4">
        <v>0.36299999999999999</v>
      </c>
      <c r="CN5" s="4">
        <v>0.36299999999999999</v>
      </c>
      <c r="CO5" s="4">
        <v>0.36299999999999999</v>
      </c>
      <c r="CP5" s="4">
        <v>0.05</v>
      </c>
      <c r="CQ5" s="4">
        <v>0.05</v>
      </c>
      <c r="CR5" s="4">
        <v>0.05</v>
      </c>
      <c r="CS5" s="4">
        <v>0.05</v>
      </c>
      <c r="CT5" s="4">
        <v>0.05</v>
      </c>
      <c r="CU5" s="4">
        <v>0.05</v>
      </c>
      <c r="CV5" s="4">
        <v>0.05</v>
      </c>
      <c r="CW5" s="4">
        <v>0.05</v>
      </c>
      <c r="CX5" s="4">
        <v>0.05</v>
      </c>
      <c r="CY5" s="4">
        <v>0.05</v>
      </c>
      <c r="CZ5" s="4">
        <v>0.05</v>
      </c>
      <c r="DA5" s="4">
        <v>0.05</v>
      </c>
    </row>
    <row r="6" spans="1:132" x14ac:dyDescent="0.2">
      <c r="A6" t="s">
        <v>38</v>
      </c>
      <c r="B6">
        <v>8</v>
      </c>
      <c r="C6" s="19">
        <v>10000000</v>
      </c>
      <c r="D6" t="s">
        <v>32</v>
      </c>
      <c r="E6" s="6"/>
      <c r="F6" s="18">
        <v>7550.41</v>
      </c>
      <c r="I6" s="5"/>
      <c r="J6" s="3"/>
      <c r="K6" s="4"/>
      <c r="L6" s="6"/>
      <c r="M6" s="4"/>
      <c r="N6" s="6"/>
      <c r="O6" s="6" t="s">
        <v>68</v>
      </c>
      <c r="P6" s="1"/>
      <c r="R6" s="19">
        <v>930000</v>
      </c>
      <c r="Y6" s="4">
        <v>2.1000000000000001E-2</v>
      </c>
      <c r="Z6" s="20">
        <v>-8.4970000000000004E-2</v>
      </c>
      <c r="AA6" s="4">
        <v>0.18</v>
      </c>
      <c r="AB6" s="18">
        <v>930000</v>
      </c>
      <c r="AC6" s="16">
        <v>7550.41</v>
      </c>
      <c r="AD6" s="7">
        <v>45960.625</v>
      </c>
      <c r="AE6" s="17">
        <v>0.7</v>
      </c>
      <c r="AF6" t="b">
        <v>1</v>
      </c>
      <c r="AG6" s="2">
        <v>1</v>
      </c>
      <c r="AH6" s="2">
        <v>1</v>
      </c>
      <c r="AI6" t="b">
        <v>0</v>
      </c>
      <c r="AJ6" s="2">
        <v>0.05</v>
      </c>
      <c r="AK6" s="2">
        <v>1</v>
      </c>
      <c r="AL6" s="2">
        <v>1</v>
      </c>
      <c r="AM6" s="6" cm="1">
        <f t="array" aca="1" ref="AM6" ca="1">TRANSPOSE(_xll.ValuateSnowball(实时行情!$D$1,AC6,AD6,AN6:BI6,BJ6:CE6,CF6:DA6,0,AJ6,AE6,AG6,AH6,AK6,AL6,0,0,0,TRUE,AF6,实时行情!$B$2,实时行情!E8,Y6,Z6,AA6,FALSE,"NPV")*C6/AC6)</f>
        <v>1722783.8264739907</v>
      </c>
      <c r="AN6" s="3">
        <v>46052</v>
      </c>
      <c r="AO6" s="3">
        <v>46080</v>
      </c>
      <c r="AP6" s="3">
        <v>46111</v>
      </c>
      <c r="AQ6" s="3">
        <v>46142</v>
      </c>
      <c r="AR6" s="3">
        <v>46171</v>
      </c>
      <c r="AS6" s="3">
        <v>46203</v>
      </c>
      <c r="AT6" s="3">
        <v>46233</v>
      </c>
      <c r="AU6" s="3">
        <v>46265</v>
      </c>
      <c r="AV6" s="3">
        <v>46295</v>
      </c>
      <c r="AW6" s="3">
        <v>46325</v>
      </c>
      <c r="AX6" s="3">
        <v>46356</v>
      </c>
      <c r="AY6" s="3">
        <v>46386</v>
      </c>
      <c r="AZ6" s="3">
        <v>46416</v>
      </c>
      <c r="BA6" s="3">
        <v>46444</v>
      </c>
      <c r="BB6" s="3">
        <v>46476</v>
      </c>
      <c r="BC6" s="3">
        <v>46507</v>
      </c>
      <c r="BD6" s="3">
        <v>46538</v>
      </c>
      <c r="BE6" s="3">
        <v>46568</v>
      </c>
      <c r="BF6" s="3">
        <v>46598</v>
      </c>
      <c r="BG6" s="3">
        <v>46629</v>
      </c>
      <c r="BH6" s="3">
        <v>46660</v>
      </c>
      <c r="BI6" s="3">
        <v>46689</v>
      </c>
      <c r="BJ6" s="4">
        <v>1</v>
      </c>
      <c r="BK6" s="4">
        <v>0.995</v>
      </c>
      <c r="BL6" s="4">
        <v>0.99</v>
      </c>
      <c r="BM6" s="4">
        <v>0.98499999999999999</v>
      </c>
      <c r="BN6" s="4">
        <v>0.98</v>
      </c>
      <c r="BO6" s="4">
        <v>0.97499999999999998</v>
      </c>
      <c r="BP6" s="4">
        <v>0.97</v>
      </c>
      <c r="BQ6" s="4">
        <v>0.96499999999999997</v>
      </c>
      <c r="BR6" s="4">
        <v>0.96</v>
      </c>
      <c r="BS6" s="4">
        <v>0.95499999999999996</v>
      </c>
      <c r="BT6" s="4">
        <v>0.95</v>
      </c>
      <c r="BU6" s="4">
        <v>0.94499999999999995</v>
      </c>
      <c r="BV6" s="4">
        <v>0.94</v>
      </c>
      <c r="BW6" s="4">
        <v>0.93500000000000005</v>
      </c>
      <c r="BX6" s="4">
        <v>0.92999999999999994</v>
      </c>
      <c r="BY6" s="4">
        <v>0.92500000000000004</v>
      </c>
      <c r="BZ6" s="4">
        <v>0.92</v>
      </c>
      <c r="CA6" s="4">
        <v>0.91500000000000004</v>
      </c>
      <c r="CB6" s="4">
        <v>0.91</v>
      </c>
      <c r="CC6" s="4">
        <v>0.90500000000000003</v>
      </c>
      <c r="CD6" s="4">
        <v>0.9</v>
      </c>
      <c r="CE6" s="4">
        <v>0.89500000000000002</v>
      </c>
      <c r="CF6" s="4">
        <v>0.36499999999999999</v>
      </c>
      <c r="CG6" s="4">
        <v>0.36499999999999999</v>
      </c>
      <c r="CH6" s="4">
        <v>0.36499999999999999</v>
      </c>
      <c r="CI6" s="4">
        <v>0.36499999999999999</v>
      </c>
      <c r="CJ6" s="4">
        <v>0.36499999999999999</v>
      </c>
      <c r="CK6" s="4">
        <v>0.36499999999999999</v>
      </c>
      <c r="CL6" s="4">
        <v>0.36499999999999999</v>
      </c>
      <c r="CM6" s="4">
        <v>0.36499999999999999</v>
      </c>
      <c r="CN6" s="4">
        <v>0.36499999999999999</v>
      </c>
      <c r="CO6" s="4">
        <v>0.36499999999999999</v>
      </c>
      <c r="CP6" s="4">
        <v>0.05</v>
      </c>
      <c r="CQ6" s="4">
        <v>0.05</v>
      </c>
      <c r="CR6" s="4">
        <v>0.05</v>
      </c>
      <c r="CS6" s="4">
        <v>0.05</v>
      </c>
      <c r="CT6" s="4">
        <v>0.05</v>
      </c>
      <c r="CU6" s="4">
        <v>0.05</v>
      </c>
      <c r="CV6" s="4">
        <v>0.05</v>
      </c>
      <c r="CW6" s="4">
        <v>0.05</v>
      </c>
      <c r="CX6" s="4">
        <v>0.05</v>
      </c>
      <c r="CY6" s="4">
        <v>0.05</v>
      </c>
      <c r="CZ6" s="4">
        <v>0.05</v>
      </c>
      <c r="DA6" s="4">
        <v>0.05</v>
      </c>
    </row>
    <row r="7" spans="1:132" x14ac:dyDescent="0.2">
      <c r="A7" t="s">
        <v>38</v>
      </c>
      <c r="B7">
        <v>7</v>
      </c>
      <c r="C7" s="6">
        <v>10000000</v>
      </c>
      <c r="D7" t="s">
        <v>32</v>
      </c>
      <c r="E7" s="6"/>
      <c r="F7" s="18">
        <v>7209.61</v>
      </c>
      <c r="I7" s="5"/>
      <c r="J7" s="3"/>
      <c r="K7" s="4"/>
      <c r="L7" s="6"/>
      <c r="M7" s="4"/>
      <c r="N7" s="6"/>
      <c r="O7" s="6" t="s">
        <v>60</v>
      </c>
      <c r="P7" s="3"/>
      <c r="R7" s="6">
        <v>751134.24657534249</v>
      </c>
      <c r="Y7" s="4">
        <v>2.1000000000000001E-2</v>
      </c>
      <c r="Z7" s="4">
        <v>-7.2499999999999995E-2</v>
      </c>
      <c r="AA7" s="4">
        <v>0.17</v>
      </c>
      <c r="AB7" s="8">
        <v>751134.25</v>
      </c>
      <c r="AC7" s="16">
        <v>7209.61</v>
      </c>
      <c r="AD7" s="7">
        <v>45953.625</v>
      </c>
      <c r="AE7" s="17">
        <v>0.7</v>
      </c>
      <c r="AF7" t="b">
        <v>1</v>
      </c>
      <c r="AG7" s="2">
        <v>1</v>
      </c>
      <c r="AH7" s="2">
        <v>1</v>
      </c>
      <c r="AI7" t="b">
        <v>0</v>
      </c>
      <c r="AJ7" s="2">
        <v>0.05</v>
      </c>
      <c r="AK7" s="2">
        <v>1</v>
      </c>
      <c r="AL7" s="2">
        <v>1</v>
      </c>
      <c r="AM7" s="6" cm="1">
        <f t="array" aca="1" ref="AM7" ca="1">TRANSPOSE(_xll.ValuateSnowball(实时行情!$D$1,AC7,AD7,AN7:BI7,BJ7:CE7,CF7:DA7,0,AJ7,AE7,AG7,AH7,AK7,AL7,0,0,0,TRUE,AF7,实时行情!$B$2,实时行情!E8,Y7,Z7,AA7,FALSE,"NPV")*C7/AC7)</f>
        <v>1467502.8205298937</v>
      </c>
      <c r="AN7" s="3">
        <v>46045</v>
      </c>
      <c r="AO7" s="3">
        <v>46077</v>
      </c>
      <c r="AP7" s="3">
        <v>46104</v>
      </c>
      <c r="AQ7" s="3">
        <v>46135</v>
      </c>
      <c r="AR7" s="3">
        <v>46167</v>
      </c>
      <c r="AS7" s="3">
        <v>46196</v>
      </c>
      <c r="AT7" s="3">
        <v>46226</v>
      </c>
      <c r="AU7" s="3">
        <v>46258</v>
      </c>
      <c r="AV7" s="3">
        <v>46288</v>
      </c>
      <c r="AW7" s="3">
        <v>46318</v>
      </c>
      <c r="AX7" s="3">
        <v>46349</v>
      </c>
      <c r="AY7" s="3">
        <v>46379</v>
      </c>
      <c r="AZ7" s="3">
        <v>46412</v>
      </c>
      <c r="BA7" s="3">
        <v>46441</v>
      </c>
      <c r="BB7" s="3">
        <v>46469</v>
      </c>
      <c r="BC7" s="3">
        <v>46500</v>
      </c>
      <c r="BD7" s="3">
        <v>46531</v>
      </c>
      <c r="BE7" s="3">
        <v>46561</v>
      </c>
      <c r="BF7" s="3">
        <v>46591</v>
      </c>
      <c r="BG7" s="3">
        <v>46622</v>
      </c>
      <c r="BH7" s="3">
        <v>46653</v>
      </c>
      <c r="BI7" s="3">
        <v>46685</v>
      </c>
      <c r="BJ7" s="4">
        <v>1</v>
      </c>
      <c r="BK7" s="4">
        <v>0.995</v>
      </c>
      <c r="BL7" s="4">
        <v>0.99</v>
      </c>
      <c r="BM7" s="4">
        <v>0.98499999999999999</v>
      </c>
      <c r="BN7" s="4">
        <v>0.98</v>
      </c>
      <c r="BO7" s="4">
        <v>0.97499999999999998</v>
      </c>
      <c r="BP7" s="4">
        <v>0.97</v>
      </c>
      <c r="BQ7" s="4">
        <v>0.96499999999999997</v>
      </c>
      <c r="BR7" s="4">
        <v>0.96</v>
      </c>
      <c r="BS7" s="4">
        <v>0.95499999999999996</v>
      </c>
      <c r="BT7" s="4">
        <v>0.95</v>
      </c>
      <c r="BU7" s="4">
        <v>0.94499999999999995</v>
      </c>
      <c r="BV7" s="4">
        <v>0.94</v>
      </c>
      <c r="BW7" s="4">
        <v>0.93500000000000005</v>
      </c>
      <c r="BX7" s="4">
        <v>0.92999999999999994</v>
      </c>
      <c r="BY7" s="4">
        <v>0.92500000000000004</v>
      </c>
      <c r="BZ7" s="4">
        <v>0.92</v>
      </c>
      <c r="CA7" s="4">
        <v>0.91500000000000004</v>
      </c>
      <c r="CB7" s="4">
        <v>0.91</v>
      </c>
      <c r="CC7" s="4">
        <v>0.90500000000000003</v>
      </c>
      <c r="CD7" s="4">
        <v>0.9</v>
      </c>
      <c r="CE7" s="4">
        <v>0.89500000000000002</v>
      </c>
      <c r="CF7" s="4">
        <v>0.29480000000000001</v>
      </c>
      <c r="CG7" s="4">
        <v>0.29480000000000001</v>
      </c>
      <c r="CH7" s="4">
        <v>0.29480000000000001</v>
      </c>
      <c r="CI7" s="4">
        <v>0.29480000000000001</v>
      </c>
      <c r="CJ7" s="4">
        <v>0.29480000000000001</v>
      </c>
      <c r="CK7" s="4">
        <v>0.29480000000000001</v>
      </c>
      <c r="CL7" s="4">
        <v>0.29480000000000001</v>
      </c>
      <c r="CM7" s="4">
        <v>0.29480000000000001</v>
      </c>
      <c r="CN7" s="4">
        <v>0.29480000000000001</v>
      </c>
      <c r="CO7" s="4">
        <v>0.29480000000000001</v>
      </c>
      <c r="CP7" s="4">
        <v>0.05</v>
      </c>
      <c r="CQ7" s="4">
        <v>0.05</v>
      </c>
      <c r="CR7" s="4">
        <v>0.05</v>
      </c>
      <c r="CS7" s="4">
        <v>0.05</v>
      </c>
      <c r="CT7" s="4">
        <v>0.05</v>
      </c>
      <c r="CU7" s="4">
        <v>0.05</v>
      </c>
      <c r="CV7" s="4">
        <v>0.05</v>
      </c>
      <c r="CW7" s="4">
        <v>0.05</v>
      </c>
      <c r="CX7" s="4">
        <v>0.05</v>
      </c>
      <c r="CY7" s="4">
        <v>0.05</v>
      </c>
      <c r="CZ7" s="4">
        <v>0.05</v>
      </c>
      <c r="DA7" s="4">
        <v>0.05</v>
      </c>
    </row>
    <row r="8" spans="1:132" x14ac:dyDescent="0.2">
      <c r="A8" t="s">
        <v>38</v>
      </c>
      <c r="B8">
        <v>6</v>
      </c>
      <c r="C8" s="6">
        <v>10000000</v>
      </c>
      <c r="D8" t="s">
        <v>32</v>
      </c>
      <c r="E8" s="6"/>
      <c r="F8" s="18">
        <v>7408.07</v>
      </c>
      <c r="I8" s="5"/>
      <c r="J8" s="3"/>
      <c r="K8" s="4"/>
      <c r="L8" s="6"/>
      <c r="M8" s="4"/>
      <c r="N8" s="6"/>
      <c r="O8" s="6" t="s">
        <v>60</v>
      </c>
      <c r="P8" s="3"/>
      <c r="R8" s="6">
        <v>1018709.5890410959</v>
      </c>
      <c r="Y8" s="4">
        <v>2.1000000000000001E-2</v>
      </c>
      <c r="Z8" s="4">
        <v>-7.6999999999999999E-2</v>
      </c>
      <c r="AA8" s="4">
        <v>0.17</v>
      </c>
      <c r="AB8" s="8">
        <v>1018709.59</v>
      </c>
      <c r="AC8" s="16">
        <v>7408.07</v>
      </c>
      <c r="AD8" s="7">
        <v>45923.625</v>
      </c>
      <c r="AE8" s="17">
        <v>0.7</v>
      </c>
      <c r="AF8" t="b">
        <v>1</v>
      </c>
      <c r="AG8" s="2">
        <v>1</v>
      </c>
      <c r="AH8" s="2">
        <v>1</v>
      </c>
      <c r="AI8" t="b">
        <v>0</v>
      </c>
      <c r="AJ8" s="2">
        <v>0.05</v>
      </c>
      <c r="AK8" s="2">
        <v>1</v>
      </c>
      <c r="AL8" s="2">
        <v>1</v>
      </c>
      <c r="AM8" s="6" cm="1">
        <f t="array" aca="1" ref="AM8" ca="1">TRANSPOSE(_xll.ValuateSnowball(实时行情!$D$1,AC8,AD8,AN8:BI8,BJ8:CE8,CF8:DA8,0,AJ8,AE8,AG8,AH8,AK8,AL8,0,0,0,TRUE,AF8,实时行情!$B$2,实时行情!E8,Y8,Z8,AA8,FALSE,"NPV")*C8/AC8)</f>
        <v>1748422.9245737069</v>
      </c>
      <c r="AN8" s="3">
        <v>46014</v>
      </c>
      <c r="AO8" s="3">
        <v>46045</v>
      </c>
      <c r="AP8" s="3">
        <v>46077</v>
      </c>
      <c r="AQ8" s="3">
        <v>46104</v>
      </c>
      <c r="AR8" s="3">
        <v>46135</v>
      </c>
      <c r="AS8" s="3">
        <v>46167</v>
      </c>
      <c r="AT8" s="3">
        <v>46196</v>
      </c>
      <c r="AU8" s="3">
        <v>46226</v>
      </c>
      <c r="AV8" s="3">
        <v>46258</v>
      </c>
      <c r="AW8" s="3">
        <v>46288</v>
      </c>
      <c r="AX8" s="3">
        <v>46318</v>
      </c>
      <c r="AY8" s="3">
        <v>46349</v>
      </c>
      <c r="AZ8" s="3">
        <v>46379</v>
      </c>
      <c r="BA8" s="3">
        <v>46412</v>
      </c>
      <c r="BB8" s="3">
        <v>46441</v>
      </c>
      <c r="BC8" s="3">
        <v>46469</v>
      </c>
      <c r="BD8" s="3">
        <v>46500</v>
      </c>
      <c r="BE8" s="3">
        <v>46531</v>
      </c>
      <c r="BF8" s="3">
        <v>46561</v>
      </c>
      <c r="BG8" s="3">
        <v>46591</v>
      </c>
      <c r="BH8" s="3">
        <v>46622</v>
      </c>
      <c r="BI8" s="3">
        <v>46653</v>
      </c>
      <c r="BJ8" s="4">
        <v>1</v>
      </c>
      <c r="BK8" s="4">
        <v>0.995</v>
      </c>
      <c r="BL8" s="4">
        <v>0.99</v>
      </c>
      <c r="BM8" s="4">
        <v>0.98499999999999999</v>
      </c>
      <c r="BN8" s="4">
        <v>0.98</v>
      </c>
      <c r="BO8" s="4">
        <v>0.97499999999999998</v>
      </c>
      <c r="BP8" s="4">
        <v>0.97</v>
      </c>
      <c r="BQ8" s="4">
        <v>0.96499999999999997</v>
      </c>
      <c r="BR8" s="4">
        <v>0.96</v>
      </c>
      <c r="BS8" s="4">
        <v>0.95499999999999996</v>
      </c>
      <c r="BT8" s="4">
        <v>0.95</v>
      </c>
      <c r="BU8" s="4">
        <v>0.94499999999999995</v>
      </c>
      <c r="BV8" s="4">
        <v>0.94</v>
      </c>
      <c r="BW8" s="4">
        <v>0.93500000000000005</v>
      </c>
      <c r="BX8" s="4">
        <v>0.92999999999999994</v>
      </c>
      <c r="BY8" s="4">
        <v>0.92500000000000004</v>
      </c>
      <c r="BZ8" s="4">
        <v>0.92</v>
      </c>
      <c r="CA8" s="4">
        <v>0.91500000000000004</v>
      </c>
      <c r="CB8" s="4">
        <v>0.91</v>
      </c>
      <c r="CC8" s="4">
        <v>0.90500000000000003</v>
      </c>
      <c r="CD8" s="4">
        <v>0.9</v>
      </c>
      <c r="CE8" s="4">
        <v>0.89500000000000002</v>
      </c>
      <c r="CF8" s="4">
        <v>0.30230000000000001</v>
      </c>
      <c r="CG8" s="4">
        <v>0.30230000000000001</v>
      </c>
      <c r="CH8" s="4">
        <v>0.30230000000000001</v>
      </c>
      <c r="CI8" s="4">
        <v>0.30230000000000001</v>
      </c>
      <c r="CJ8" s="4">
        <v>0.30230000000000001</v>
      </c>
      <c r="CK8" s="4">
        <v>0.30230000000000001</v>
      </c>
      <c r="CL8" s="4">
        <v>0.30230000000000001</v>
      </c>
      <c r="CM8" s="4">
        <v>0.30230000000000001</v>
      </c>
      <c r="CN8" s="4">
        <v>0.30230000000000001</v>
      </c>
      <c r="CO8" s="4">
        <v>0.30230000000000001</v>
      </c>
      <c r="CP8" s="4">
        <v>0.05</v>
      </c>
      <c r="CQ8" s="4">
        <v>0.05</v>
      </c>
      <c r="CR8" s="4">
        <v>0.05</v>
      </c>
      <c r="CS8" s="4">
        <v>0.05</v>
      </c>
      <c r="CT8" s="4">
        <v>0.05</v>
      </c>
      <c r="CU8" s="4">
        <v>0.05</v>
      </c>
      <c r="CV8" s="4">
        <v>0.05</v>
      </c>
      <c r="CW8" s="4">
        <v>0.05</v>
      </c>
      <c r="CX8" s="4">
        <v>0.05</v>
      </c>
      <c r="CY8" s="4">
        <v>0.05</v>
      </c>
      <c r="CZ8" s="4">
        <v>0.05</v>
      </c>
      <c r="DA8" s="4">
        <v>0.05</v>
      </c>
    </row>
    <row r="9" spans="1:132" s="14" customFormat="1" x14ac:dyDescent="0.2">
      <c r="A9" s="14" t="s">
        <v>39</v>
      </c>
      <c r="B9" s="14">
        <v>5</v>
      </c>
      <c r="C9" s="15">
        <v>10000000</v>
      </c>
      <c r="D9" s="14" t="s">
        <v>37</v>
      </c>
      <c r="E9" s="15"/>
      <c r="F9" s="25">
        <v>7253.81</v>
      </c>
      <c r="G9" s="29"/>
      <c r="H9" s="29"/>
      <c r="I9" s="23"/>
      <c r="J9" s="24"/>
      <c r="K9" s="26"/>
      <c r="L9" s="15">
        <f>C9*K9</f>
        <v>0</v>
      </c>
      <c r="M9" s="26"/>
      <c r="N9" s="15"/>
      <c r="O9" s="15" t="s">
        <v>65</v>
      </c>
      <c r="P9" s="24"/>
      <c r="R9" s="14">
        <f>86160*4</f>
        <v>344640</v>
      </c>
      <c r="Y9" s="26">
        <v>2.1000000000000001E-2</v>
      </c>
      <c r="Z9" s="26">
        <v>-4.8000000000000001E-2</v>
      </c>
      <c r="AA9" s="26">
        <v>0.14000000000000001</v>
      </c>
      <c r="AB9" s="14">
        <f>86160*4</f>
        <v>344640</v>
      </c>
      <c r="AC9" s="25">
        <v>7253.81</v>
      </c>
      <c r="AD9" s="27">
        <v>45890</v>
      </c>
      <c r="AE9" s="28">
        <v>0.75</v>
      </c>
      <c r="AF9" s="14" t="b">
        <v>1</v>
      </c>
      <c r="AG9" s="28">
        <v>1</v>
      </c>
      <c r="AH9" s="28">
        <v>1</v>
      </c>
      <c r="AI9" s="14" t="b">
        <v>0</v>
      </c>
      <c r="AJ9" s="28">
        <v>0</v>
      </c>
      <c r="AK9" s="28">
        <v>1</v>
      </c>
      <c r="AL9" s="28">
        <v>1</v>
      </c>
      <c r="AM9" s="15" cm="1">
        <f t="array" aca="1" ref="AM9" ca="1">TRANSPOSE(_xll.ValuatePhoenix(实时行情!D1,"UP_OUT",AC9,AD9,CF9:DC9,DD9:EA9,AN9:BI9,BJ9:CE9,EB9,AE9,AF9,AG9,AH9,AL9,AK9,0,0,实时行情!B2,实时行情!E8,Y9,Z9,AA9,FALSE,"NPV")*C9/AC9)</f>
        <v>78994.134499804451</v>
      </c>
      <c r="AN9" s="24">
        <v>45982</v>
      </c>
      <c r="AO9" s="24">
        <v>46013</v>
      </c>
      <c r="AP9" s="24">
        <v>46043</v>
      </c>
      <c r="AQ9" s="24">
        <v>46077</v>
      </c>
      <c r="AR9" s="24">
        <v>46104</v>
      </c>
      <c r="AS9" s="24">
        <v>46133</v>
      </c>
      <c r="AT9" s="24">
        <v>46163</v>
      </c>
      <c r="AU9" s="24">
        <v>46195</v>
      </c>
      <c r="AV9" s="24">
        <v>46224</v>
      </c>
      <c r="AW9" s="24">
        <v>46255</v>
      </c>
      <c r="AX9" s="24">
        <v>46286</v>
      </c>
      <c r="AY9" s="24">
        <v>46316</v>
      </c>
      <c r="AZ9" s="24">
        <v>46349</v>
      </c>
      <c r="BA9" s="24">
        <v>46377</v>
      </c>
      <c r="BB9" s="24">
        <v>46408</v>
      </c>
      <c r="BC9" s="24">
        <v>46440</v>
      </c>
      <c r="BD9" s="24">
        <v>46468</v>
      </c>
      <c r="BE9" s="24">
        <v>46498</v>
      </c>
      <c r="BF9" s="24">
        <v>46528</v>
      </c>
      <c r="BG9" s="24">
        <v>46559</v>
      </c>
      <c r="BH9" s="24">
        <v>46589</v>
      </c>
      <c r="BI9" s="24">
        <v>46622</v>
      </c>
      <c r="BJ9" s="26">
        <v>1</v>
      </c>
      <c r="BK9" s="26">
        <v>0.995</v>
      </c>
      <c r="BL9" s="26">
        <v>0.99</v>
      </c>
      <c r="BM9" s="26">
        <v>0.98499999999999999</v>
      </c>
      <c r="BN9" s="26">
        <v>0.98</v>
      </c>
      <c r="BO9" s="26">
        <v>0.97499999999999998</v>
      </c>
      <c r="BP9" s="26">
        <v>0.97</v>
      </c>
      <c r="BQ9" s="26">
        <v>0.96499999999999997</v>
      </c>
      <c r="BR9" s="26">
        <v>0.96</v>
      </c>
      <c r="BS9" s="26">
        <v>0.95499999999999996</v>
      </c>
      <c r="BT9" s="26">
        <v>0.95</v>
      </c>
      <c r="BU9" s="26">
        <v>0.94499999999999995</v>
      </c>
      <c r="BV9" s="26">
        <v>0.94</v>
      </c>
      <c r="BW9" s="26">
        <v>0.93500000000000005</v>
      </c>
      <c r="BX9" s="26">
        <v>0.92999999999999994</v>
      </c>
      <c r="BY9" s="26">
        <v>0.92500000000000004</v>
      </c>
      <c r="BZ9" s="26">
        <v>0.92</v>
      </c>
      <c r="CA9" s="26">
        <v>0.91500000000000004</v>
      </c>
      <c r="CB9" s="26">
        <v>0.91</v>
      </c>
      <c r="CC9" s="26">
        <v>0.90500000000000003</v>
      </c>
      <c r="CD9" s="26">
        <v>0.9</v>
      </c>
      <c r="CE9" s="26">
        <v>0.89500000000000002</v>
      </c>
      <c r="CF9" s="24">
        <v>45922</v>
      </c>
      <c r="CG9" s="24">
        <v>45951</v>
      </c>
      <c r="CH9" s="24">
        <v>45982</v>
      </c>
      <c r="CI9" s="24">
        <v>46013</v>
      </c>
      <c r="CJ9" s="24">
        <v>46043</v>
      </c>
      <c r="CK9" s="24">
        <v>46077</v>
      </c>
      <c r="CL9" s="24">
        <v>46104</v>
      </c>
      <c r="CM9" s="24">
        <v>46133</v>
      </c>
      <c r="CN9" s="24">
        <v>46163</v>
      </c>
      <c r="CO9" s="24">
        <v>46195</v>
      </c>
      <c r="CP9" s="24">
        <v>46224</v>
      </c>
      <c r="CQ9" s="24">
        <v>46255</v>
      </c>
      <c r="CR9" s="24">
        <v>46286</v>
      </c>
      <c r="CS9" s="24">
        <v>46316</v>
      </c>
      <c r="CT9" s="24">
        <v>46349</v>
      </c>
      <c r="CU9" s="24">
        <v>46377</v>
      </c>
      <c r="CV9" s="24">
        <v>46408</v>
      </c>
      <c r="CW9" s="24">
        <v>46440</v>
      </c>
      <c r="CX9" s="24">
        <v>46468</v>
      </c>
      <c r="CY9" s="24">
        <v>46498</v>
      </c>
      <c r="CZ9" s="24">
        <v>46528</v>
      </c>
      <c r="DA9" s="24">
        <v>46559</v>
      </c>
      <c r="DB9" s="24">
        <v>46589</v>
      </c>
      <c r="DC9" s="24">
        <v>46622</v>
      </c>
      <c r="DD9" s="26">
        <v>8.6E-3</v>
      </c>
      <c r="DE9" s="26">
        <v>8.6E-3</v>
      </c>
      <c r="DF9" s="26">
        <v>8.6E-3</v>
      </c>
      <c r="DG9" s="26">
        <v>8.6E-3</v>
      </c>
      <c r="DH9" s="26">
        <v>8.6E-3</v>
      </c>
      <c r="DI9" s="26">
        <v>8.6E-3</v>
      </c>
      <c r="DJ9" s="26">
        <v>8.6E-3</v>
      </c>
      <c r="DK9" s="26">
        <v>8.6E-3</v>
      </c>
      <c r="DL9" s="26">
        <v>8.6E-3</v>
      </c>
      <c r="DM9" s="26">
        <v>8.6E-3</v>
      </c>
      <c r="DN9" s="26">
        <v>8.6E-3</v>
      </c>
      <c r="DO9" s="26">
        <v>8.6E-3</v>
      </c>
      <c r="DP9" s="26">
        <v>8.6E-3</v>
      </c>
      <c r="DQ9" s="26">
        <v>8.6E-3</v>
      </c>
      <c r="DR9" s="26">
        <v>8.6E-3</v>
      </c>
      <c r="DS9" s="26">
        <v>8.6E-3</v>
      </c>
      <c r="DT9" s="26">
        <v>8.6E-3</v>
      </c>
      <c r="DU9" s="26">
        <v>8.6E-3</v>
      </c>
      <c r="DV9" s="26">
        <v>8.6E-3</v>
      </c>
      <c r="DW9" s="26">
        <v>8.6E-3</v>
      </c>
      <c r="DX9" s="26">
        <v>8.6E-3</v>
      </c>
      <c r="DY9" s="26">
        <v>8.6E-3</v>
      </c>
      <c r="DZ9" s="26">
        <v>8.6E-3</v>
      </c>
      <c r="EA9" s="26">
        <v>8.6E-3</v>
      </c>
      <c r="EB9" s="14">
        <v>0.8</v>
      </c>
    </row>
    <row r="10" spans="1:132" s="14" customFormat="1" x14ac:dyDescent="0.2">
      <c r="A10" s="14" t="s">
        <v>38</v>
      </c>
      <c r="B10" s="14">
        <v>4</v>
      </c>
      <c r="C10" s="15">
        <v>10000000</v>
      </c>
      <c r="D10" s="14" t="s">
        <v>45</v>
      </c>
      <c r="E10" s="15"/>
      <c r="F10" s="25">
        <v>6357.38</v>
      </c>
      <c r="G10" s="29"/>
      <c r="H10" s="29"/>
      <c r="N10" s="15"/>
      <c r="O10" s="15" t="s">
        <v>64</v>
      </c>
      <c r="R10" s="14">
        <v>479268.49315068347</v>
      </c>
      <c r="AB10" s="14">
        <v>479268.49</v>
      </c>
      <c r="AC10" s="25">
        <v>6357.38</v>
      </c>
      <c r="AD10" s="27">
        <v>45875</v>
      </c>
    </row>
    <row r="11" spans="1:132" s="14" customFormat="1" x14ac:dyDescent="0.2">
      <c r="A11" s="14" t="s">
        <v>38</v>
      </c>
      <c r="B11" s="14">
        <v>3</v>
      </c>
      <c r="C11" s="15">
        <v>10000000</v>
      </c>
      <c r="D11" s="14" t="s">
        <v>45</v>
      </c>
      <c r="E11" s="15"/>
      <c r="F11" s="25">
        <v>6312.47</v>
      </c>
      <c r="G11" s="29"/>
      <c r="H11" s="29"/>
      <c r="N11" s="15"/>
      <c r="O11" s="15" t="s">
        <v>63</v>
      </c>
      <c r="R11" s="14">
        <v>479013.69863013766</v>
      </c>
      <c r="AB11" s="14">
        <v>479013.7</v>
      </c>
      <c r="AC11" s="25">
        <v>6312.47</v>
      </c>
      <c r="AD11" s="27">
        <v>45867</v>
      </c>
    </row>
    <row r="12" spans="1:132" s="14" customFormat="1" x14ac:dyDescent="0.2">
      <c r="A12" s="14" t="s">
        <v>38</v>
      </c>
      <c r="B12" s="14">
        <v>2</v>
      </c>
      <c r="C12" s="15">
        <v>10000000</v>
      </c>
      <c r="D12" s="14" t="s">
        <v>37</v>
      </c>
      <c r="F12" s="25">
        <v>6706.61</v>
      </c>
      <c r="G12" s="29"/>
      <c r="H12" s="29"/>
      <c r="O12" s="14" t="s">
        <v>62</v>
      </c>
      <c r="R12" s="14">
        <v>329767.12328767165</v>
      </c>
      <c r="AB12" s="14">
        <v>329767.12</v>
      </c>
      <c r="AC12" s="25">
        <v>6706.61</v>
      </c>
      <c r="AD12" s="27">
        <v>45863</v>
      </c>
    </row>
    <row r="13" spans="1:132" s="14" customFormat="1" x14ac:dyDescent="0.2">
      <c r="A13" s="14" t="s">
        <v>38</v>
      </c>
      <c r="B13" s="14">
        <v>1</v>
      </c>
      <c r="C13" s="15">
        <v>10000000</v>
      </c>
      <c r="D13" s="14" t="s">
        <v>37</v>
      </c>
      <c r="F13" s="25">
        <v>6535.26</v>
      </c>
      <c r="G13" s="29"/>
      <c r="H13" s="29"/>
      <c r="O13" s="14" t="s">
        <v>61</v>
      </c>
      <c r="R13" s="14">
        <v>334458.97031162347</v>
      </c>
      <c r="AB13" s="14">
        <v>334452.05</v>
      </c>
      <c r="AC13" s="25">
        <v>6535.26</v>
      </c>
      <c r="AD13" s="27">
        <v>45856</v>
      </c>
    </row>
    <row r="18" spans="5:27" x14ac:dyDescent="0.2">
      <c r="Z18" t="s">
        <v>58</v>
      </c>
      <c r="AA18" s="8">
        <f>SUM(AB9:AB13)</f>
        <v>1967141.36</v>
      </c>
    </row>
    <row r="19" spans="5:27" x14ac:dyDescent="0.2">
      <c r="Z19" t="s">
        <v>59</v>
      </c>
      <c r="AA19" s="22">
        <f>SUM(AB2:AB8)</f>
        <v>6710687.6789041124</v>
      </c>
    </row>
    <row r="20" spans="5:27" x14ac:dyDescent="0.2">
      <c r="Z20" t="s">
        <v>48</v>
      </c>
      <c r="AA20" s="22">
        <f>SUM(AB2:AB25)</f>
        <v>8677829.0389041137</v>
      </c>
    </row>
    <row r="25" spans="5:27" x14ac:dyDescent="0.2">
      <c r="E25" s="21"/>
      <c r="N25" s="21"/>
      <c r="O25" s="21"/>
      <c r="P25" s="21"/>
      <c r="Q25" s="21"/>
      <c r="R25" s="21"/>
      <c r="S25" s="21"/>
      <c r="T25" s="21"/>
      <c r="U25" s="2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8B63E-CAF0-4BFD-A026-28DB8344F248}">
  <dimension ref="A1:D7"/>
  <sheetViews>
    <sheetView workbookViewId="0">
      <selection activeCell="F25" sqref="F25"/>
    </sheetView>
  </sheetViews>
  <sheetFormatPr defaultRowHeight="14.25" x14ac:dyDescent="0.2"/>
  <cols>
    <col min="1" max="1" width="16.25" style="31" customWidth="1"/>
    <col min="2" max="4" width="15" style="31" customWidth="1"/>
    <col min="6" max="8" width="16.125" customWidth="1"/>
  </cols>
  <sheetData>
    <row r="1" spans="1:4" x14ac:dyDescent="0.2">
      <c r="A1" s="31" t="s">
        <v>72</v>
      </c>
    </row>
    <row r="2" spans="1:4" x14ac:dyDescent="0.2">
      <c r="A2" s="62"/>
      <c r="B2" s="62" t="s">
        <v>103</v>
      </c>
      <c r="C2" s="62" t="s">
        <v>104</v>
      </c>
      <c r="D2" s="62" t="s">
        <v>105</v>
      </c>
    </row>
    <row r="3" spans="1:4" x14ac:dyDescent="0.2">
      <c r="A3" s="62" t="s">
        <v>106</v>
      </c>
      <c r="B3" s="62">
        <f>SUMIF(合约状态!$D:$D,#REF!,合约状态!$R:$R)+ SUMIF(合约状态!$D:$D,#REF!,合约状态!$AB:$AB)</f>
        <v>0</v>
      </c>
      <c r="C3" s="62">
        <f>SUMIF(合约状态!$D:$D,#REF!,合约状态!$R:$R)+ SUMIF(合约状态!$D:$D,#REF!,合约状态!$AB:$AB)</f>
        <v>0</v>
      </c>
      <c r="D3" s="62">
        <f>SUMIF(合约状态!$D:$D,#REF!,合约状态!$R:$R)+ SUMIF(合约状态!$D:$D,#REF!,合约状态!$AB:$AB)</f>
        <v>0</v>
      </c>
    </row>
    <row r="4" spans="1:4" x14ac:dyDescent="0.2">
      <c r="A4" s="57">
        <v>46197.576917013888</v>
      </c>
      <c r="B4" s="62">
        <v>-11627698.920940893</v>
      </c>
      <c r="C4" s="62">
        <v>9058326.774271315</v>
      </c>
      <c r="D4" s="62">
        <v>14239220.194877002</v>
      </c>
    </row>
    <row r="5" spans="1:4" x14ac:dyDescent="0.2">
      <c r="A5" s="57">
        <v>46287.590162037035</v>
      </c>
      <c r="B5" s="62">
        <v>-6821684.2256578244</v>
      </c>
      <c r="C5" s="62">
        <v>16649719.9408044</v>
      </c>
      <c r="D5" s="62">
        <v>22425426.450723927</v>
      </c>
    </row>
    <row r="6" spans="1:4" x14ac:dyDescent="0.2">
      <c r="A6" s="57">
        <v>46377.588842592595</v>
      </c>
      <c r="B6" s="62">
        <v>-2941050.1533189975</v>
      </c>
      <c r="C6" s="62">
        <v>21166500.020281442</v>
      </c>
      <c r="D6" s="62">
        <v>30406781.51130674</v>
      </c>
    </row>
    <row r="7" spans="1:4" x14ac:dyDescent="0.2">
      <c r="A7" s="57">
        <v>46470.589549421296</v>
      </c>
      <c r="B7" s="62">
        <v>3753951.8342652135</v>
      </c>
      <c r="C7" s="62">
        <v>12290586.740033889</v>
      </c>
      <c r="D7" s="62">
        <v>12376086.462763568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合约状态</vt:lpstr>
      <vt:lpstr>实时行情</vt:lpstr>
      <vt:lpstr>了结合约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 Song</dc:creator>
  <cp:lastModifiedBy>Zhi Shen</cp:lastModifiedBy>
  <dcterms:created xsi:type="dcterms:W3CDTF">2025-12-08T07:20:37Z</dcterms:created>
  <dcterms:modified xsi:type="dcterms:W3CDTF">2026-04-10T08:51:27Z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65A419CC-ACE1-4EE1-816D-CC065AFF2B29</vt:lpwstr>
  </property>
</Properties>
</file>