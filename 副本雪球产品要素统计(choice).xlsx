
<file path=[Content_Types].xml><?xml version="1.0" encoding="utf-8"?>
<Types xmlns="http://schemas.openxmlformats.org/package/2006/content-types">
  <Default Extension="emf" ContentType="image/x-emf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omments3.xml" ContentType="application/vnd.openxmlformats-officedocument.spreadsheetml.comments+xml"/>
  <Override PartName="/xl/comments4.xml" ContentType="application/vnd.openxmlformats-officedocument.spreadsheetml.comments+xml"/>
  <Override PartName="/xl/comments5.xml" ContentType="application/vnd.openxmlformats-officedocument.spreadsheetml.comments+xml"/>
  <Override PartName="/xl/comments6.xml" ContentType="application/vnd.openxmlformats-officedocument.spreadsheetml.comments+xml"/>
  <Override PartName="/xl/comments7.xml" ContentType="application/vnd.openxmlformats-officedocument.spreadsheetml.comments+xml"/>
  <Override PartName="/xl/comments8.xml" ContentType="application/vnd.openxmlformats-officedocument.spreadsheetml.comments+xml"/>
  <Override PartName="/xl/comments9.xml" ContentType="application/vnd.openxmlformats-officedocument.spreadsheetml.comments+xml"/>
  <Override PartName="/xl/comments10.xml" ContentType="application/vnd.openxmlformats-officedocument.spreadsheetml.comments+xml"/>
  <Override PartName="/xl/comments11.xml" ContentType="application/vnd.openxmlformats-officedocument.spreadsheetml.comments+xml"/>
  <Override PartName="/xl/comments12.xml" ContentType="application/vnd.openxmlformats-officedocument.spreadsheetml.comments+xml"/>
  <Override PartName="/xl/comments13.xml" ContentType="application/vnd.openxmlformats-officedocument.spreadsheetml.comments+xml"/>
  <Override PartName="/xl/comments14.xml" ContentType="application/vnd.openxmlformats-officedocument.spreadsheetml.comments+xml"/>
  <Override PartName="/xl/comments15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628"/>
  <workbookPr codeName="ThisWorkbook"/>
  <mc:AlternateContent xmlns:mc="http://schemas.openxmlformats.org/markup-compatibility/2006">
    <mc:Choice Requires="x15">
      <x15ac:absPath xmlns:x15ac="http://schemas.microsoft.com/office/spreadsheetml/2010/11/ac" url="D:\Github\chuangxintou\"/>
    </mc:Choice>
  </mc:AlternateContent>
  <xr:revisionPtr revIDLastSave="0" documentId="13_ncr:1_{EC80C73A-167E-44DE-8B57-B216C234C4A9}" xr6:coauthVersionLast="47" xr6:coauthVersionMax="47" xr10:uidLastSave="{00000000-0000-0000-0000-000000000000}"/>
  <bookViews>
    <workbookView xWindow="-98" yWindow="-98" windowWidth="19396" windowHeight="11475" firstSheet="2" activeTab="15" xr2:uid="{00000000-000D-0000-FFFF-FFFF00000000}"/>
  </bookViews>
  <sheets>
    <sheet name="15" sheetId="35" r:id="rId1"/>
    <sheet name="14" sheetId="34" r:id="rId2"/>
    <sheet name="13" sheetId="33" r:id="rId3"/>
    <sheet name="12" sheetId="32" r:id="rId4"/>
    <sheet name="11" sheetId="31" r:id="rId5"/>
    <sheet name="10" sheetId="30" r:id="rId6"/>
    <sheet name="9" sheetId="29" r:id="rId7"/>
    <sheet name="8" sheetId="28" r:id="rId8"/>
    <sheet name="7" sheetId="26" r:id="rId9"/>
    <sheet name="6" sheetId="27" r:id="rId10"/>
    <sheet name="5" sheetId="25" r:id="rId11"/>
    <sheet name="4" sheetId="24" r:id="rId12"/>
    <sheet name="3" sheetId="23" r:id="rId13"/>
    <sheet name="2" sheetId="22" r:id="rId14"/>
    <sheet name="1" sheetId="21" r:id="rId15"/>
    <sheet name="历史行情" sheetId="19" r:id="rId16"/>
  </sheets>
  <definedNames>
    <definedName name="_xlnm._FilterDatabase" localSheetId="15" hidden="1">历史行情!$I$1:$W$1</definedName>
  </definedNames>
  <calcPr calcId="191029" iterate="1" calcOnSave="0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J2" i="35" l="1" a="1"/>
  <c r="J10" i="35" a="1"/>
  <c r="J3" i="35" a="1"/>
  <c r="J11" i="35" a="1"/>
  <c r="J8" i="35" a="1"/>
  <c r="J5" i="35" a="1"/>
  <c r="J6" i="35" a="1"/>
  <c r="J7" i="35" a="1"/>
  <c r="J4" i="35" a="1"/>
  <c r="J9" i="35" a="1"/>
  <c r="K7" i="34" a="1"/>
  <c r="J12" i="34" a="1"/>
  <c r="J5" i="34" a="1"/>
  <c r="K9" i="34" a="1"/>
  <c r="J14" i="34" a="1"/>
  <c r="K11" i="34" a="1"/>
  <c r="J16" i="34" a="1"/>
  <c r="K6" i="34" a="1"/>
  <c r="K14" i="34" a="1"/>
  <c r="J3" i="34" a="1"/>
  <c r="J11" i="34" a="1"/>
  <c r="J19" i="34" a="1"/>
  <c r="J4" i="34" a="1"/>
  <c r="K16" i="34" a="1"/>
  <c r="K17" i="34" a="1"/>
  <c r="K10" i="34" a="1"/>
  <c r="J15" i="34" a="1"/>
  <c r="K3" i="34" a="1"/>
  <c r="J8" i="34" a="1"/>
  <c r="K15" i="34" a="1"/>
  <c r="J20" i="34" a="1"/>
  <c r="K8" i="34" a="1"/>
  <c r="J13" i="34" a="1"/>
  <c r="J6" i="34" a="1"/>
  <c r="K18" i="34" a="1"/>
  <c r="J7" i="34" a="1"/>
  <c r="K19" i="34" a="1"/>
  <c r="K4" i="34" a="1"/>
  <c r="J17" i="34" a="1"/>
  <c r="K5" i="34" a="1"/>
  <c r="J18" i="34" a="1"/>
  <c r="K12" i="34" a="1"/>
  <c r="J9" i="34" a="1"/>
  <c r="K13" i="34" a="1"/>
  <c r="K20" i="34" a="1"/>
  <c r="J10" i="34" a="1"/>
  <c r="J9" i="35" l="1"/>
  <c r="J4" i="35"/>
  <c r="J7" i="35"/>
  <c r="J6" i="35"/>
  <c r="J5" i="35"/>
  <c r="J8" i="35"/>
  <c r="J11" i="35"/>
  <c r="J3" i="35"/>
  <c r="J10" i="35"/>
  <c r="J2" i="35"/>
  <c r="J10" i="34"/>
  <c r="K20" i="34"/>
  <c r="K13" i="34"/>
  <c r="J9" i="34"/>
  <c r="K12" i="34"/>
  <c r="J18" i="34"/>
  <c r="K5" i="34"/>
  <c r="J17" i="34"/>
  <c r="K4" i="34"/>
  <c r="K19" i="34"/>
  <c r="J7" i="34"/>
  <c r="K18" i="34"/>
  <c r="J6" i="34"/>
  <c r="J13" i="34"/>
  <c r="K8" i="34"/>
  <c r="J20" i="34"/>
  <c r="K15" i="34"/>
  <c r="J8" i="34"/>
  <c r="K3" i="34"/>
  <c r="J15" i="34"/>
  <c r="K10" i="34"/>
  <c r="K17" i="34"/>
  <c r="K16" i="34"/>
  <c r="J4" i="34"/>
  <c r="J19" i="34"/>
  <c r="J11" i="34"/>
  <c r="J3" i="34"/>
  <c r="K14" i="34"/>
  <c r="K6" i="34"/>
  <c r="J16" i="34"/>
  <c r="K11" i="34"/>
  <c r="J14" i="34"/>
  <c r="K9" i="34"/>
  <c r="J5" i="34"/>
  <c r="J12" i="34"/>
  <c r="K7" i="34"/>
  <c r="K54" i="34" a="1"/>
  <c r="J27" i="34" a="1"/>
  <c r="J30" i="34" a="1"/>
  <c r="J32" i="34" a="1"/>
  <c r="K60" i="34" a="1"/>
  <c r="K27" i="34" a="1"/>
  <c r="K30" i="34" a="1"/>
  <c r="K32" i="34" a="1"/>
  <c r="J60" i="34" a="1"/>
  <c r="J26" i="34" a="1"/>
  <c r="K23" i="34" a="1"/>
  <c r="J43" i="34" a="1"/>
  <c r="J45" i="34" a="1"/>
  <c r="K45" i="34" a="1"/>
  <c r="J38" i="34" a="1"/>
  <c r="K57" i="34" a="1"/>
  <c r="K47" i="34" a="1"/>
  <c r="J47" i="34" a="1"/>
  <c r="J54" i="34" a="1"/>
  <c r="K55" i="34" a="1"/>
  <c r="K39" i="34" a="1"/>
  <c r="J49" i="34" a="1"/>
  <c r="J25" i="34" a="1"/>
  <c r="J21" i="34" a="1"/>
  <c r="J37" i="34" a="1"/>
  <c r="K28" i="34" a="1"/>
  <c r="J24" i="34" a="1"/>
  <c r="K59" i="34" a="1"/>
  <c r="J59" i="34" a="1"/>
  <c r="J58" i="34" a="1"/>
  <c r="J41" i="34" a="1"/>
  <c r="K58" i="34" a="1"/>
  <c r="J53" i="34" a="1"/>
  <c r="K53" i="34" a="1"/>
  <c r="J48" i="34" a="1"/>
  <c r="J22" i="34" a="1"/>
  <c r="J57" i="34" a="1"/>
  <c r="K49" i="34" a="1"/>
  <c r="J33" i="34" a="1"/>
  <c r="J34" i="34" a="1"/>
  <c r="K25" i="34" a="1"/>
  <c r="K21" i="34" a="1"/>
  <c r="K37" i="34" a="1"/>
  <c r="J28" i="34" a="1"/>
  <c r="K24" i="34" a="1"/>
  <c r="K35" i="34" a="1"/>
  <c r="J29" i="34" a="1"/>
  <c r="K56" i="34" a="1"/>
  <c r="K48" i="34" a="1"/>
  <c r="K38" i="34" a="1"/>
  <c r="K42" i="34" a="1"/>
  <c r="J42" i="34" a="1"/>
  <c r="K44" i="34" a="1"/>
  <c r="J35" i="34" a="1"/>
  <c r="J36" i="34" a="1"/>
  <c r="K41" i="34" a="1"/>
  <c r="K36" i="34" a="1"/>
  <c r="J50" i="34" a="1"/>
  <c r="J23" i="34" a="1"/>
  <c r="J39" i="34" a="1"/>
  <c r="K34" i="34" a="1"/>
  <c r="J44" i="34" a="1"/>
  <c r="K40" i="34" a="1"/>
  <c r="J40" i="34" a="1"/>
  <c r="J55" i="34" a="1"/>
  <c r="K26" i="34" a="1"/>
  <c r="K50" i="34" a="1"/>
  <c r="K29" i="34" a="1"/>
  <c r="K46" i="34" a="1"/>
  <c r="K43" i="34" a="1"/>
  <c r="K33" i="34" a="1"/>
  <c r="J31" i="34" a="1"/>
  <c r="K52" i="34" a="1"/>
  <c r="J51" i="34" a="1"/>
  <c r="J46" i="34" a="1"/>
  <c r="J56" i="34" a="1"/>
  <c r="K22" i="34" a="1"/>
  <c r="K31" i="34" a="1"/>
  <c r="J52" i="34" a="1"/>
  <c r="K51" i="34" a="1"/>
  <c r="K51" i="34" l="1"/>
  <c r="J52" i="34"/>
  <c r="K31" i="34"/>
  <c r="K22" i="34"/>
  <c r="J56" i="34"/>
  <c r="J46" i="34"/>
  <c r="J51" i="34"/>
  <c r="K52" i="34"/>
  <c r="J31" i="34"/>
  <c r="K33" i="34"/>
  <c r="K43" i="34"/>
  <c r="K46" i="34"/>
  <c r="K29" i="34"/>
  <c r="K50" i="34"/>
  <c r="K26" i="34"/>
  <c r="J55" i="34"/>
  <c r="J40" i="34"/>
  <c r="K40" i="34"/>
  <c r="J44" i="34"/>
  <c r="K34" i="34"/>
  <c r="J39" i="34"/>
  <c r="J23" i="34"/>
  <c r="J50" i="34"/>
  <c r="K36" i="34"/>
  <c r="K41" i="34"/>
  <c r="J36" i="34"/>
  <c r="J35" i="34"/>
  <c r="K44" i="34"/>
  <c r="J42" i="34"/>
  <c r="K42" i="34"/>
  <c r="K38" i="34"/>
  <c r="K48" i="34"/>
  <c r="K56" i="34"/>
  <c r="J29" i="34"/>
  <c r="K35" i="34"/>
  <c r="K24" i="34"/>
  <c r="J28" i="34"/>
  <c r="K37" i="34"/>
  <c r="K21" i="34"/>
  <c r="K25" i="34"/>
  <c r="J34" i="34"/>
  <c r="J33" i="34"/>
  <c r="K49" i="34"/>
  <c r="J57" i="34"/>
  <c r="J22" i="34"/>
  <c r="J48" i="34"/>
  <c r="K53" i="34"/>
  <c r="J53" i="34"/>
  <c r="K58" i="34"/>
  <c r="J41" i="34"/>
  <c r="J58" i="34"/>
  <c r="J59" i="34"/>
  <c r="K59" i="34"/>
  <c r="J24" i="34"/>
  <c r="K28" i="34"/>
  <c r="J37" i="34"/>
  <c r="J21" i="34"/>
  <c r="J25" i="34"/>
  <c r="J49" i="34"/>
  <c r="K39" i="34"/>
  <c r="K55" i="34"/>
  <c r="J54" i="34"/>
  <c r="J47" i="34"/>
  <c r="K47" i="34"/>
  <c r="K57" i="34"/>
  <c r="J38" i="34"/>
  <c r="K45" i="34"/>
  <c r="J45" i="34"/>
  <c r="J43" i="34"/>
  <c r="K23" i="34"/>
  <c r="J26" i="34"/>
  <c r="J60" i="34"/>
  <c r="K32" i="34"/>
  <c r="K30" i="34"/>
  <c r="K27" i="34"/>
  <c r="K60" i="34"/>
  <c r="J32" i="34"/>
  <c r="J30" i="34"/>
  <c r="J27" i="34"/>
  <c r="K54" i="34"/>
  <c r="L3" i="34" l="1"/>
  <c r="L4" i="34"/>
  <c r="L5" i="34"/>
  <c r="L6" i="34"/>
  <c r="L7" i="34"/>
  <c r="L8" i="34"/>
  <c r="L9" i="34"/>
  <c r="L10" i="34"/>
  <c r="L11" i="34"/>
  <c r="L12" i="34"/>
  <c r="L13" i="34"/>
  <c r="L14" i="34"/>
  <c r="L15" i="34"/>
  <c r="L16" i="34"/>
  <c r="L17" i="34"/>
  <c r="L18" i="34"/>
  <c r="L19" i="34"/>
  <c r="L20" i="34"/>
  <c r="L21" i="34"/>
  <c r="L2" i="34"/>
  <c r="J85" i="25" l="1"/>
  <c r="J86" i="25"/>
  <c r="J87" i="25"/>
  <c r="J88" i="25"/>
  <c r="J89" i="25"/>
  <c r="J90" i="25"/>
  <c r="J91" i="25"/>
  <c r="J92" i="25"/>
  <c r="J93" i="25"/>
  <c r="J94" i="25"/>
  <c r="J95" i="25"/>
  <c r="J96" i="25"/>
  <c r="J97" i="25"/>
  <c r="J98" i="25"/>
  <c r="J99" i="25"/>
  <c r="J100" i="25"/>
  <c r="J101" i="25"/>
  <c r="J102" i="25"/>
  <c r="J103" i="25"/>
  <c r="J104" i="25"/>
  <c r="J105" i="25"/>
  <c r="J106" i="25"/>
  <c r="J107" i="25"/>
  <c r="J84" i="25"/>
  <c r="K2" i="34" a="1"/>
  <c r="K2" i="34" l="1"/>
  <c r="H3" i="19"/>
  <c r="H4" i="19"/>
  <c r="H5" i="19"/>
  <c r="H6" i="19"/>
  <c r="H7" i="19"/>
  <c r="H8" i="19"/>
  <c r="H9" i="19"/>
  <c r="H10" i="19"/>
  <c r="H11" i="19"/>
  <c r="H12" i="19"/>
  <c r="H13" i="19"/>
  <c r="H14" i="19"/>
  <c r="H15" i="19"/>
  <c r="H16" i="19"/>
  <c r="H17" i="19"/>
  <c r="H18" i="19"/>
  <c r="H19" i="19"/>
  <c r="H20" i="19"/>
  <c r="H21" i="19"/>
  <c r="H22" i="19"/>
  <c r="H23" i="19"/>
  <c r="H24" i="19"/>
  <c r="H25" i="19"/>
  <c r="H26" i="19"/>
  <c r="H27" i="19"/>
  <c r="H28" i="19"/>
  <c r="H29" i="19"/>
  <c r="H30" i="19"/>
  <c r="H31" i="19"/>
  <c r="H32" i="19"/>
  <c r="H33" i="19"/>
  <c r="H34" i="19"/>
  <c r="H35" i="19"/>
  <c r="H36" i="19"/>
  <c r="H37" i="19"/>
  <c r="H38" i="19"/>
  <c r="H39" i="19"/>
  <c r="H40" i="19"/>
  <c r="H41" i="19"/>
  <c r="H42" i="19"/>
  <c r="H43" i="19"/>
  <c r="H44" i="19"/>
  <c r="H45" i="19"/>
  <c r="H46" i="19"/>
  <c r="H47" i="19"/>
  <c r="H48" i="19"/>
  <c r="H49" i="19"/>
  <c r="H50" i="19"/>
  <c r="H51" i="19"/>
  <c r="H52" i="19"/>
  <c r="H53" i="19"/>
  <c r="H54" i="19"/>
  <c r="H55" i="19"/>
  <c r="H56" i="19"/>
  <c r="H57" i="19"/>
  <c r="H58" i="19"/>
  <c r="H59" i="19"/>
  <c r="H60" i="19"/>
  <c r="H61" i="19"/>
  <c r="H62" i="19"/>
  <c r="H63" i="19"/>
  <c r="H64" i="19"/>
  <c r="H65" i="19"/>
  <c r="H66" i="19"/>
  <c r="H67" i="19"/>
  <c r="H68" i="19"/>
  <c r="H69" i="19"/>
  <c r="H70" i="19"/>
  <c r="H71" i="19"/>
  <c r="H72" i="19"/>
  <c r="H73" i="19"/>
  <c r="H74" i="19"/>
  <c r="H75" i="19"/>
  <c r="H76" i="19"/>
  <c r="H77" i="19"/>
  <c r="H78" i="19"/>
  <c r="H79" i="19"/>
  <c r="H80" i="19"/>
  <c r="H81" i="19"/>
  <c r="H82" i="19"/>
  <c r="H83" i="19"/>
  <c r="H84" i="19"/>
  <c r="H85" i="19"/>
  <c r="H86" i="19"/>
  <c r="H87" i="19"/>
  <c r="H88" i="19"/>
  <c r="H89" i="19"/>
  <c r="H90" i="19"/>
  <c r="H91" i="19"/>
  <c r="H92" i="19"/>
  <c r="H93" i="19"/>
  <c r="H94" i="19"/>
  <c r="H95" i="19"/>
  <c r="H96" i="19"/>
  <c r="H97" i="19"/>
  <c r="H98" i="19"/>
  <c r="H99" i="19"/>
  <c r="H100" i="19"/>
  <c r="H101" i="19"/>
  <c r="H102" i="19"/>
  <c r="H103" i="19"/>
  <c r="H104" i="19"/>
  <c r="H105" i="19"/>
  <c r="H106" i="19"/>
  <c r="H107" i="19"/>
  <c r="H108" i="19"/>
  <c r="H109" i="19"/>
  <c r="H110" i="19"/>
  <c r="H111" i="19"/>
  <c r="H112" i="19"/>
  <c r="H113" i="19"/>
  <c r="H114" i="19"/>
  <c r="H115" i="19"/>
  <c r="H116" i="19"/>
  <c r="H117" i="19"/>
  <c r="H118" i="19"/>
  <c r="H119" i="19"/>
  <c r="H120" i="19"/>
  <c r="H121" i="19"/>
  <c r="H122" i="19"/>
  <c r="H123" i="19"/>
  <c r="H124" i="19"/>
  <c r="H125" i="19"/>
  <c r="H126" i="19"/>
  <c r="H127" i="19"/>
  <c r="H128" i="19"/>
  <c r="H129" i="19"/>
  <c r="H130" i="19"/>
  <c r="H131" i="19"/>
  <c r="H2" i="19"/>
  <c r="G1" i="35"/>
  <c r="E1" i="35"/>
  <c r="B2" i="35"/>
  <c r="G1" i="34"/>
  <c r="E1" i="34"/>
  <c r="B2" i="34"/>
  <c r="G1" i="33"/>
  <c r="E1" i="33"/>
  <c r="B2" i="33"/>
  <c r="G1" i="32"/>
  <c r="E1" i="32"/>
  <c r="B2" i="32"/>
  <c r="G1" i="31"/>
  <c r="E1" i="31"/>
  <c r="B2" i="31"/>
  <c r="L2" i="25"/>
  <c r="G1" i="30"/>
  <c r="E1" i="30"/>
  <c r="B2" i="30"/>
  <c r="G1" i="29"/>
  <c r="E1" i="29"/>
  <c r="B2" i="29"/>
  <c r="E1" i="28"/>
  <c r="G1" i="28"/>
  <c r="B2" i="28"/>
  <c r="B46" i="35" a="1"/>
  <c r="C3" i="35" a="1"/>
  <c r="C3" i="34" a="1"/>
  <c r="J2" i="33" a="1"/>
  <c r="C3" i="33" a="1"/>
  <c r="C3" i="32" a="1"/>
  <c r="C3" i="31" a="1"/>
  <c r="J3" i="29" a="1"/>
  <c r="J11" i="29" a="1"/>
  <c r="J19" i="29" a="1"/>
  <c r="J27" i="29" a="1"/>
  <c r="J12" i="29" a="1"/>
  <c r="J20" i="29" a="1"/>
  <c r="J36" i="29" a="1"/>
  <c r="J44" i="29" a="1"/>
  <c r="J60" i="29" a="1"/>
  <c r="J61" i="29" a="1"/>
  <c r="J26" i="29" a="1"/>
  <c r="J51" i="29" a="1"/>
  <c r="J4" i="29" a="1"/>
  <c r="J28" i="29" a="1"/>
  <c r="J52" i="29" a="1"/>
  <c r="J48" i="29" a="1"/>
  <c r="J34" i="29" a="1"/>
  <c r="J43" i="29" a="1"/>
  <c r="J13" i="29" a="1"/>
  <c r="J21" i="29" a="1"/>
  <c r="J37" i="29" a="1"/>
  <c r="J9" i="29" a="1"/>
  <c r="J10" i="29" a="1"/>
  <c r="J58" i="29" a="1"/>
  <c r="J5" i="29" a="1"/>
  <c r="J29" i="29" a="1"/>
  <c r="J45" i="29" a="1"/>
  <c r="J53" i="29" a="1"/>
  <c r="J17" i="29" a="1"/>
  <c r="J14" i="29" a="1"/>
  <c r="J30" i="29" a="1"/>
  <c r="J46" i="29" a="1"/>
  <c r="J40" i="29" a="1"/>
  <c r="J41" i="29" a="1"/>
  <c r="J18" i="29" a="1"/>
  <c r="J35" i="29" a="1"/>
  <c r="J6" i="29" a="1"/>
  <c r="J22" i="29" a="1"/>
  <c r="J38" i="29" a="1"/>
  <c r="J54" i="29" a="1"/>
  <c r="J2" i="29" a="1"/>
  <c r="J25" i="29" a="1"/>
  <c r="J15" i="29" a="1"/>
  <c r="J31" i="29" a="1"/>
  <c r="J55" i="29" a="1"/>
  <c r="J24" i="29" a="1"/>
  <c r="J33" i="29" a="1"/>
  <c r="J59" i="29" a="1"/>
  <c r="J7" i="29" a="1"/>
  <c r="J23" i="29" a="1"/>
  <c r="J39" i="29" a="1"/>
  <c r="J47" i="29" a="1"/>
  <c r="J56" i="29" a="1"/>
  <c r="J57" i="29" a="1"/>
  <c r="J42" i="29" a="1"/>
  <c r="J8" i="29" a="1"/>
  <c r="J32" i="29" a="1"/>
  <c r="J49" i="29" a="1"/>
  <c r="J50" i="29" a="1"/>
  <c r="J16" i="29" a="1"/>
  <c r="J2" i="28" a="1"/>
  <c r="B46" i="28" a="1"/>
  <c r="J2" i="26" a="1"/>
  <c r="J2" i="27" a="1"/>
  <c r="J2" i="25" a="1"/>
  <c r="B41" i="25" a="1"/>
  <c r="C3" i="30" a="1"/>
  <c r="C3" i="29" a="1"/>
  <c r="C3" i="28" a="1"/>
  <c r="B46" i="35" l="1"/>
  <c r="B45" i="35" s="1"/>
  <c r="C3" i="35"/>
  <c r="C3" i="34"/>
  <c r="J2" i="33"/>
  <c r="C3" i="33"/>
  <c r="C3" i="32"/>
  <c r="C3" i="31"/>
  <c r="J16" i="29"/>
  <c r="J50" i="29"/>
  <c r="J49" i="29"/>
  <c r="J32" i="29"/>
  <c r="J8" i="29"/>
  <c r="J42" i="29"/>
  <c r="J57" i="29"/>
  <c r="J56" i="29"/>
  <c r="J47" i="29"/>
  <c r="J39" i="29"/>
  <c r="J23" i="29"/>
  <c r="J7" i="29"/>
  <c r="J59" i="29"/>
  <c r="J33" i="29"/>
  <c r="J24" i="29"/>
  <c r="J55" i="29"/>
  <c r="J31" i="29"/>
  <c r="J15" i="29"/>
  <c r="J25" i="29"/>
  <c r="J2" i="29"/>
  <c r="J54" i="29"/>
  <c r="J38" i="29"/>
  <c r="J22" i="29"/>
  <c r="J6" i="29"/>
  <c r="J35" i="29"/>
  <c r="J18" i="29"/>
  <c r="J41" i="29"/>
  <c r="J40" i="29"/>
  <c r="J46" i="29"/>
  <c r="J30" i="29"/>
  <c r="J14" i="29"/>
  <c r="J17" i="29"/>
  <c r="J53" i="29"/>
  <c r="J45" i="29"/>
  <c r="J29" i="29"/>
  <c r="J5" i="29"/>
  <c r="J58" i="29"/>
  <c r="J10" i="29"/>
  <c r="J9" i="29"/>
  <c r="J37" i="29"/>
  <c r="J21" i="29"/>
  <c r="J13" i="29"/>
  <c r="J43" i="29"/>
  <c r="J34" i="29"/>
  <c r="J48" i="29"/>
  <c r="J52" i="29"/>
  <c r="J28" i="29"/>
  <c r="J4" i="29"/>
  <c r="J51" i="29"/>
  <c r="J26" i="29"/>
  <c r="J61" i="29"/>
  <c r="J60" i="29"/>
  <c r="J44" i="29"/>
  <c r="J36" i="29"/>
  <c r="J20" i="29"/>
  <c r="J12" i="29"/>
  <c r="J27" i="29"/>
  <c r="J19" i="29"/>
  <c r="J11" i="29"/>
  <c r="J3" i="29"/>
  <c r="J2" i="28"/>
  <c r="B46" i="28"/>
  <c r="B45" i="28" s="1"/>
  <c r="J2" i="26"/>
  <c r="J2" i="27"/>
  <c r="J2" i="25"/>
  <c r="B41" i="25"/>
  <c r="B40" i="25" s="1"/>
  <c r="C3" i="30"/>
  <c r="C3" i="29"/>
  <c r="C3" i="28"/>
  <c r="D3" i="35" a="1"/>
  <c r="E3" i="35" a="1"/>
  <c r="E3" i="34" a="1"/>
  <c r="D3" i="34" a="1"/>
  <c r="D3" i="33" a="1"/>
  <c r="E3" i="33" a="1"/>
  <c r="D3" i="32" a="1"/>
  <c r="E3" i="32" a="1"/>
  <c r="E3" i="31" a="1"/>
  <c r="D3" i="31" a="1"/>
  <c r="D3" i="30" a="1"/>
  <c r="E3" i="30" a="1"/>
  <c r="E3" i="29" a="1"/>
  <c r="D3" i="29" a="1"/>
  <c r="D3" i="28" a="1"/>
  <c r="E3" i="35" l="1"/>
  <c r="D3" i="35"/>
  <c r="D3" i="34"/>
  <c r="E3" i="34"/>
  <c r="E3" i="33"/>
  <c r="D3" i="33"/>
  <c r="E3" i="32"/>
  <c r="D3" i="32"/>
  <c r="D3" i="31"/>
  <c r="E3" i="31"/>
  <c r="E3" i="30"/>
  <c r="D3" i="30"/>
  <c r="D3" i="29"/>
  <c r="E3" i="29"/>
  <c r="D3" i="28"/>
  <c r="E3" i="28" a="1"/>
  <c r="E3" i="28" l="1"/>
  <c r="F3" i="35" a="1"/>
  <c r="F3" i="34" a="1"/>
  <c r="F3" i="33" a="1"/>
  <c r="F3" i="32" a="1"/>
  <c r="F3" i="31" a="1"/>
  <c r="F3" i="30" a="1"/>
  <c r="F3" i="29" a="1"/>
  <c r="F3" i="28" a="1"/>
  <c r="F3" i="35" l="1"/>
  <c r="F3" i="34"/>
  <c r="F3" i="33"/>
  <c r="F3" i="32"/>
  <c r="F3" i="31"/>
  <c r="F3" i="30"/>
  <c r="F3" i="29"/>
  <c r="F3" i="28"/>
  <c r="G1" i="27"/>
  <c r="E1" i="27"/>
  <c r="B2" i="27"/>
  <c r="J2" i="34" a="1"/>
  <c r="B46" i="34" a="1"/>
  <c r="B46" i="33" a="1"/>
  <c r="J2" i="32" a="1"/>
  <c r="B46" i="32" a="1"/>
  <c r="J2" i="31" a="1"/>
  <c r="B46" i="31" a="1"/>
  <c r="J2" i="30" a="1"/>
  <c r="B46" i="30" a="1"/>
  <c r="B46" i="29" a="1"/>
  <c r="C3" i="27" a="1"/>
  <c r="B42" i="35" l="1"/>
  <c r="B41" i="35"/>
  <c r="B40" i="35"/>
  <c r="B39" i="35"/>
  <c r="B44" i="35"/>
  <c r="B43" i="35"/>
  <c r="J2" i="34"/>
  <c r="B42" i="34"/>
  <c r="B46" i="34"/>
  <c r="B45" i="34" s="1"/>
  <c r="B41" i="34"/>
  <c r="B40" i="34"/>
  <c r="B39" i="34"/>
  <c r="B44" i="34"/>
  <c r="B43" i="34"/>
  <c r="B42" i="33"/>
  <c r="B46" i="33"/>
  <c r="B45" i="33" s="1"/>
  <c r="B41" i="33"/>
  <c r="B43" i="33"/>
  <c r="B40" i="33"/>
  <c r="B39" i="33"/>
  <c r="B44" i="33"/>
  <c r="J2" i="32"/>
  <c r="B42" i="32"/>
  <c r="B44" i="32"/>
  <c r="B46" i="32"/>
  <c r="B45" i="32" s="1"/>
  <c r="B41" i="32"/>
  <c r="B40" i="32"/>
  <c r="B39" i="32"/>
  <c r="B43" i="32"/>
  <c r="J2" i="31"/>
  <c r="B46" i="31"/>
  <c r="B45" i="31" s="1"/>
  <c r="B44" i="31"/>
  <c r="B40" i="31"/>
  <c r="B39" i="31"/>
  <c r="B43" i="31"/>
  <c r="B42" i="31"/>
  <c r="B41" i="31"/>
  <c r="J2" i="30"/>
  <c r="B42" i="30"/>
  <c r="B44" i="30"/>
  <c r="B43" i="30"/>
  <c r="B46" i="30"/>
  <c r="B45" i="30" s="1"/>
  <c r="B41" i="30"/>
  <c r="B40" i="30"/>
  <c r="B39" i="30"/>
  <c r="B42" i="29"/>
  <c r="B46" i="29"/>
  <c r="B45" i="29" s="1"/>
  <c r="B41" i="29"/>
  <c r="B40" i="29"/>
  <c r="B39" i="29"/>
  <c r="B43" i="29"/>
  <c r="B44" i="29"/>
  <c r="B40" i="28"/>
  <c r="B44" i="28"/>
  <c r="B39" i="28"/>
  <c r="B41" i="28"/>
  <c r="B43" i="28"/>
  <c r="B42" i="28"/>
  <c r="C3" i="27"/>
  <c r="D3" i="27" a="1"/>
  <c r="E3" i="27" a="1"/>
  <c r="E3" i="27" l="1"/>
  <c r="D3" i="27"/>
  <c r="F3" i="27" a="1"/>
  <c r="F3" i="27" l="1"/>
  <c r="B46" i="27" a="1"/>
  <c r="B42" i="27" l="1"/>
  <c r="B46" i="27"/>
  <c r="B45" i="27" s="1"/>
  <c r="B41" i="27"/>
  <c r="B40" i="27"/>
  <c r="B39" i="27"/>
  <c r="B44" i="27"/>
  <c r="B43" i="27"/>
  <c r="K85" i="25" l="1"/>
  <c r="K86" i="25"/>
  <c r="K87" i="25"/>
  <c r="K88" i="25"/>
  <c r="K89" i="25"/>
  <c r="K90" i="25"/>
  <c r="K91" i="25"/>
  <c r="K92" i="25"/>
  <c r="K93" i="25"/>
  <c r="K94" i="25"/>
  <c r="K95" i="25"/>
  <c r="K96" i="25"/>
  <c r="K97" i="25"/>
  <c r="K98" i="25"/>
  <c r="K99" i="25"/>
  <c r="K100" i="25"/>
  <c r="K101" i="25"/>
  <c r="K102" i="25"/>
  <c r="K103" i="25"/>
  <c r="K104" i="25"/>
  <c r="K105" i="25"/>
  <c r="K106" i="25"/>
  <c r="K107" i="25"/>
  <c r="K84" i="25"/>
  <c r="G1" i="26" l="1"/>
  <c r="E1" i="26"/>
  <c r="B2" i="26"/>
  <c r="K40" i="25"/>
  <c r="K41" i="25"/>
  <c r="K42" i="25"/>
  <c r="K43" i="25"/>
  <c r="K44" i="25"/>
  <c r="K45" i="25"/>
  <c r="K46" i="25"/>
  <c r="K47" i="25"/>
  <c r="K48" i="25"/>
  <c r="K49" i="25"/>
  <c r="K50" i="25"/>
  <c r="K51" i="25"/>
  <c r="K52" i="25"/>
  <c r="K53" i="25"/>
  <c r="K54" i="25"/>
  <c r="K55" i="25"/>
  <c r="K56" i="25"/>
  <c r="K57" i="25"/>
  <c r="K58" i="25"/>
  <c r="K59" i="25"/>
  <c r="K60" i="25"/>
  <c r="K62" i="25"/>
  <c r="K61" i="25"/>
  <c r="K63" i="25"/>
  <c r="K64" i="25"/>
  <c r="K65" i="25"/>
  <c r="K66" i="25"/>
  <c r="K67" i="25"/>
  <c r="K68" i="25"/>
  <c r="K69" i="25"/>
  <c r="K70" i="25"/>
  <c r="K71" i="25"/>
  <c r="K72" i="25"/>
  <c r="K73" i="25"/>
  <c r="K74" i="25"/>
  <c r="K75" i="25"/>
  <c r="K76" i="25"/>
  <c r="K77" i="25"/>
  <c r="K78" i="25"/>
  <c r="K79" i="25"/>
  <c r="K80" i="25"/>
  <c r="K81" i="25"/>
  <c r="K82" i="25"/>
  <c r="K83" i="25"/>
  <c r="B23" i="25"/>
  <c r="G1" i="25"/>
  <c r="B2" i="25"/>
  <c r="G1" i="24"/>
  <c r="E1" i="24"/>
  <c r="B2" i="24"/>
  <c r="G1" i="23"/>
  <c r="E1" i="23"/>
  <c r="B2" i="23"/>
  <c r="G1" i="22"/>
  <c r="E1" i="22"/>
  <c r="D1" i="22"/>
  <c r="B2" i="22"/>
  <c r="C3" i="24" a="1"/>
  <c r="J2" i="22" a="1"/>
  <c r="C3" i="23" a="1"/>
  <c r="C3" i="22" a="1"/>
  <c r="C3" i="26" a="1"/>
  <c r="C3" i="25" a="1"/>
  <c r="F3" i="25" a="1"/>
  <c r="C3" i="26" l="1"/>
  <c r="F3" i="25"/>
  <c r="D3" i="25" a="1"/>
  <c r="D3" i="25" s="1"/>
  <c r="C3" i="25"/>
  <c r="C3" i="24"/>
  <c r="J2" i="22"/>
  <c r="C3" i="23"/>
  <c r="C3" i="22"/>
  <c r="E3" i="22" a="1"/>
  <c r="E3" i="22" s="1"/>
  <c r="D3" i="24" a="1"/>
  <c r="E3" i="24" a="1"/>
  <c r="D3" i="23" a="1"/>
  <c r="E3" i="23" a="1"/>
  <c r="D3" i="22" a="1"/>
  <c r="E3" i="26" a="1"/>
  <c r="D3" i="26" a="1"/>
  <c r="G3" i="25" a="1"/>
  <c r="D3" i="26" l="1"/>
  <c r="E3" i="26"/>
  <c r="G3" i="25"/>
  <c r="E3" i="24"/>
  <c r="D3" i="24"/>
  <c r="E3" i="23"/>
  <c r="D3" i="23"/>
  <c r="D3" i="22"/>
  <c r="F3" i="24" a="1"/>
  <c r="F3" i="23" a="1"/>
  <c r="E3" i="25" l="1" a="1"/>
  <c r="F3" i="24"/>
  <c r="F3" i="23"/>
  <c r="F1" i="22"/>
  <c r="F3" i="22" a="1"/>
  <c r="J2" i="24" a="1"/>
  <c r="B46" i="24" a="1"/>
  <c r="B46" i="23" a="1"/>
  <c r="J2" i="23" a="1"/>
  <c r="F3" i="26" a="1"/>
  <c r="F3" i="26" l="1"/>
  <c r="E3" i="25"/>
  <c r="J2" i="24"/>
  <c r="B42" i="24"/>
  <c r="B46" i="24"/>
  <c r="B41" i="24"/>
  <c r="B40" i="24"/>
  <c r="B39" i="24"/>
  <c r="B44" i="24"/>
  <c r="B43" i="24"/>
  <c r="J2" i="23"/>
  <c r="B46" i="23"/>
  <c r="B42" i="23"/>
  <c r="B41" i="23"/>
  <c r="B40" i="23"/>
  <c r="B44" i="23"/>
  <c r="B39" i="23"/>
  <c r="B43" i="23"/>
  <c r="F3" i="22"/>
  <c r="B44" i="22" a="1"/>
  <c r="B46" i="26" a="1"/>
  <c r="B42" i="26" l="1"/>
  <c r="B46" i="26"/>
  <c r="B45" i="26" s="1"/>
  <c r="B41" i="26"/>
  <c r="B40" i="26"/>
  <c r="B39" i="26"/>
  <c r="B44" i="26"/>
  <c r="B43" i="26"/>
  <c r="B38" i="25"/>
  <c r="B39" i="25"/>
  <c r="B37" i="25"/>
  <c r="B36" i="25"/>
  <c r="B35" i="25"/>
  <c r="B34" i="25"/>
  <c r="B44" i="22"/>
  <c r="B43" i="22" s="1"/>
  <c r="B41" i="22"/>
  <c r="B40" i="22"/>
  <c r="B39" i="22"/>
  <c r="B38" i="22"/>
  <c r="B37" i="22"/>
  <c r="B42" i="22"/>
  <c r="G1" i="21" l="1"/>
  <c r="E1" i="21"/>
  <c r="D1" i="21"/>
  <c r="B2" i="21"/>
  <c r="J2" i="21" a="1"/>
  <c r="C3" i="21" a="1"/>
  <c r="J2" i="21" l="1"/>
  <c r="C3" i="21"/>
  <c r="E3" i="21" s="1" a="1"/>
  <c r="E3" i="21" s="1"/>
  <c r="D3" i="21" a="1"/>
  <c r="D3" i="21" l="1"/>
  <c r="B27" i="21" a="1"/>
  <c r="B27" i="21" l="1"/>
  <c r="F1" i="21" l="1"/>
  <c r="F3" i="21" a="1"/>
  <c r="F3" i="21" l="1"/>
  <c r="B44" i="21" a="1"/>
  <c r="B44" i="21" l="1"/>
  <c r="B43" i="21" s="1"/>
  <c r="B37" i="21"/>
  <c r="B42" i="21"/>
  <c r="B41" i="21"/>
  <c r="B38" i="21"/>
  <c r="B40" i="21"/>
  <c r="B39" i="2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ZHI SHEN</author>
  </authors>
  <commentList>
    <comment ref="C3" authorId="0" shapeId="0" xr:uid="{0754DC87-A532-44A4-8D3E-34D2B455F43F}">
      <text>
        <r>
          <rPr>
            <b/>
            <sz val="9"/>
            <color indexed="81"/>
            <rFont val="宋体"/>
            <family val="3"/>
            <charset val="134"/>
          </rPr>
          <t>点击此格计算公式前务必关闭自动计算！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ZHI SHEN</author>
  </authors>
  <commentList>
    <comment ref="C3" authorId="0" shapeId="0" xr:uid="{4E0EB23A-C354-449F-9BEC-3D1CAEAAFCC9}">
      <text>
        <r>
          <rPr>
            <b/>
            <sz val="9"/>
            <color indexed="81"/>
            <rFont val="宋体"/>
            <family val="3"/>
            <charset val="134"/>
          </rPr>
          <t>点击此格计算公式前务必关闭自动计算！</t>
        </r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ZHI SHEN</author>
  </authors>
  <commentList>
    <comment ref="C3" authorId="0" shapeId="0" xr:uid="{5A6E07EC-33B7-4405-936D-827160794ABA}">
      <text>
        <r>
          <rPr>
            <b/>
            <sz val="9"/>
            <color indexed="81"/>
            <rFont val="宋体"/>
            <family val="3"/>
            <charset val="134"/>
          </rPr>
          <t>点击此格计算公式前务必关闭自动计算！</t>
        </r>
      </text>
    </comment>
  </commentList>
</comments>
</file>

<file path=xl/comments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ZHI SHEN</author>
  </authors>
  <commentList>
    <comment ref="C3" authorId="0" shapeId="0" xr:uid="{4FF8A028-85AC-48D3-8CA9-BAFF3F92C10C}">
      <text>
        <r>
          <rPr>
            <b/>
            <sz val="9"/>
            <color indexed="81"/>
            <rFont val="宋体"/>
            <family val="3"/>
            <charset val="134"/>
          </rPr>
          <t>点击此格计算公式前务必关闭自动计算！</t>
        </r>
      </text>
    </comment>
  </commentList>
</comments>
</file>

<file path=xl/comments5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ZHI SHEN</author>
  </authors>
  <commentList>
    <comment ref="C3" authorId="0" shapeId="0" xr:uid="{6426755C-A61E-4F6A-9C63-E8209EC3EDDA}">
      <text>
        <r>
          <rPr>
            <b/>
            <sz val="9"/>
            <color indexed="81"/>
            <rFont val="宋体"/>
            <family val="3"/>
            <charset val="134"/>
          </rPr>
          <t>点击此格计算公式前务必关闭自动计算！</t>
        </r>
      </text>
    </comment>
  </commentList>
</comments>
</file>

<file path=xl/comments6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ZHI SHEN</author>
  </authors>
  <commentList>
    <comment ref="C3" authorId="0" shapeId="0" xr:uid="{600328F9-9221-4A03-9447-2F97AABD5322}">
      <text>
        <r>
          <rPr>
            <b/>
            <sz val="9"/>
            <color indexed="81"/>
            <rFont val="宋体"/>
            <family val="3"/>
            <charset val="134"/>
          </rPr>
          <t>点击此格计算公式前务必关闭自动计算！</t>
        </r>
      </text>
    </comment>
  </commentList>
</comments>
</file>

<file path=xl/comments7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ZHI SHEN</author>
  </authors>
  <commentList>
    <comment ref="C3" authorId="0" shapeId="0" xr:uid="{1653607E-185E-4D72-A6AC-A0DCE3EE3B64}">
      <text>
        <r>
          <rPr>
            <b/>
            <sz val="9"/>
            <color indexed="81"/>
            <rFont val="宋体"/>
            <family val="3"/>
            <charset val="134"/>
          </rPr>
          <t>点击此格计算公式前务必关闭自动计算！</t>
        </r>
      </text>
    </comment>
  </commentList>
</comments>
</file>

<file path=xl/comments8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ZHI SHEN</author>
  </authors>
  <commentList>
    <comment ref="C3" authorId="0" shapeId="0" xr:uid="{5FB498AC-A25C-473F-81E4-749141F01BDF}">
      <text>
        <r>
          <rPr>
            <b/>
            <sz val="9"/>
            <color indexed="81"/>
            <rFont val="宋体"/>
            <family val="3"/>
            <charset val="134"/>
          </rPr>
          <t>点击此格计算公式前务必关闭自动计算！</t>
        </r>
      </text>
    </comment>
  </commentList>
</comments>
</file>

<file path=xl/comments9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ZHI SHEN</author>
  </authors>
  <commentList>
    <comment ref="C3" authorId="0" shapeId="0" xr:uid="{CFDE7464-9952-4B87-9013-8D3EE1D591D0}">
      <text>
        <r>
          <rPr>
            <b/>
            <sz val="9"/>
            <color indexed="81"/>
            <rFont val="宋体"/>
            <family val="3"/>
            <charset val="134"/>
          </rPr>
          <t>点击此格计算公式前务必关闭自动计算！</t>
        </r>
      </text>
    </comment>
  </commentList>
</comments>
</file>

<file path=xl/comments10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ZHI SHEN</author>
  </authors>
  <commentList>
    <comment ref="C3" authorId="0" shapeId="0" xr:uid="{7A36418A-712A-4EB0-9F17-77EE9570A5A1}">
      <text>
        <r>
          <rPr>
            <b/>
            <sz val="9"/>
            <color indexed="81"/>
            <rFont val="宋体"/>
            <family val="3"/>
            <charset val="134"/>
          </rPr>
          <t>点击此格计算公式前务必关闭自动计算！</t>
        </r>
      </text>
    </comment>
  </commentList>
</comments>
</file>

<file path=xl/comments1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ZHI SHEN</author>
  </authors>
  <commentList>
    <comment ref="C3" authorId="0" shapeId="0" xr:uid="{D512D944-5F25-4293-AA08-ED31F1C87BD7}">
      <text>
        <r>
          <rPr>
            <b/>
            <sz val="9"/>
            <color indexed="81"/>
            <rFont val="宋体"/>
            <family val="3"/>
            <charset val="134"/>
          </rPr>
          <t>点击此格计算公式前务必关闭自动计算！</t>
        </r>
      </text>
    </comment>
  </commentList>
</comments>
</file>

<file path=xl/comments1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ZHI SHEN</author>
  </authors>
  <commentList>
    <comment ref="C3" authorId="0" shapeId="0" xr:uid="{82BDE4F0-A532-4BC9-8911-686B0BED48A7}">
      <text>
        <r>
          <rPr>
            <b/>
            <sz val="9"/>
            <color indexed="81"/>
            <rFont val="宋体"/>
            <family val="3"/>
            <charset val="134"/>
          </rPr>
          <t>点击此格计算公式前务必关闭自动计算！</t>
        </r>
      </text>
    </comment>
  </commentList>
</comments>
</file>

<file path=xl/comments1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ZHI SHEN</author>
  </authors>
  <commentList>
    <comment ref="C3" authorId="0" shapeId="0" xr:uid="{1EA0134E-AEF6-407B-8CFA-0BD8FB76BE5A}">
      <text>
        <r>
          <rPr>
            <b/>
            <sz val="9"/>
            <color indexed="81"/>
            <rFont val="宋体"/>
            <family val="3"/>
            <charset val="134"/>
          </rPr>
          <t>点击此格计算公式前务必关闭自动计算！</t>
        </r>
      </text>
    </comment>
  </commentList>
</comments>
</file>

<file path=xl/comments1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ZHI SHEN</author>
  </authors>
  <commentList>
    <comment ref="C3" authorId="0" shapeId="0" xr:uid="{E3028480-2C12-45B5-8949-1DF25D8EBD70}">
      <text>
        <r>
          <rPr>
            <b/>
            <sz val="9"/>
            <color indexed="81"/>
            <rFont val="宋体"/>
            <family val="3"/>
            <charset val="134"/>
          </rPr>
          <t>点击此格计算公式前务必关闭自动计算！</t>
        </r>
      </text>
    </comment>
  </commentList>
</comments>
</file>

<file path=xl/comments15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ZHI SHEN</author>
  </authors>
  <commentList>
    <comment ref="C3" authorId="0" shapeId="0" xr:uid="{4058CDEE-7D39-4858-8B94-5E317F40BBBD}">
      <text>
        <r>
          <rPr>
            <b/>
            <sz val="9"/>
            <color indexed="81"/>
            <rFont val="宋体"/>
            <family val="3"/>
            <charset val="134"/>
          </rPr>
          <t>点击此格计算公式前务必关闭自动计算！</t>
        </r>
      </text>
    </comment>
  </commentList>
</comments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<sst xmlns="http://schemas.openxmlformats.org/spreadsheetml/2006/main" count="924" uniqueCount="89">
  <si>
    <t>挂钩标的</t>
  </si>
  <si>
    <t>敲出观察日</t>
  </si>
  <si>
    <t>敲入障碍价格</t>
  </si>
  <si>
    <t>000852.SH</t>
  </si>
  <si>
    <t>000905.SH</t>
  </si>
  <si>
    <t>结构类型</t>
  </si>
  <si>
    <t>报价编号</t>
  </si>
  <si>
    <t>名义本金</t>
  </si>
  <si>
    <t>报价有效期至</t>
  </si>
  <si>
    <t>期限</t>
  </si>
  <si>
    <t>24M</t>
  </si>
  <si>
    <t>敲出观察锁定</t>
  </si>
  <si>
    <t>敲出障碍价格</t>
  </si>
  <si>
    <t>敲出障碍价格调整</t>
  </si>
  <si>
    <t>敲出增强参与率</t>
  </si>
  <si>
    <t>敲入观察方式</t>
  </si>
  <si>
    <t>每日观察</t>
  </si>
  <si>
    <t>敲入执行价格</t>
  </si>
  <si>
    <t>敲入参与率</t>
  </si>
  <si>
    <t>红利票息</t>
  </si>
  <si>
    <t>保证金比例</t>
  </si>
  <si>
    <t>最大亏损比例</t>
  </si>
  <si>
    <t>绝对后端返息</t>
  </si>
  <si>
    <t>年化后端返息</t>
  </si>
  <si>
    <t>计息结算T+</t>
  </si>
  <si>
    <t>计息规则</t>
  </si>
  <si>
    <t>含头含尾</t>
  </si>
  <si>
    <t>绝对前端返息</t>
  </si>
  <si>
    <t>备注信息</t>
  </si>
  <si>
    <t xml:space="preserve"> </t>
  </si>
  <si>
    <t>000852.SH</t>
    <phoneticPr fontId="2" type="noConversion"/>
  </si>
  <si>
    <t>每日观察</t>
    <phoneticPr fontId="2" type="noConversion"/>
  </si>
  <si>
    <t>含头含尾</t>
    <phoneticPr fontId="2" type="noConversion"/>
  </si>
  <si>
    <t>敲出票息</t>
  </si>
  <si>
    <t>交易佣金</t>
  </si>
  <si>
    <t>销售渠道</t>
  </si>
  <si>
    <t>直销</t>
  </si>
  <si>
    <t>无风险利率</t>
  </si>
  <si>
    <t>对冲持仓成本</t>
  </si>
  <si>
    <t>波动率</t>
  </si>
  <si>
    <t>Greeks</t>
  </si>
  <si>
    <t>DELTA CASH</t>
  </si>
  <si>
    <t>1% GAMMA CASH</t>
  </si>
  <si>
    <t>1% VEGA CASH</t>
  </si>
  <si>
    <t>1 DAY THETA</t>
  </si>
  <si>
    <t>1% RHO CASH</t>
  </si>
  <si>
    <t>1% RHO Q CASH</t>
  </si>
  <si>
    <t>UNIT NPV</t>
  </si>
  <si>
    <t>DELTA</t>
  </si>
  <si>
    <t>GAMMA</t>
  </si>
  <si>
    <t>VEGA</t>
  </si>
  <si>
    <t>THETA</t>
  </si>
  <si>
    <t>RHO</t>
  </si>
  <si>
    <t>RHO Q</t>
  </si>
  <si>
    <t>未知敲出票息</t>
  </si>
  <si>
    <t>D:\Quotation\China</t>
  </si>
  <si>
    <t>早利期</t>
  </si>
  <si>
    <t>1Y</t>
  </si>
  <si>
    <t>次级敲出票息</t>
  </si>
  <si>
    <t>早利敲出票息</t>
  </si>
  <si>
    <t>派息障碍价格</t>
  </si>
  <si>
    <t>每月绝对派息率</t>
  </si>
  <si>
    <t>派息观察日</t>
  </si>
  <si>
    <t>未知绝对派息率</t>
  </si>
  <si>
    <t>绝对派息率</t>
  </si>
  <si>
    <t>UP_OUT</t>
  </si>
  <si>
    <t>数据来源：妙想Choice</t>
  </si>
  <si>
    <t>000016.SH</t>
    <phoneticPr fontId="2" type="noConversion"/>
  </si>
  <si>
    <t>000300.SH</t>
    <phoneticPr fontId="2" type="noConversion"/>
  </si>
  <si>
    <t>000905.SH</t>
    <phoneticPr fontId="2" type="noConversion"/>
  </si>
  <si>
    <t>交易对手方</t>
  </si>
  <si>
    <t>报价日期</t>
  </si>
  <si>
    <t>同敲出票息</t>
  </si>
  <si>
    <t>CSB01281440SZ986</t>
    <phoneticPr fontId="2" type="noConversion"/>
  </si>
  <si>
    <t>CSB01281523SZ547</t>
    <phoneticPr fontId="2" type="noConversion"/>
  </si>
  <si>
    <t>BSB01281533SZ275</t>
    <phoneticPr fontId="2" type="noConversion"/>
  </si>
  <si>
    <t>BSB01281622SZ661</t>
    <phoneticPr fontId="2" type="noConversion"/>
  </si>
  <si>
    <t>PNX01281640SZ419</t>
  </si>
  <si>
    <t>BSB01281938SZ616</t>
    <phoneticPr fontId="2" type="noConversion"/>
  </si>
  <si>
    <t>BSB01281901SZ248</t>
    <phoneticPr fontId="2" type="noConversion"/>
  </si>
  <si>
    <t>BSB01281951SZ357</t>
    <phoneticPr fontId="2" type="noConversion"/>
  </si>
  <si>
    <t>BSB01281955SZ679</t>
    <phoneticPr fontId="2" type="noConversion"/>
  </si>
  <si>
    <t>BSB01281959SZ975</t>
    <phoneticPr fontId="2" type="noConversion"/>
  </si>
  <si>
    <t>BSB01282036SZ131</t>
    <phoneticPr fontId="2" type="noConversion"/>
  </si>
  <si>
    <t>BSB01282042SZ396</t>
    <phoneticPr fontId="2" type="noConversion"/>
  </si>
  <si>
    <t>BSB01282047SZ229</t>
    <phoneticPr fontId="2" type="noConversion"/>
  </si>
  <si>
    <t>BSB01282054SZ151</t>
    <phoneticPr fontId="2" type="noConversion"/>
  </si>
  <si>
    <t>BSB01282101SZ116</t>
    <phoneticPr fontId="2" type="noConversion"/>
  </si>
  <si>
    <t>估值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</si>
</sst>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1">
    <numFmt numFmtId="176" formatCode="yyyy/mm/dd"/>
    <numFmt numFmtId="177" formatCode="yyyy/mm/dd\ hh:mm"/>
    <numFmt numFmtId="178" formatCode="yyyy\-mm\-dd"/>
    <numFmt numFmtId="179" formatCode="0.0000000%"/>
    <numFmt numFmtId="180" formatCode="0.000000000"/>
    <numFmt numFmtId="181" formatCode="0.00000000%"/>
    <numFmt numFmtId="182" formatCode="0.000000000%"/>
    <numFmt numFmtId="183" formatCode="0.000000%"/>
    <numFmt numFmtId="184" formatCode="0.00000000"/>
    <numFmt numFmtId="185" formatCode="0.0000000000"/>
    <numFmt numFmtId="186" formatCode="0.00000000000"/>
  </numFmts>
  <fonts count="7" x14ac:knownFonts="1">
    <font>
      <sz val="11"/>
      <color rgb="FF012B51"/>
      <name val="宋体"/>
      <family val="3"/>
      <charset val="134"/>
      <scheme val="minor"/>
    </font>
    <font>
      <sz val="11"/>
      <color theme="1"/>
      <name val="宋体"/>
      <family val="3"/>
      <charset val="134"/>
      <scheme val="minor"/>
    </font>
    <font>
      <sz val="9"/>
      <name val="宋体"/>
      <family val="3"/>
      <charset val="134"/>
      <scheme val="minor"/>
    </font>
    <font>
      <b/>
      <sz val="11"/>
      <color rgb="FFCAA15B"/>
      <name val="宋体"/>
      <family val="3"/>
      <charset val="134"/>
      <scheme val="minor"/>
    </font>
    <font>
      <sz val="11"/>
      <color rgb="FFFFFFFF"/>
      <name val="宋体"/>
      <family val="3"/>
      <charset val="134"/>
      <scheme val="minor"/>
    </font>
    <font>
      <sz val="11"/>
      <color rgb="FFFF0000"/>
      <name val="宋体"/>
      <family val="3"/>
      <charset val="134"/>
      <scheme val="minor"/>
    </font>
    <font>
      <b/>
      <sz val="9"/>
      <color indexed="81"/>
      <name val="宋体"/>
      <family val="3"/>
      <charset val="134"/>
    </font>
  </fonts>
  <fills count="5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CAA15B"/>
        <bgColor indexed="64"/>
      </patternFill>
    </fill>
    <fill>
      <patternFill patternType="solid">
        <fgColor rgb="FF012B51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2">
    <xf numFmtId="0" fontId="0" fillId="0" borderId="0">
      <alignment vertical="center"/>
    </xf>
    <xf numFmtId="9" fontId="1" fillId="0" borderId="0" applyFont="0" applyFill="0" applyBorder="0" applyAlignment="0" applyProtection="0">
      <alignment vertical="center"/>
    </xf>
  </cellStyleXfs>
  <cellXfs count="45">
    <xf numFmtId="0" fontId="0" fillId="0" borderId="0" xfId="0">
      <alignment vertical="center"/>
    </xf>
    <xf numFmtId="0" fontId="0" fillId="0" borderId="0" xfId="0" applyAlignment="1">
      <alignment horizontal="left" vertical="center" indent="1"/>
    </xf>
    <xf numFmtId="0" fontId="0" fillId="0" borderId="0" xfId="0" applyAlignment="1">
      <alignment horizontal="right" vertical="center" indent="1"/>
    </xf>
    <xf numFmtId="10" fontId="0" fillId="0" borderId="0" xfId="0" applyNumberFormat="1" applyAlignment="1">
      <alignment horizontal="right" vertical="center" indent="1"/>
    </xf>
    <xf numFmtId="0" fontId="0" fillId="2" borderId="0" xfId="0" applyFill="1">
      <alignment vertical="center"/>
    </xf>
    <xf numFmtId="0" fontId="4" fillId="2" borderId="0" xfId="0" applyFont="1" applyFill="1">
      <alignment vertical="center"/>
    </xf>
    <xf numFmtId="0" fontId="4" fillId="4" borderId="0" xfId="0" applyFont="1" applyFill="1" applyAlignment="1">
      <alignment horizontal="right" vertical="center" indent="1"/>
    </xf>
    <xf numFmtId="0" fontId="4" fillId="2" borderId="0" xfId="0" applyFont="1" applyFill="1" applyAlignment="1">
      <alignment horizontal="right" vertical="center" indent="1"/>
    </xf>
    <xf numFmtId="0" fontId="4" fillId="3" borderId="0" xfId="0" applyFont="1" applyFill="1" applyAlignment="1">
      <alignment horizontal="right" vertical="center" indent="1"/>
    </xf>
    <xf numFmtId="0" fontId="3" fillId="2" borderId="0" xfId="0" applyFont="1" applyFill="1" applyAlignment="1">
      <alignment horizontal="left" vertical="center" indent="1"/>
    </xf>
    <xf numFmtId="0" fontId="0" fillId="2" borderId="0" xfId="0" applyFill="1" applyAlignment="1">
      <alignment horizontal="left" vertical="center" indent="1"/>
    </xf>
    <xf numFmtId="0" fontId="4" fillId="3" borderId="0" xfId="0" applyFont="1" applyFill="1" applyAlignment="1">
      <alignment horizontal="left" vertical="center" indent="1"/>
    </xf>
    <xf numFmtId="3" fontId="0" fillId="2" borderId="0" xfId="0" applyNumberFormat="1" applyFill="1" applyAlignment="1">
      <alignment horizontal="left" vertical="center" indent="1"/>
    </xf>
    <xf numFmtId="177" fontId="0" fillId="2" borderId="0" xfId="0" applyNumberFormat="1" applyFill="1" applyAlignment="1">
      <alignment horizontal="left" vertical="center" indent="1"/>
    </xf>
    <xf numFmtId="10" fontId="0" fillId="2" borderId="0" xfId="0" applyNumberFormat="1" applyFill="1" applyAlignment="1">
      <alignment horizontal="left" vertical="center" indent="1"/>
    </xf>
    <xf numFmtId="10" fontId="4" fillId="3" borderId="0" xfId="0" applyNumberFormat="1" applyFont="1" applyFill="1" applyAlignment="1">
      <alignment horizontal="left" vertical="center" indent="1"/>
    </xf>
    <xf numFmtId="10" fontId="5" fillId="2" borderId="0" xfId="0" applyNumberFormat="1" applyFont="1" applyFill="1" applyAlignment="1">
      <alignment horizontal="left" vertical="center" indent="1"/>
    </xf>
    <xf numFmtId="2" fontId="0" fillId="2" borderId="0" xfId="0" applyNumberFormat="1" applyFill="1" applyAlignment="1">
      <alignment horizontal="left" vertical="center" indent="1"/>
    </xf>
    <xf numFmtId="176" fontId="4" fillId="2" borderId="0" xfId="0" applyNumberFormat="1" applyFont="1" applyFill="1" applyAlignment="1">
      <alignment horizontal="right" vertical="center" indent="1"/>
    </xf>
    <xf numFmtId="176" fontId="4" fillId="3" borderId="0" xfId="0" applyNumberFormat="1" applyFont="1" applyFill="1" applyAlignment="1">
      <alignment horizontal="right" vertical="center" indent="1"/>
    </xf>
    <xf numFmtId="176" fontId="0" fillId="2" borderId="0" xfId="0" applyNumberFormat="1" applyFill="1" applyAlignment="1">
      <alignment horizontal="right" vertical="center" indent="1"/>
    </xf>
    <xf numFmtId="176" fontId="0" fillId="0" borderId="0" xfId="0" applyNumberFormat="1" applyAlignment="1">
      <alignment horizontal="right" vertical="center" indent="1"/>
    </xf>
    <xf numFmtId="10" fontId="4" fillId="2" borderId="0" xfId="0" applyNumberFormat="1" applyFont="1" applyFill="1" applyAlignment="1">
      <alignment horizontal="right" vertical="center" indent="1"/>
    </xf>
    <xf numFmtId="10" fontId="4" fillId="3" borderId="0" xfId="0" applyNumberFormat="1" applyFont="1" applyFill="1" applyAlignment="1">
      <alignment horizontal="right" vertical="center" indent="1"/>
    </xf>
    <xf numFmtId="10" fontId="0" fillId="2" borderId="0" xfId="0" applyNumberFormat="1" applyFill="1" applyAlignment="1">
      <alignment horizontal="right" vertical="center" indent="1"/>
    </xf>
    <xf numFmtId="0" fontId="0" fillId="2" borderId="0" xfId="0" applyFill="1" applyAlignment="1">
      <alignment horizontal="right" vertical="center" indent="1"/>
    </xf>
    <xf numFmtId="176" fontId="5" fillId="2" borderId="0" xfId="0" applyNumberFormat="1" applyFont="1" applyFill="1" applyAlignment="1">
      <alignment horizontal="right" vertical="center" indent="1"/>
    </xf>
    <xf numFmtId="10" fontId="5" fillId="2" borderId="0" xfId="0" applyNumberFormat="1" applyFont="1" applyFill="1" applyAlignment="1">
      <alignment horizontal="right" vertical="center" indent="1"/>
    </xf>
    <xf numFmtId="2" fontId="5" fillId="2" borderId="0" xfId="0" applyNumberFormat="1" applyFont="1" applyFill="1" applyAlignment="1">
      <alignment horizontal="left" vertical="center" indent="1"/>
    </xf>
    <xf numFmtId="178" fontId="0" fillId="0" borderId="0" xfId="0" applyNumberFormat="1">
      <alignment vertical="center"/>
    </xf>
    <xf numFmtId="4" fontId="0" fillId="0" borderId="0" xfId="0" applyNumberFormat="1">
      <alignment vertical="center"/>
    </xf>
    <xf numFmtId="176" fontId="0" fillId="2" borderId="0" xfId="0" applyNumberFormat="1" applyFill="1" applyAlignment="1">
      <alignment horizontal="left" vertical="center" indent="1"/>
    </xf>
    <xf numFmtId="179" fontId="4" fillId="3" borderId="0" xfId="0" applyNumberFormat="1" applyFont="1" applyFill="1" applyAlignment="1">
      <alignment horizontal="left" vertical="center" indent="1"/>
    </xf>
    <xf numFmtId="180" fontId="0" fillId="2" borderId="0" xfId="0" applyNumberFormat="1" applyFill="1" applyAlignment="1">
      <alignment horizontal="left" vertical="center" indent="1"/>
    </xf>
    <xf numFmtId="181" fontId="4" fillId="3" borderId="0" xfId="0" applyNumberFormat="1" applyFont="1" applyFill="1" applyAlignment="1">
      <alignment horizontal="left" vertical="center" indent="1"/>
    </xf>
    <xf numFmtId="182" fontId="4" fillId="3" borderId="0" xfId="0" applyNumberFormat="1" applyFont="1" applyFill="1" applyAlignment="1">
      <alignment horizontal="left" vertical="center" indent="1"/>
    </xf>
    <xf numFmtId="183" fontId="4" fillId="3" borderId="0" xfId="0" applyNumberFormat="1" applyFont="1" applyFill="1" applyAlignment="1">
      <alignment horizontal="left" vertical="center" indent="1"/>
    </xf>
    <xf numFmtId="183" fontId="0" fillId="2" borderId="0" xfId="0" applyNumberFormat="1" applyFill="1" applyAlignment="1">
      <alignment horizontal="left" vertical="center" indent="1"/>
    </xf>
    <xf numFmtId="183" fontId="5" fillId="2" borderId="0" xfId="0" applyNumberFormat="1" applyFont="1" applyFill="1" applyAlignment="1">
      <alignment horizontal="left" vertical="center" indent="1"/>
    </xf>
    <xf numFmtId="182" fontId="4" fillId="3" borderId="0" xfId="1" applyNumberFormat="1" applyFont="1" applyFill="1" applyAlignment="1">
      <alignment horizontal="left" vertical="center" indent="1"/>
    </xf>
    <xf numFmtId="185" fontId="5" fillId="2" borderId="0" xfId="0" applyNumberFormat="1" applyFont="1" applyFill="1" applyAlignment="1">
      <alignment horizontal="left" vertical="center" indent="1"/>
    </xf>
    <xf numFmtId="184" fontId="0" fillId="2" borderId="0" xfId="0" applyNumberFormat="1" applyFill="1" applyAlignment="1">
      <alignment horizontal="left" vertical="center" indent="1"/>
    </xf>
    <xf numFmtId="186" fontId="0" fillId="2" borderId="0" xfId="0" applyNumberFormat="1" applyFill="1" applyAlignment="1">
      <alignment horizontal="left" vertical="center" indent="1"/>
    </xf>
    <xf numFmtId="14" fontId="1" fillId="0" borderId="1" xfId="0" applyNumberFormat="1" applyFont="1" applyBorder="1" applyAlignment="1">
      <alignment horizontal="center" vertical="center"/>
    </xf>
    <xf numFmtId="0" fontId="0" fillId="0" borderId="0" xfId="0" applyAlignment="1">
      <alignment horizontal="center" vertical="center"/>
    </xf>
  </cellXfs>
  <cellStyles count="2">
    <cellStyle name="百分比" xfId="1" builtinId="5"/>
    <cellStyle name="常规" xfId="0" builtinId="0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styles" Target="styles.xml"/><Relationship Id="rId3" Type="http://schemas.openxmlformats.org/officeDocument/2006/relationships/worksheet" Target="worksheets/sheet3.xml"/><Relationship Id="rId21" Type="http://schemas.openxmlformats.org/officeDocument/2006/relationships/calcChain" Target="calcChain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theme" Target="theme/theme1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sheetMetadata" Target="metadata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comments" Target="../comments2.xml"/><Relationship Id="rId1" Type="http://schemas.openxmlformats.org/officeDocument/2006/relationships/vmlDrawing" Target="../drawings/vmlDrawing2.v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comments" Target="../comments3.xml"/><Relationship Id="rId1" Type="http://schemas.openxmlformats.org/officeDocument/2006/relationships/vmlDrawing" Target="../drawings/vmlDrawing3.v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comments" Target="../comments4.xml"/><Relationship Id="rId1" Type="http://schemas.openxmlformats.org/officeDocument/2006/relationships/vmlDrawing" Target="../drawings/vmlDrawing4.vml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comments" Target="../comments5.xml"/><Relationship Id="rId1" Type="http://schemas.openxmlformats.org/officeDocument/2006/relationships/vmlDrawing" Target="../drawings/vmlDrawing5.vml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comments" Target="../comments6.xml"/><Relationship Id="rId1" Type="http://schemas.openxmlformats.org/officeDocument/2006/relationships/vmlDrawing" Target="../drawings/vmlDrawing6.vml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comments" Target="../comments7.xml"/><Relationship Id="rId1" Type="http://schemas.openxmlformats.org/officeDocument/2006/relationships/vmlDrawing" Target="../drawings/vmlDrawing7.vml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comments" Target="../comments8.xml"/><Relationship Id="rId1" Type="http://schemas.openxmlformats.org/officeDocument/2006/relationships/vmlDrawing" Target="../drawings/vmlDrawing8.vml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comments" Target="../comments9.xml"/><Relationship Id="rId1" Type="http://schemas.openxmlformats.org/officeDocument/2006/relationships/vmlDrawing" Target="../drawings/vmlDrawing9.vml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comments" Target="../comments10.xml"/><Relationship Id="rId1" Type="http://schemas.openxmlformats.org/officeDocument/2006/relationships/vmlDrawing" Target="../drawings/vmlDrawing10.vml"/></Relationships>
</file>

<file path=xl/worksheets/_rels/sheet1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1.xml"/><Relationship Id="rId1" Type="http://schemas.openxmlformats.org/officeDocument/2006/relationships/vmlDrawing" Target="../drawings/vmlDrawing11.vml"/></Relationships>
</file>

<file path=xl/worksheets/_rels/sheet12.xml.rels><?xml version="1.0" encoding="UTF-8" standalone="yes"?>
<Relationships xmlns="http://schemas.openxmlformats.org/package/2006/relationships"><Relationship Id="rId2" Type="http://schemas.openxmlformats.org/officeDocument/2006/relationships/comments" Target="../comments12.xml"/><Relationship Id="rId1" Type="http://schemas.openxmlformats.org/officeDocument/2006/relationships/vmlDrawing" Target="../drawings/vmlDrawing12.vml"/></Relationships>
</file>

<file path=xl/worksheets/_rels/sheet13.xml.rels><?xml version="1.0" encoding="UTF-8" standalone="yes"?>
<Relationships xmlns="http://schemas.openxmlformats.org/package/2006/relationships"><Relationship Id="rId2" Type="http://schemas.openxmlformats.org/officeDocument/2006/relationships/comments" Target="../comments13.xml"/><Relationship Id="rId1" Type="http://schemas.openxmlformats.org/officeDocument/2006/relationships/vmlDrawing" Target="../drawings/vmlDrawing13.vml"/></Relationships>
</file>

<file path=xl/worksheets/_rels/sheet14.xml.rels><?xml version="1.0" encoding="UTF-8" standalone="yes"?>
<Relationships xmlns="http://schemas.openxmlformats.org/package/2006/relationships"><Relationship Id="rId2" Type="http://schemas.openxmlformats.org/officeDocument/2006/relationships/comments" Target="../comments14.xml"/><Relationship Id="rId1" Type="http://schemas.openxmlformats.org/officeDocument/2006/relationships/vmlDrawing" Target="../drawings/vmlDrawing14.vml"/></Relationships>
</file>

<file path=xl/worksheets/_rels/sheet15.xml.rels><?xml version="1.0" encoding="UTF-8" standalone="yes"?>
<Relationships xmlns="http://schemas.openxmlformats.org/package/2006/relationships"><Relationship Id="rId2" Type="http://schemas.openxmlformats.org/officeDocument/2006/relationships/comments" Target="../comments15.xml"/><Relationship Id="rId1" Type="http://schemas.openxmlformats.org/officeDocument/2006/relationships/vmlDrawing" Target="../drawings/vmlDrawing15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580C884-0231-44B8-8AA8-F50FCBC753AC}">
  <dimension ref="A1:J52"/>
  <sheetViews>
    <sheetView topLeftCell="E1" workbookViewId="0">
      <selection activeCell="J2" sqref="J2:J11"/>
    </sheetView>
  </sheetViews>
  <sheetFormatPr defaultColWidth="22.1328125" defaultRowHeight="13.5" x14ac:dyDescent="0.3"/>
  <cols>
    <col min="1" max="1" width="19.1328125" style="2" customWidth="1"/>
    <col min="2" max="2" width="22.1328125" style="1"/>
    <col min="3" max="3" width="22.1328125" style="21"/>
    <col min="4" max="6" width="22.1328125" style="3"/>
    <col min="7" max="7" width="22.1328125" style="2"/>
  </cols>
  <sheetData>
    <row r="1" spans="1:10" x14ac:dyDescent="0.3">
      <c r="A1" s="6" t="s">
        <v>6</v>
      </c>
      <c r="B1" s="9" t="s">
        <v>87</v>
      </c>
      <c r="C1" s="18" t="s">
        <v>55</v>
      </c>
      <c r="D1" s="22"/>
      <c r="E1" s="22" t="b">
        <f>(B15="每日观察")</f>
        <v>1</v>
      </c>
      <c r="F1" s="22"/>
      <c r="G1" s="7" t="b">
        <f>IF(B25="含头含尾",TRUE,FALSE)</f>
        <v>1</v>
      </c>
      <c r="H1" s="4"/>
      <c r="I1" s="5"/>
    </row>
    <row r="2" spans="1:10" x14ac:dyDescent="0.3">
      <c r="A2" s="6" t="s">
        <v>5</v>
      </c>
      <c r="B2" s="10" t="str">
        <f>_xlfn.TEXTJOIN(,TRUE,IF(B13&gt;0,"增强型",""),IF(B15="每日观察","","欧式"),IF(AND(B21=B20,B20&lt;0.9),"不追保",""),IF(B16&lt;1,"OTM",""),"早利雪球")</f>
        <v>早利雪球</v>
      </c>
      <c r="C2" s="19" t="s">
        <v>1</v>
      </c>
      <c r="D2" s="23" t="s">
        <v>12</v>
      </c>
      <c r="E2" s="23" t="s">
        <v>54</v>
      </c>
      <c r="F2" s="23" t="s">
        <v>33</v>
      </c>
      <c r="G2" s="25"/>
      <c r="H2" s="29">
        <v>46049</v>
      </c>
      <c r="I2">
        <v>8382.1532999999999</v>
      </c>
      <c r="J2" cm="1">
        <f t="array" ref="J2">_xll.ValuateSnowball($C$1,$B$3,$B$7,_xlfn.ANCHORARRAY($C$3),_xlfn.ANCHORARRAY($D$3),_xlfn.ANCHORARRAY($F$3),$B$13,$B$19,$B$14,$B$16,$B$17,$B$20,$B$21,$B$23+$B$31,$B$22,$B$24,$G$1,$E$1,H2+0.625,I2,$B$34,$B$35,$B$36,FALSE,"NPV")*$B$6/$B$3</f>
        <v>194979.07517405538</v>
      </c>
    </row>
    <row r="3" spans="1:10" x14ac:dyDescent="0.3">
      <c r="A3" s="6" t="s">
        <v>70</v>
      </c>
      <c r="B3" s="10">
        <v>8272.2000000000007</v>
      </c>
      <c r="C3" s="26" cm="1">
        <f t="array" ref="C3:C24">_xll.ScheduleDates(C1,B7,B8,"1M",B9,"MODIFIED_FOLLOWING")</f>
        <v>46139</v>
      </c>
      <c r="D3" s="27" cm="1">
        <f t="array" ref="D3:D24">_xll.GenerateBarriers(_xlfn.ANCHORARRAY(C3),B11,B12)</f>
        <v>1</v>
      </c>
      <c r="E3" s="27" cm="1">
        <f t="array" ref="E3:E24">_xll.GenerateBonusCoupons(C1,B7,_xlfn.ANCHORARRAY(C3),B10,-1,B18)</f>
        <v>-1</v>
      </c>
      <c r="F3" s="27" cm="1">
        <f t="array" ref="F3:F24">_xll.GenerateBonusCoupons(C1,B7,_xlfn.ANCHORARRAY(C3),B10,B29,B18)</f>
        <v>0.25</v>
      </c>
      <c r="G3" s="25"/>
      <c r="H3" s="29">
        <v>46050</v>
      </c>
      <c r="I3">
        <v>8399.7937999999995</v>
      </c>
      <c r="J3" cm="1">
        <f t="array" ref="J3">_xll.ValuateSnowball($C$1,$B$3,$B$7,_xlfn.ANCHORARRAY($C$3),_xlfn.ANCHORARRAY($D$3),_xlfn.ANCHORARRAY($F$3),$B$13,$B$19,$B$14,$B$16,$B$17,$B$20,$B$21,$B$23+$B$31,$B$22,$B$24,$G$1,$E$1,H3+0.625,I3,$B$34,$B$35,$B$36,FALSE,"NPV")*$B$6/$B$3</f>
        <v>238091.32089216364</v>
      </c>
    </row>
    <row r="4" spans="1:10" x14ac:dyDescent="0.3">
      <c r="A4" s="6" t="s">
        <v>71</v>
      </c>
      <c r="B4" s="31">
        <v>46050</v>
      </c>
      <c r="C4" s="20">
        <v>46169</v>
      </c>
      <c r="D4" s="24">
        <v>1</v>
      </c>
      <c r="E4" s="24">
        <v>-1</v>
      </c>
      <c r="F4" s="24">
        <v>0.25</v>
      </c>
      <c r="G4" s="25"/>
      <c r="H4" s="29">
        <v>46051</v>
      </c>
      <c r="I4">
        <v>8332.2067000000006</v>
      </c>
      <c r="J4" cm="1">
        <f t="array" ref="J4">_xll.ValuateSnowball($C$1,$B$3,$B$7,_xlfn.ANCHORARRAY($C$3),_xlfn.ANCHORARRAY($D$3),_xlfn.ANCHORARRAY($F$3),$B$13,$B$19,$B$14,$B$16,$B$17,$B$20,$B$21,$B$23+$B$31,$B$22,$B$24,$G$1,$E$1,H4+0.625,I4,$B$34,$B$35,$B$36,FALSE,"NPV")*$B$6/$B$3</f>
        <v>137617.40006790063</v>
      </c>
    </row>
    <row r="5" spans="1:10" x14ac:dyDescent="0.3">
      <c r="A5" s="6" t="s">
        <v>0</v>
      </c>
      <c r="B5" s="11" t="s">
        <v>30</v>
      </c>
      <c r="C5" s="20">
        <v>46202</v>
      </c>
      <c r="D5" s="24">
        <v>1</v>
      </c>
      <c r="E5" s="24">
        <v>-1</v>
      </c>
      <c r="F5" s="24">
        <v>0.25</v>
      </c>
      <c r="G5" s="25"/>
      <c r="H5" s="29">
        <v>46052</v>
      </c>
      <c r="I5">
        <v>8254.8603000000003</v>
      </c>
      <c r="J5" cm="1">
        <f t="array" ref="J5">_xll.ValuateSnowball($C$1,$B$3,$B$7,_xlfn.ANCHORARRAY($C$3),_xlfn.ANCHORARRAY($D$3),_xlfn.ANCHORARRAY($F$3),$B$13,$B$19,$B$14,$B$16,$B$17,$B$20,$B$21,$B$23+$B$31,$B$22,$B$24,$G$1,$E$1,H5+0.625,I5,$B$34,$B$35,$B$36,FALSE,"NPV")*$B$6/$B$3</f>
        <v>10397.641883204891</v>
      </c>
    </row>
    <row r="6" spans="1:10" x14ac:dyDescent="0.3">
      <c r="A6" s="6" t="s">
        <v>7</v>
      </c>
      <c r="B6" s="12">
        <v>21000000</v>
      </c>
      <c r="C6" s="20">
        <v>46230</v>
      </c>
      <c r="D6" s="24">
        <v>1</v>
      </c>
      <c r="E6" s="24">
        <v>-1</v>
      </c>
      <c r="F6" s="24">
        <v>0.25</v>
      </c>
      <c r="G6" s="25"/>
      <c r="H6" s="29">
        <v>46055</v>
      </c>
      <c r="I6">
        <v>7975.4282999999996</v>
      </c>
      <c r="J6" cm="1">
        <f t="array" ref="J6">_xll.ValuateSnowball($C$1,$B$3,$B$7,_xlfn.ANCHORARRAY($C$3),_xlfn.ANCHORARRAY($D$3),_xlfn.ANCHORARRAY($F$3),$B$13,$B$19,$B$14,$B$16,$B$17,$B$20,$B$21,$B$23+$B$31,$B$22,$B$24,$G$1,$E$1,H6+0.625,I6,$B$34,$B$35,$B$36,FALSE,"NPV")*$B$6/$B$3</f>
        <v>-581716.72893349116</v>
      </c>
    </row>
    <row r="7" spans="1:10" x14ac:dyDescent="0.3">
      <c r="A7" s="6" t="s">
        <v>8</v>
      </c>
      <c r="B7" s="13">
        <v>46049.625</v>
      </c>
      <c r="C7" s="20">
        <v>46261</v>
      </c>
      <c r="D7" s="24">
        <v>1</v>
      </c>
      <c r="E7" s="24">
        <v>-1</v>
      </c>
      <c r="F7" s="24">
        <v>0.25</v>
      </c>
      <c r="G7" s="25"/>
      <c r="H7" s="29">
        <v>46056</v>
      </c>
      <c r="I7">
        <v>8209.1010000000006</v>
      </c>
      <c r="J7" cm="1">
        <f t="array" ref="J7">_xll.ValuateSnowball($C$1,$B$3,$B$7,_xlfn.ANCHORARRAY($C$3),_xlfn.ANCHORARRAY($D$3),_xlfn.ANCHORARRAY($F$3),$B$13,$B$19,$B$14,$B$16,$B$17,$B$20,$B$21,$B$23+$B$31,$B$22,$B$24,$G$1,$E$1,H7+0.625,I7,$B$34,$B$35,$B$36,FALSE,"NPV")*$B$6/$B$3</f>
        <v>-49489.681804458705</v>
      </c>
    </row>
    <row r="8" spans="1:10" x14ac:dyDescent="0.3">
      <c r="A8" s="6" t="s">
        <v>9</v>
      </c>
      <c r="B8" s="10" t="s">
        <v>10</v>
      </c>
      <c r="C8" s="20">
        <v>46293</v>
      </c>
      <c r="D8" s="24">
        <v>1</v>
      </c>
      <c r="E8" s="24">
        <v>-1</v>
      </c>
      <c r="F8" s="24">
        <v>0.25</v>
      </c>
      <c r="G8" s="25"/>
      <c r="H8" s="29">
        <v>46057</v>
      </c>
      <c r="I8">
        <v>8207.1203000000005</v>
      </c>
      <c r="J8" cm="1">
        <f t="array" ref="J8">_xll.ValuateSnowball($C$1,$B$3,$B$7,_xlfn.ANCHORARRAY($C$3),_xlfn.ANCHORARRAY($D$3),_xlfn.ANCHORARRAY($F$3),$B$13,$B$19,$B$14,$B$16,$B$17,$B$20,$B$21,$B$23+$B$31,$B$22,$B$24,$G$1,$E$1,H8+0.625,I8,$B$34,$B$35,$B$36,FALSE,"NPV")*$B$6/$B$3</f>
        <v>-38704.729624082698</v>
      </c>
    </row>
    <row r="9" spans="1:10" x14ac:dyDescent="0.3">
      <c r="A9" s="6" t="s">
        <v>11</v>
      </c>
      <c r="B9" s="10">
        <v>3</v>
      </c>
      <c r="C9" s="20">
        <v>46322</v>
      </c>
      <c r="D9" s="24">
        <v>1</v>
      </c>
      <c r="E9" s="24">
        <v>-1</v>
      </c>
      <c r="F9" s="24">
        <v>0.25</v>
      </c>
      <c r="G9" s="25"/>
      <c r="H9" s="29">
        <v>46058</v>
      </c>
      <c r="I9">
        <v>8068.0766999999996</v>
      </c>
      <c r="J9" cm="1">
        <f t="array" ref="J9">_xll.ValuateSnowball($C$1,$B$3,$B$7,_xlfn.ANCHORARRAY($C$3),_xlfn.ANCHORARRAY($D$3),_xlfn.ANCHORARRAY($F$3),$B$13,$B$19,$B$14,$B$16,$B$17,$B$20,$B$21,$B$23+$B$31,$B$22,$B$24,$G$1,$E$1,H9+0.625,I9,$B$34,$B$35,$B$36,FALSE,"NPV")*$B$6/$B$3</f>
        <v>-319981.67442163505</v>
      </c>
    </row>
    <row r="10" spans="1:10" x14ac:dyDescent="0.3">
      <c r="A10" s="6" t="s">
        <v>56</v>
      </c>
      <c r="B10" s="10" t="s">
        <v>57</v>
      </c>
      <c r="C10" s="20">
        <v>46353</v>
      </c>
      <c r="D10" s="24">
        <v>1</v>
      </c>
      <c r="E10" s="24">
        <v>-1</v>
      </c>
      <c r="F10" s="24">
        <v>0.25</v>
      </c>
      <c r="G10" s="25"/>
      <c r="H10" s="29">
        <v>46059</v>
      </c>
      <c r="I10">
        <v>8051.5742</v>
      </c>
      <c r="J10" cm="1">
        <f t="array" ref="J10">_xll.ValuateSnowball($C$1,$B$3,$B$7,_xlfn.ANCHORARRAY($C$3),_xlfn.ANCHORARRAY($D$3),_xlfn.ANCHORARRAY($F$3),$B$13,$B$19,$B$14,$B$16,$B$17,$B$20,$B$21,$B$23+$B$31,$B$22,$B$24,$G$1,$E$1,H10+0.625,I10,$B$34,$B$35,$B$36,FALSE,"NPV")*$B$6/$B$3</f>
        <v>-342769.60684661689</v>
      </c>
    </row>
    <row r="11" spans="1:10" x14ac:dyDescent="0.3">
      <c r="A11" s="6" t="s">
        <v>12</v>
      </c>
      <c r="B11" s="14">
        <v>1</v>
      </c>
      <c r="C11" s="20">
        <v>46384</v>
      </c>
      <c r="D11" s="24">
        <v>1</v>
      </c>
      <c r="E11" s="24">
        <v>-1</v>
      </c>
      <c r="F11" s="24">
        <v>0.25</v>
      </c>
      <c r="G11" s="25"/>
      <c r="H11" s="43">
        <v>46062</v>
      </c>
      <c r="I11">
        <v>8233.7782999999999</v>
      </c>
      <c r="J11" cm="1">
        <f t="array" ref="J11">_xll.ValuateSnowball($C$1,$B$3,$B$7,_xlfn.ANCHORARRAY($C$3),_xlfn.ANCHORARRAY($D$3),_xlfn.ANCHORARRAY($F$3),$B$13,$B$19,$B$14,$B$16,$B$17,$B$20,$B$21,$B$23+$B$31,$B$22,$B$24,$G$1,$E$1,H11+0.625,I11,$B$34,$B$35,$B$36,FALSE,"NPV")*$B$6/$B$3</f>
        <v>58144.644286026509</v>
      </c>
    </row>
    <row r="12" spans="1:10" x14ac:dyDescent="0.3">
      <c r="A12" s="6" t="s">
        <v>13</v>
      </c>
      <c r="B12" s="14">
        <v>0</v>
      </c>
      <c r="C12" s="20">
        <v>46414</v>
      </c>
      <c r="D12" s="24">
        <v>1</v>
      </c>
      <c r="E12" s="24">
        <v>-1</v>
      </c>
      <c r="F12" s="24">
        <v>0.25</v>
      </c>
      <c r="G12" s="25"/>
      <c r="H12" s="4"/>
      <c r="I12" s="4"/>
    </row>
    <row r="13" spans="1:10" x14ac:dyDescent="0.3">
      <c r="A13" s="6" t="s">
        <v>14</v>
      </c>
      <c r="B13" s="14">
        <v>0</v>
      </c>
      <c r="C13" s="20">
        <v>46444</v>
      </c>
      <c r="D13" s="24">
        <v>1</v>
      </c>
      <c r="E13" s="24">
        <v>0.05</v>
      </c>
      <c r="F13" s="24">
        <v>0.05</v>
      </c>
      <c r="G13" s="25"/>
      <c r="H13" s="4"/>
      <c r="I13" s="4"/>
    </row>
    <row r="14" spans="1:10" x14ac:dyDescent="0.3">
      <c r="A14" s="6" t="s">
        <v>2</v>
      </c>
      <c r="B14" s="14">
        <v>0.65</v>
      </c>
      <c r="C14" s="20">
        <v>46475</v>
      </c>
      <c r="D14" s="24">
        <v>1</v>
      </c>
      <c r="E14" s="24">
        <v>0.05</v>
      </c>
      <c r="F14" s="24">
        <v>0.05</v>
      </c>
      <c r="G14" s="25"/>
      <c r="H14" s="4"/>
      <c r="I14" s="4"/>
    </row>
    <row r="15" spans="1:10" x14ac:dyDescent="0.3">
      <c r="A15" s="6" t="s">
        <v>15</v>
      </c>
      <c r="B15" s="11" t="s">
        <v>31</v>
      </c>
      <c r="C15" s="20">
        <v>46504</v>
      </c>
      <c r="D15" s="24">
        <v>1</v>
      </c>
      <c r="E15" s="24">
        <v>0.05</v>
      </c>
      <c r="F15" s="24">
        <v>0.05</v>
      </c>
      <c r="G15" s="25"/>
      <c r="H15" s="4"/>
      <c r="I15" s="4"/>
    </row>
    <row r="16" spans="1:10" x14ac:dyDescent="0.3">
      <c r="A16" s="6" t="s">
        <v>17</v>
      </c>
      <c r="B16" s="14">
        <v>1</v>
      </c>
      <c r="C16" s="20">
        <v>46534</v>
      </c>
      <c r="D16" s="24">
        <v>1</v>
      </c>
      <c r="E16" s="24">
        <v>0.05</v>
      </c>
      <c r="F16" s="24">
        <v>0.05</v>
      </c>
      <c r="G16" s="25"/>
      <c r="H16" s="4"/>
      <c r="I16" s="4"/>
    </row>
    <row r="17" spans="1:9" x14ac:dyDescent="0.3">
      <c r="A17" s="6" t="s">
        <v>18</v>
      </c>
      <c r="B17" s="14">
        <v>1</v>
      </c>
      <c r="C17" s="20">
        <v>46566</v>
      </c>
      <c r="D17" s="24">
        <v>1</v>
      </c>
      <c r="E17" s="24">
        <v>0.05</v>
      </c>
      <c r="F17" s="24">
        <v>0.05</v>
      </c>
      <c r="G17" s="25"/>
      <c r="H17" s="4"/>
      <c r="I17" s="4"/>
    </row>
    <row r="18" spans="1:9" x14ac:dyDescent="0.3">
      <c r="A18" s="6" t="s">
        <v>58</v>
      </c>
      <c r="B18" s="14">
        <v>0.05</v>
      </c>
      <c r="C18" s="20">
        <v>46595</v>
      </c>
      <c r="D18" s="24">
        <v>1</v>
      </c>
      <c r="E18" s="24">
        <v>0.05</v>
      </c>
      <c r="F18" s="24">
        <v>0.05</v>
      </c>
      <c r="G18" s="25"/>
      <c r="H18" s="4"/>
      <c r="I18" s="4"/>
    </row>
    <row r="19" spans="1:9" x14ac:dyDescent="0.3">
      <c r="A19" s="6" t="s">
        <v>19</v>
      </c>
      <c r="B19" s="14">
        <v>0.05</v>
      </c>
      <c r="C19" s="20">
        <v>46626</v>
      </c>
      <c r="D19" s="24">
        <v>1</v>
      </c>
      <c r="E19" s="24">
        <v>0.05</v>
      </c>
      <c r="F19" s="24">
        <v>0.05</v>
      </c>
      <c r="G19" s="25"/>
      <c r="H19" s="4"/>
      <c r="I19" s="4"/>
    </row>
    <row r="20" spans="1:9" x14ac:dyDescent="0.3">
      <c r="A20" s="6" t="s">
        <v>20</v>
      </c>
      <c r="B20" s="14">
        <v>1</v>
      </c>
      <c r="C20" s="20">
        <v>46657</v>
      </c>
      <c r="D20" s="24">
        <v>1</v>
      </c>
      <c r="E20" s="24">
        <v>0.05</v>
      </c>
      <c r="F20" s="24">
        <v>0.05</v>
      </c>
      <c r="G20" s="25"/>
      <c r="H20" s="4"/>
      <c r="I20" s="4"/>
    </row>
    <row r="21" spans="1:9" x14ac:dyDescent="0.3">
      <c r="A21" s="6" t="s">
        <v>21</v>
      </c>
      <c r="B21" s="14">
        <v>1</v>
      </c>
      <c r="C21" s="20">
        <v>46687</v>
      </c>
      <c r="D21" s="24">
        <v>1</v>
      </c>
      <c r="E21" s="24">
        <v>0.05</v>
      </c>
      <c r="F21" s="24">
        <v>0.05</v>
      </c>
      <c r="G21" s="25"/>
      <c r="H21" s="4"/>
      <c r="I21" s="4"/>
    </row>
    <row r="22" spans="1:9" x14ac:dyDescent="0.3">
      <c r="A22" s="6" t="s">
        <v>22</v>
      </c>
      <c r="B22" s="14">
        <v>0</v>
      </c>
      <c r="C22" s="20">
        <v>46720</v>
      </c>
      <c r="D22" s="24">
        <v>1</v>
      </c>
      <c r="E22" s="24">
        <v>0.05</v>
      </c>
      <c r="F22" s="24">
        <v>0.05</v>
      </c>
      <c r="G22" s="25"/>
      <c r="H22" s="4"/>
      <c r="I22" s="4"/>
    </row>
    <row r="23" spans="1:9" x14ac:dyDescent="0.3">
      <c r="A23" s="6" t="s">
        <v>23</v>
      </c>
      <c r="B23" s="14">
        <v>0</v>
      </c>
      <c r="C23" s="20">
        <v>46748</v>
      </c>
      <c r="D23" s="24">
        <v>1</v>
      </c>
      <c r="E23" s="24">
        <v>0.05</v>
      </c>
      <c r="F23" s="24">
        <v>0.05</v>
      </c>
      <c r="G23" s="25"/>
      <c r="H23" s="4"/>
      <c r="I23" s="4"/>
    </row>
    <row r="24" spans="1:9" x14ac:dyDescent="0.3">
      <c r="A24" s="6" t="s">
        <v>24</v>
      </c>
      <c r="B24" s="10">
        <v>0</v>
      </c>
      <c r="C24" s="20">
        <v>46776</v>
      </c>
      <c r="D24" s="24">
        <v>1</v>
      </c>
      <c r="E24" s="24">
        <v>0.05</v>
      </c>
      <c r="F24" s="24">
        <v>0.05</v>
      </c>
      <c r="G24" s="25"/>
      <c r="H24" s="4"/>
      <c r="I24" s="4"/>
    </row>
    <row r="25" spans="1:9" x14ac:dyDescent="0.3">
      <c r="A25" s="6" t="s">
        <v>25</v>
      </c>
      <c r="B25" s="11" t="s">
        <v>32</v>
      </c>
      <c r="C25" s="20"/>
      <c r="D25" s="24"/>
      <c r="E25" s="24"/>
      <c r="F25" s="24"/>
      <c r="G25" s="25"/>
      <c r="H25" s="4"/>
      <c r="I25" s="4"/>
    </row>
    <row r="26" spans="1:9" x14ac:dyDescent="0.3">
      <c r="A26" s="6" t="s">
        <v>27</v>
      </c>
      <c r="B26" s="14">
        <v>0</v>
      </c>
      <c r="C26" s="20"/>
      <c r="D26" s="24"/>
      <c r="E26" s="24"/>
      <c r="F26" s="24"/>
      <c r="G26" s="25"/>
      <c r="H26" s="4"/>
      <c r="I26" s="4"/>
    </row>
    <row r="27" spans="1:9" x14ac:dyDescent="0.3">
      <c r="A27" s="6" t="s">
        <v>28</v>
      </c>
      <c r="B27" s="14" t="s">
        <v>29</v>
      </c>
      <c r="C27" s="20"/>
      <c r="D27" s="24"/>
      <c r="E27" s="24"/>
      <c r="F27" s="24"/>
      <c r="G27" s="25"/>
      <c r="H27" s="4"/>
      <c r="I27" s="4"/>
    </row>
    <row r="28" spans="1:9" x14ac:dyDescent="0.3">
      <c r="A28" s="7"/>
      <c r="B28" s="14"/>
      <c r="C28" s="20"/>
      <c r="D28" s="24"/>
      <c r="E28" s="24"/>
      <c r="F28" s="24"/>
      <c r="G28" s="25"/>
      <c r="H28" s="4"/>
      <c r="I28" s="4"/>
    </row>
    <row r="29" spans="1:9" x14ac:dyDescent="0.3">
      <c r="A29" s="6" t="s">
        <v>59</v>
      </c>
      <c r="B29" s="15">
        <v>0.25</v>
      </c>
      <c r="C29" s="20"/>
      <c r="D29" s="24"/>
      <c r="E29" s="24"/>
      <c r="F29" s="24"/>
      <c r="G29" s="25"/>
      <c r="H29" s="4"/>
      <c r="I29" s="4"/>
    </row>
    <row r="30" spans="1:9" x14ac:dyDescent="0.3">
      <c r="A30" s="7"/>
      <c r="B30" s="14"/>
      <c r="C30" s="20"/>
      <c r="D30" s="24"/>
      <c r="E30" s="24"/>
      <c r="F30" s="24"/>
      <c r="G30" s="25"/>
      <c r="H30" s="4"/>
      <c r="I30" s="4"/>
    </row>
    <row r="31" spans="1:9" x14ac:dyDescent="0.3">
      <c r="A31" s="6" t="s">
        <v>34</v>
      </c>
      <c r="B31" s="14">
        <v>0</v>
      </c>
      <c r="C31" s="20"/>
      <c r="D31" s="24"/>
      <c r="E31" s="24"/>
      <c r="F31" s="24"/>
      <c r="G31" s="25"/>
      <c r="H31" s="4"/>
      <c r="I31" s="4"/>
    </row>
    <row r="32" spans="1:9" x14ac:dyDescent="0.3">
      <c r="A32" s="6" t="s">
        <v>35</v>
      </c>
      <c r="B32" s="14" t="s">
        <v>36</v>
      </c>
      <c r="C32" s="20"/>
      <c r="D32" s="24"/>
      <c r="E32" s="24"/>
      <c r="F32" s="24"/>
      <c r="G32" s="25"/>
      <c r="H32" s="4"/>
      <c r="I32" s="4"/>
    </row>
    <row r="33" spans="1:9" x14ac:dyDescent="0.3">
      <c r="A33" s="7"/>
      <c r="B33" s="14"/>
      <c r="C33" s="20"/>
      <c r="D33" s="24"/>
      <c r="E33" s="24"/>
      <c r="F33" s="24"/>
      <c r="G33" s="25"/>
      <c r="H33" s="4"/>
      <c r="I33" s="4"/>
    </row>
    <row r="34" spans="1:9" x14ac:dyDescent="0.3">
      <c r="A34" s="6" t="s">
        <v>37</v>
      </c>
      <c r="B34" s="16">
        <v>2.1000000000000001E-2</v>
      </c>
      <c r="C34" s="20"/>
      <c r="D34" s="24"/>
      <c r="E34" s="24"/>
      <c r="F34" s="24"/>
      <c r="G34" s="25"/>
      <c r="H34" s="4"/>
      <c r="I34" s="4"/>
    </row>
    <row r="35" spans="1:9" x14ac:dyDescent="0.3">
      <c r="A35" s="6" t="s">
        <v>38</v>
      </c>
      <c r="B35" s="14">
        <v>-7.4075000000000002E-2</v>
      </c>
      <c r="C35" s="20"/>
      <c r="D35" s="24"/>
      <c r="E35" s="24"/>
      <c r="F35" s="24"/>
      <c r="G35" s="25"/>
      <c r="H35" s="4"/>
      <c r="I35" s="4"/>
    </row>
    <row r="36" spans="1:9" x14ac:dyDescent="0.3">
      <c r="A36" s="6" t="s">
        <v>39</v>
      </c>
      <c r="B36" s="14">
        <v>0.17</v>
      </c>
      <c r="C36" s="20"/>
      <c r="D36" s="24"/>
      <c r="E36" s="24"/>
      <c r="F36" s="24"/>
      <c r="G36" s="25"/>
      <c r="H36" s="4"/>
      <c r="I36" s="4"/>
    </row>
    <row r="37" spans="1:9" x14ac:dyDescent="0.3">
      <c r="A37" s="7"/>
      <c r="B37" s="10"/>
      <c r="C37" s="20"/>
      <c r="D37" s="24"/>
      <c r="E37" s="24"/>
      <c r="F37" s="24"/>
      <c r="G37" s="25"/>
      <c r="H37" s="4"/>
      <c r="I37" s="4"/>
    </row>
    <row r="38" spans="1:9" x14ac:dyDescent="0.3">
      <c r="A38" s="8" t="s">
        <v>40</v>
      </c>
      <c r="B38" s="10"/>
      <c r="C38" s="20"/>
      <c r="D38" s="24"/>
      <c r="E38" s="24"/>
      <c r="F38" s="24"/>
      <c r="G38" s="25"/>
      <c r="H38" s="4"/>
      <c r="I38" s="4"/>
    </row>
    <row r="39" spans="1:9" x14ac:dyDescent="0.3">
      <c r="A39" s="6" t="s">
        <v>41</v>
      </c>
      <c r="B39" s="17">
        <f>B47*100</f>
        <v>65.790796838335027</v>
      </c>
      <c r="C39" s="20"/>
      <c r="D39" s="24"/>
      <c r="E39" s="24"/>
      <c r="F39" s="24"/>
      <c r="G39" s="25"/>
      <c r="H39" s="4"/>
      <c r="I39" s="4"/>
    </row>
    <row r="40" spans="1:9" x14ac:dyDescent="0.3">
      <c r="A40" s="6" t="s">
        <v>42</v>
      </c>
      <c r="B40" s="17">
        <f>B48*1%*100</f>
        <v>-7.377944409226267E-4</v>
      </c>
      <c r="C40" s="20"/>
      <c r="D40" s="24"/>
      <c r="E40" s="24"/>
      <c r="F40" s="24"/>
      <c r="G40" s="25"/>
      <c r="H40" s="4"/>
      <c r="I40" s="4"/>
    </row>
    <row r="41" spans="1:9" x14ac:dyDescent="0.3">
      <c r="A41" s="6" t="s">
        <v>43</v>
      </c>
      <c r="B41" s="17">
        <f>B49*1%*100</f>
        <v>-5273.8762579698232</v>
      </c>
      <c r="C41" s="20"/>
      <c r="D41" s="24"/>
      <c r="E41" s="24"/>
      <c r="F41" s="24"/>
      <c r="G41" s="25"/>
      <c r="H41" s="4"/>
      <c r="I41" s="4"/>
    </row>
    <row r="42" spans="1:9" x14ac:dyDescent="0.3">
      <c r="A42" s="6" t="s">
        <v>44</v>
      </c>
      <c r="B42" s="17">
        <f>B50*1/242*100</f>
        <v>552.04107853605819</v>
      </c>
      <c r="C42" s="20"/>
      <c r="D42" s="24"/>
      <c r="E42" s="24"/>
      <c r="F42" s="24"/>
      <c r="G42" s="25"/>
      <c r="H42" s="4"/>
      <c r="I42" s="4"/>
    </row>
    <row r="43" spans="1:9" x14ac:dyDescent="0.3">
      <c r="A43" s="6" t="s">
        <v>45</v>
      </c>
      <c r="B43" s="17">
        <f>1%*B51*100</f>
        <v>-6275.0665352865326</v>
      </c>
      <c r="C43" s="20"/>
      <c r="D43" s="24"/>
      <c r="E43" s="24"/>
      <c r="F43" s="24"/>
      <c r="G43" s="25"/>
      <c r="H43" s="4"/>
      <c r="I43" s="4"/>
    </row>
    <row r="44" spans="1:9" x14ac:dyDescent="0.3">
      <c r="A44" s="6" t="s">
        <v>46</v>
      </c>
      <c r="B44" s="17">
        <f>1%*B52*100</f>
        <v>-6056.6823520044636</v>
      </c>
      <c r="C44" s="20"/>
      <c r="D44" s="24"/>
      <c r="E44" s="24"/>
      <c r="F44" s="24"/>
      <c r="G44" s="25"/>
      <c r="H44" s="4"/>
      <c r="I44" s="4"/>
    </row>
    <row r="45" spans="1:9" x14ac:dyDescent="0.3">
      <c r="A45" s="7"/>
      <c r="B45" s="17">
        <f>B46*B6/B3</f>
        <v>194978.57413525743</v>
      </c>
      <c r="C45" s="20"/>
      <c r="D45" s="24"/>
      <c r="E45" s="24"/>
      <c r="F45" s="24"/>
      <c r="G45" s="25"/>
      <c r="H45" s="4"/>
      <c r="I45" s="4"/>
    </row>
    <row r="46" spans="1:9" x14ac:dyDescent="0.3">
      <c r="A46" s="6" t="s">
        <v>47</v>
      </c>
      <c r="B46" s="28" cm="1">
        <f t="array" ref="B46:B52">_xll.ValuateSnowball(C1,8272.2,B7,_xlfn.ANCHORARRAY(C3),_xlfn.ANCHORARRAY(D3),_xlfn.ANCHORARRAY(F3),B13,B19,B14,B16,B17,B20,B21,B23+B31,B22,B24,G1,E1,B7,8382.153,B34,B35,B36,FALSE,"ALL")</f>
        <v>76.804845760079843</v>
      </c>
      <c r="C46" s="20"/>
      <c r="D46" s="24"/>
      <c r="E46" s="24"/>
      <c r="F46" s="24"/>
      <c r="G46" s="25"/>
      <c r="H46" s="4"/>
      <c r="I46" s="4"/>
    </row>
    <row r="47" spans="1:9" x14ac:dyDescent="0.3">
      <c r="A47" s="6" t="s">
        <v>48</v>
      </c>
      <c r="B47" s="17">
        <v>0.65790796838335031</v>
      </c>
      <c r="C47" s="20"/>
      <c r="D47" s="24"/>
      <c r="E47" s="24"/>
      <c r="F47" s="24"/>
      <c r="G47" s="25"/>
      <c r="H47" s="4"/>
      <c r="I47" s="4"/>
    </row>
    <row r="48" spans="1:9" x14ac:dyDescent="0.3">
      <c r="A48" s="6" t="s">
        <v>49</v>
      </c>
      <c r="B48" s="17">
        <v>-7.377944409226267E-4</v>
      </c>
      <c r="C48" s="20"/>
      <c r="D48" s="24"/>
      <c r="E48" s="24"/>
      <c r="F48" s="24"/>
      <c r="G48" s="25"/>
      <c r="H48" s="4"/>
      <c r="I48" s="4"/>
    </row>
    <row r="49" spans="1:9" x14ac:dyDescent="0.3">
      <c r="A49" s="6" t="s">
        <v>50</v>
      </c>
      <c r="B49" s="17">
        <v>-5273.8762579698232</v>
      </c>
      <c r="C49" s="20"/>
      <c r="D49" s="24"/>
      <c r="E49" s="24"/>
      <c r="F49" s="24"/>
      <c r="G49" s="25"/>
      <c r="H49" s="4"/>
      <c r="I49" s="4"/>
    </row>
    <row r="50" spans="1:9" x14ac:dyDescent="0.3">
      <c r="A50" s="6" t="s">
        <v>51</v>
      </c>
      <c r="B50" s="17">
        <v>1335.9394100572608</v>
      </c>
      <c r="C50" s="20"/>
      <c r="D50" s="24"/>
      <c r="E50" s="24"/>
      <c r="F50" s="24"/>
      <c r="G50" s="25"/>
      <c r="H50" s="4"/>
      <c r="I50" s="4"/>
    </row>
    <row r="51" spans="1:9" x14ac:dyDescent="0.3">
      <c r="A51" s="6" t="s">
        <v>52</v>
      </c>
      <c r="B51" s="17">
        <v>-6275.0665352865326</v>
      </c>
      <c r="C51" s="20"/>
      <c r="D51" s="24"/>
      <c r="E51" s="24"/>
      <c r="F51" s="24"/>
      <c r="G51" s="25"/>
      <c r="H51" s="4"/>
      <c r="I51" s="4"/>
    </row>
    <row r="52" spans="1:9" x14ac:dyDescent="0.3">
      <c r="A52" s="6" t="s">
        <v>53</v>
      </c>
      <c r="B52" s="17">
        <v>-6056.6823520044636</v>
      </c>
      <c r="C52" s="20"/>
      <c r="D52" s="24"/>
      <c r="E52" s="24"/>
      <c r="F52" s="24"/>
      <c r="G52" s="25"/>
      <c r="H52" s="4"/>
      <c r="I52" s="4"/>
    </row>
  </sheetData>
  <phoneticPr fontId="2" type="noConversion"/>
  <dataValidations count="3">
    <dataValidation type="list" showInputMessage="1" showErrorMessage="1" sqref="B5" xr:uid="{461079FE-CEBD-48CA-98F4-5CBF81407DF6}">
      <formula1>"000852.SH,000905.SH,000300.SH,000016.SH,513180.SH"</formula1>
    </dataValidation>
    <dataValidation type="list" showInputMessage="1" showErrorMessage="1" sqref="B15" xr:uid="{F28B7D0F-53B5-4BA7-A837-752F0FB34804}">
      <formula1>"每日观察,到期观察"</formula1>
    </dataValidation>
    <dataValidation type="list" showInputMessage="1" showErrorMessage="1" sqref="B25" xr:uid="{5B1721AF-C781-4404-BFE7-99363634D0FF}">
      <formula1>"含头含尾,含头不含尾"</formula1>
    </dataValidation>
  </dataValidations>
  <pageMargins left="0.7" right="0.7" top="0.75" bottom="0.75" header="0.3" footer="0.3"/>
  <legacy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8A908D-2BB6-4446-9A50-98A24FF2CBEF}">
  <dimension ref="A1:L171"/>
  <sheetViews>
    <sheetView topLeftCell="E11" workbookViewId="0">
      <selection activeCell="H12" sqref="H12:I21"/>
    </sheetView>
  </sheetViews>
  <sheetFormatPr defaultColWidth="22.1328125" defaultRowHeight="13.5" x14ac:dyDescent="0.3"/>
  <cols>
    <col min="1" max="1" width="19.1328125" style="2" customWidth="1"/>
    <col min="2" max="2" width="22.1328125" style="1"/>
    <col min="3" max="3" width="22.1328125" style="21"/>
    <col min="4" max="6" width="22.1328125" style="3"/>
    <col min="7" max="7" width="22.1328125" style="2"/>
    <col min="8" max="8" width="11.59765625" bestFit="1" customWidth="1"/>
  </cols>
  <sheetData>
    <row r="1" spans="1:12" x14ac:dyDescent="0.3">
      <c r="A1" s="6" t="s">
        <v>6</v>
      </c>
      <c r="B1" s="9" t="s">
        <v>86</v>
      </c>
      <c r="C1" s="18" t="s">
        <v>55</v>
      </c>
      <c r="D1" s="22"/>
      <c r="E1" s="22" t="b">
        <f>(B15="每日观察")</f>
        <v>1</v>
      </c>
      <c r="F1" s="22"/>
      <c r="G1" s="7" t="b">
        <f>IF(B25="含头含尾",TRUE,FALSE)</f>
        <v>1</v>
      </c>
      <c r="I1" t="s">
        <v>30</v>
      </c>
    </row>
    <row r="2" spans="1:12" x14ac:dyDescent="0.3">
      <c r="A2" s="6" t="s">
        <v>5</v>
      </c>
      <c r="B2" s="10" t="str">
        <f>_xlfn.TEXTJOIN(,TRUE,IF(B13&gt;0,"增强型",""),IF(B15="每日观察","","欧式"),IF(AND(B21=B20,B20&lt;0.9),"不追保",""),IF(B16&lt;1,"OTM",""),"早利雪球")</f>
        <v>早利雪球</v>
      </c>
      <c r="C2" s="19" t="s">
        <v>1</v>
      </c>
      <c r="D2" s="23" t="s">
        <v>12</v>
      </c>
      <c r="E2" s="23" t="s">
        <v>54</v>
      </c>
      <c r="F2" s="23" t="s">
        <v>33</v>
      </c>
      <c r="G2" s="25"/>
      <c r="H2" s="29">
        <v>46035</v>
      </c>
      <c r="I2">
        <v>8203.1327000000001</v>
      </c>
      <c r="J2" cm="1">
        <f t="array" ref="J2">_xll.ValuateSnowball($C$1,$B$3,$B$7,_xlfn.ANCHORARRAY($C$3),_xlfn.ANCHORARRAY($D$3),_xlfn.ANCHORARRAY($F$3),$B$13,$B$19,$B$14,$B$16,$B$17,$B$20,$B$21,$B$23+$B$31,$B$22,$B$24,$G$1,$E$1,H2+0.625,I2,$B$34,$B$35,$B$36,FALSE,"NPV")*$B$6/$B$3</f>
        <v>-80276.048798922784</v>
      </c>
      <c r="K2" cm="1">
        <f t="array" ref="K2">_xll.ValuateSnowball($C$1,$B$3,$B$7,_xlfn.ANCHORARRAY($C$3),_xlfn.ANCHORARRAY($D$3),_xlfn.ANCHORARRAY($F$3),$B$13,$B$19,$B$14,$B$16,$B$17,$B$20,$B$21,$B$23+$B$31,$B$22,$B$24,$G$1,$E$1,H2+0.625,I2,$B$34,$B$35,$B$36,FALSE,"NPV")*$B$6/$B$3*4</f>
        <v>-321104.19519569114</v>
      </c>
      <c r="L2">
        <f>K2-J2</f>
        <v>-240828.14639676834</v>
      </c>
    </row>
    <row r="3" spans="1:12" x14ac:dyDescent="0.3">
      <c r="A3" s="6" t="s">
        <v>70</v>
      </c>
      <c r="B3" s="10">
        <v>8287.81</v>
      </c>
      <c r="C3" s="26" cm="1">
        <f t="array" ref="C3:C24">_xll.ScheduleDates(C1,B7,B8,"1M",B9,"MODIFIED_FOLLOWING")</f>
        <v>46125</v>
      </c>
      <c r="D3" s="27" cm="1">
        <f t="array" ref="D3:D24">_xll.GenerateBarriers(_xlfn.ANCHORARRAY(C3),B11,B12)</f>
        <v>1</v>
      </c>
      <c r="E3" s="27" cm="1">
        <f t="array" ref="E3:E24">_xll.GenerateBonusCoupons(C1,B7,_xlfn.ANCHORARRAY(C3),B10,-1,B18)</f>
        <v>-1</v>
      </c>
      <c r="F3" s="27" cm="1">
        <f t="array" ref="F3:F24">_xll.GenerateBonusCoupons(C1,B7,_xlfn.ANCHORARRAY(C3),B10,B29,B18)</f>
        <v>0.25840000000000002</v>
      </c>
      <c r="G3" s="25"/>
      <c r="H3" s="29">
        <v>46036</v>
      </c>
      <c r="I3">
        <v>8257.1715999999997</v>
      </c>
      <c r="J3" cm="1">
        <f t="array" ref="J3">_xll.ValuateSnowball($C$1,$B$3,$B$7,_xlfn.ANCHORARRAY($C$3),_xlfn.ANCHORARRAY($D$3),_xlfn.ANCHORARRAY($F$3),$B$13,$B$19,$B$14,$B$16,$B$17,$B$20,$B$21,$B$23+$B$31,$B$22,$B$24,$G$1,$E$1,H3+0.625,I3,$B$34,$B$35,$B$36,FALSE,"NPV")*$B$6/$B$3</f>
        <v>-21081.84504311837</v>
      </c>
      <c r="K3" cm="1">
        <f t="array" ref="K3">_xll.ValuateSnowball($C$1,$B$3,$B$7,_xlfn.ANCHORARRAY($C$3),_xlfn.ANCHORARRAY($D$3),_xlfn.ANCHORARRAY($F$3),$B$13,$B$19,$B$14,$B$16,$B$17,$B$20,$B$21,$B$23+$B$31,$B$22,$B$24,$G$1,$E$1,H3+0.625,I3,$B$34,$B$35,$B$36,FALSE,"NPV")*$B$6/$B$3*4</f>
        <v>-84327.38017247348</v>
      </c>
      <c r="L3">
        <f t="shared" ref="L3:L21" si="0">K3-J3</f>
        <v>-63245.535129355107</v>
      </c>
    </row>
    <row r="4" spans="1:12" x14ac:dyDescent="0.3">
      <c r="A4" s="6" t="s">
        <v>71</v>
      </c>
      <c r="B4" s="31">
        <v>46050</v>
      </c>
      <c r="C4" s="20">
        <v>46155</v>
      </c>
      <c r="D4" s="24">
        <v>0.995</v>
      </c>
      <c r="E4" s="24">
        <v>-1</v>
      </c>
      <c r="F4" s="24">
        <v>0.25840000000000002</v>
      </c>
      <c r="G4" s="25"/>
      <c r="H4" s="29">
        <v>46037</v>
      </c>
      <c r="I4">
        <v>8240.7751000000007</v>
      </c>
      <c r="J4" cm="1">
        <f t="array" ref="J4">_xll.ValuateSnowball($C$1,$B$3,$B$7,_xlfn.ANCHORARRAY($C$3),_xlfn.ANCHORARRAY($D$3),_xlfn.ANCHORARRAY($F$3),$B$13,$B$19,$B$14,$B$16,$B$17,$B$20,$B$21,$B$23+$B$31,$B$22,$B$24,$G$1,$E$1,H4+0.625,I4,$B$34,$B$35,$B$36,FALSE,"NPV")*$B$6/$B$3</f>
        <v>-29262.904481698719</v>
      </c>
      <c r="K4" cm="1">
        <f t="array" ref="K4">_xll.ValuateSnowball($C$1,$B$3,$B$7,_xlfn.ANCHORARRAY($C$3),_xlfn.ANCHORARRAY($D$3),_xlfn.ANCHORARRAY($F$3),$B$13,$B$19,$B$14,$B$16,$B$17,$B$20,$B$21,$B$23+$B$31,$B$22,$B$24,$G$1,$E$1,H4+0.625,I4,$B$34,$B$35,$B$36,FALSE,"NPV")*$B$6/$B$3*4</f>
        <v>-117051.61792679488</v>
      </c>
      <c r="L4">
        <f t="shared" si="0"/>
        <v>-87788.71344509616</v>
      </c>
    </row>
    <row r="5" spans="1:12" x14ac:dyDescent="0.3">
      <c r="A5" s="6" t="s">
        <v>0</v>
      </c>
      <c r="B5" s="11" t="s">
        <v>30</v>
      </c>
      <c r="C5" s="20">
        <v>46188</v>
      </c>
      <c r="D5" s="24">
        <v>0.99</v>
      </c>
      <c r="E5" s="24">
        <v>-1</v>
      </c>
      <c r="F5" s="24">
        <v>0.25840000000000002</v>
      </c>
      <c r="G5" s="25"/>
      <c r="H5" s="29">
        <v>46038</v>
      </c>
      <c r="I5">
        <v>8232.7293000000009</v>
      </c>
      <c r="J5" cm="1">
        <f t="array" ref="J5">_xll.ValuateSnowball($C$1,$B$3,$B$7,_xlfn.ANCHORARRAY($C$3),_xlfn.ANCHORARRAY($D$3),_xlfn.ANCHORARRAY($F$3),$B$13,$B$19,$B$14,$B$16,$B$17,$B$20,$B$21,$B$23+$B$31,$B$22,$B$24,$G$1,$E$1,H5+0.625,I5,$B$34,$B$35,$B$36,FALSE,"NPV")*$B$6/$B$3</f>
        <v>-29592.589264241338</v>
      </c>
      <c r="K5" cm="1">
        <f t="array" ref="K5">_xll.ValuateSnowball($C$1,$B$3,$B$7,_xlfn.ANCHORARRAY($C$3),_xlfn.ANCHORARRAY($D$3),_xlfn.ANCHORARRAY($F$3),$B$13,$B$19,$B$14,$B$16,$B$17,$B$20,$B$21,$B$23+$B$31,$B$22,$B$24,$G$1,$E$1,H5+0.625,I5,$B$34,$B$35,$B$36,FALSE,"NPV")*$B$6/$B$3*4</f>
        <v>-118370.35705696535</v>
      </c>
      <c r="L5">
        <f t="shared" si="0"/>
        <v>-88777.767792724015</v>
      </c>
    </row>
    <row r="6" spans="1:12" x14ac:dyDescent="0.3">
      <c r="A6" s="6" t="s">
        <v>7</v>
      </c>
      <c r="B6" s="12">
        <v>10000000</v>
      </c>
      <c r="C6" s="20">
        <v>46216</v>
      </c>
      <c r="D6" s="24">
        <v>0.98499999999999999</v>
      </c>
      <c r="E6" s="24">
        <v>-1</v>
      </c>
      <c r="F6" s="24">
        <v>0.25840000000000002</v>
      </c>
      <c r="G6" s="25"/>
      <c r="H6" s="29">
        <v>46041</v>
      </c>
      <c r="I6">
        <v>8265.6461999999992</v>
      </c>
      <c r="J6" cm="1">
        <f t="array" ref="J6">_xll.ValuateSnowball($C$1,$B$3,$B$7,_xlfn.ANCHORARRAY($C$3),_xlfn.ANCHORARRAY($D$3),_xlfn.ANCHORARRAY($F$3),$B$13,$B$19,$B$14,$B$16,$B$17,$B$20,$B$21,$B$23+$B$31,$B$22,$B$24,$G$1,$E$1,H6+0.625,I6,$B$34,$B$35,$B$36,FALSE,"NPV")*$B$6/$B$3</f>
        <v>8728.6085399187668</v>
      </c>
      <c r="K6" cm="1">
        <f t="array" ref="K6">_xll.ValuateSnowball($C$1,$B$3,$B$7,_xlfn.ANCHORARRAY($C$3),_xlfn.ANCHORARRAY($D$3),_xlfn.ANCHORARRAY($F$3),$B$13,$B$19,$B$14,$B$16,$B$17,$B$20,$B$21,$B$23+$B$31,$B$22,$B$24,$G$1,$E$1,H6+0.625,I6,$B$34,$B$35,$B$36,FALSE,"NPV")*$B$6/$B$3*4</f>
        <v>34914.434159675067</v>
      </c>
      <c r="L6">
        <f t="shared" si="0"/>
        <v>26185.825619756302</v>
      </c>
    </row>
    <row r="7" spans="1:12" x14ac:dyDescent="0.3">
      <c r="A7" s="6" t="s">
        <v>8</v>
      </c>
      <c r="B7" s="13">
        <v>46035.625</v>
      </c>
      <c r="C7" s="20">
        <v>46247</v>
      </c>
      <c r="D7" s="24">
        <v>0.98</v>
      </c>
      <c r="E7" s="24">
        <v>-1</v>
      </c>
      <c r="F7" s="24">
        <v>0.25840000000000002</v>
      </c>
      <c r="G7" s="25"/>
      <c r="H7" s="29">
        <v>46042</v>
      </c>
      <c r="I7">
        <v>8182.7521999999999</v>
      </c>
      <c r="J7" cm="1">
        <f t="array" ref="J7">_xll.ValuateSnowball($C$1,$B$3,$B$7,_xlfn.ANCHORARRAY($C$3),_xlfn.ANCHORARRAY($D$3),_xlfn.ANCHORARRAY($F$3),$B$13,$B$19,$B$14,$B$16,$B$17,$B$20,$B$21,$B$23+$B$31,$B$22,$B$24,$G$1,$E$1,H7+0.625,I7,$B$34,$B$35,$B$36,FALSE,"NPV")*$B$6/$B$3</f>
        <v>-63619.362120938546</v>
      </c>
      <c r="K7" cm="1">
        <f t="array" ref="K7">_xll.ValuateSnowball($C$1,$B$3,$B$7,_xlfn.ANCHORARRAY($C$3),_xlfn.ANCHORARRAY($D$3),_xlfn.ANCHORARRAY($F$3),$B$13,$B$19,$B$14,$B$16,$B$17,$B$20,$B$21,$B$23+$B$31,$B$22,$B$24,$G$1,$E$1,H7+0.625,I7,$B$34,$B$35,$B$36,FALSE,"NPV")*$B$6/$B$3*4</f>
        <v>-254477.44848375418</v>
      </c>
      <c r="L7">
        <f t="shared" si="0"/>
        <v>-190858.08636281564</v>
      </c>
    </row>
    <row r="8" spans="1:12" x14ac:dyDescent="0.3">
      <c r="A8" s="6" t="s">
        <v>9</v>
      </c>
      <c r="B8" s="10" t="s">
        <v>10</v>
      </c>
      <c r="C8" s="20">
        <v>46279</v>
      </c>
      <c r="D8" s="24">
        <v>0.97499999999999998</v>
      </c>
      <c r="E8" s="24">
        <v>-1</v>
      </c>
      <c r="F8" s="24">
        <v>0.25840000000000002</v>
      </c>
      <c r="G8" s="25"/>
      <c r="H8" s="29">
        <v>46043</v>
      </c>
      <c r="I8">
        <v>8247.6797999999999</v>
      </c>
      <c r="J8" cm="1">
        <f t="array" ref="J8">_xll.ValuateSnowball($C$1,$B$3,$B$7,_xlfn.ANCHORARRAY($C$3),_xlfn.ANCHORARRAY($D$3),_xlfn.ANCHORARRAY($F$3),$B$13,$B$19,$B$14,$B$16,$B$17,$B$20,$B$21,$B$23+$B$31,$B$22,$B$24,$G$1,$E$1,H8+0.625,I8,$B$34,$B$35,$B$36,FALSE,"NPV")*$B$6/$B$3</f>
        <v>6763.244385015726</v>
      </c>
      <c r="K8" cm="1">
        <f t="array" ref="K8">_xll.ValuateSnowball($C$1,$B$3,$B$7,_xlfn.ANCHORARRAY($C$3),_xlfn.ANCHORARRAY($D$3),_xlfn.ANCHORARRAY($F$3),$B$13,$B$19,$B$14,$B$16,$B$17,$B$20,$B$21,$B$23+$B$31,$B$22,$B$24,$G$1,$E$1,H8+0.625,I8,$B$34,$B$35,$B$36,FALSE,"NPV")*$B$6/$B$3*4</f>
        <v>27052.977540062904</v>
      </c>
      <c r="L8">
        <f t="shared" si="0"/>
        <v>20289.733155047179</v>
      </c>
    </row>
    <row r="9" spans="1:12" x14ac:dyDescent="0.3">
      <c r="A9" s="6" t="s">
        <v>11</v>
      </c>
      <c r="B9" s="10">
        <v>3</v>
      </c>
      <c r="C9" s="20">
        <v>46308</v>
      </c>
      <c r="D9" s="24">
        <v>0.97</v>
      </c>
      <c r="E9" s="24">
        <v>-1</v>
      </c>
      <c r="F9" s="24">
        <v>0.25840000000000002</v>
      </c>
      <c r="G9" s="25"/>
      <c r="H9" s="29">
        <v>46044</v>
      </c>
      <c r="I9">
        <v>8309.3456000000006</v>
      </c>
      <c r="J9" cm="1">
        <f t="array" ref="J9">_xll.ValuateSnowball($C$1,$B$3,$B$7,_xlfn.ANCHORARRAY($C$3),_xlfn.ANCHORARRAY($D$3),_xlfn.ANCHORARRAY($F$3),$B$13,$B$19,$B$14,$B$16,$B$17,$B$20,$B$21,$B$23+$B$31,$B$22,$B$24,$G$1,$E$1,H9+0.625,I9,$B$34,$B$35,$B$36,FALSE,"NPV")*$B$6/$B$3</f>
        <v>70333.384555275305</v>
      </c>
      <c r="K9" cm="1">
        <f t="array" ref="K9">_xll.ValuateSnowball($C$1,$B$3,$B$7,_xlfn.ANCHORARRAY($C$3),_xlfn.ANCHORARRAY($D$3),_xlfn.ANCHORARRAY($F$3),$B$13,$B$19,$B$14,$B$16,$B$17,$B$20,$B$21,$B$23+$B$31,$B$22,$B$24,$G$1,$E$1,H9+0.625,I9,$B$34,$B$35,$B$36,FALSE,"NPV")*$B$6/$B$3*4</f>
        <v>281333.53822110122</v>
      </c>
      <c r="L9">
        <f t="shared" si="0"/>
        <v>211000.1536658259</v>
      </c>
    </row>
    <row r="10" spans="1:12" x14ac:dyDescent="0.3">
      <c r="A10" s="6" t="s">
        <v>56</v>
      </c>
      <c r="B10" s="10" t="s">
        <v>57</v>
      </c>
      <c r="C10" s="20">
        <v>46339</v>
      </c>
      <c r="D10" s="24">
        <v>0.96499999999999997</v>
      </c>
      <c r="E10" s="24">
        <v>-1</v>
      </c>
      <c r="F10" s="24">
        <v>0.25840000000000002</v>
      </c>
      <c r="G10" s="25"/>
      <c r="H10" s="29">
        <v>46045</v>
      </c>
      <c r="I10">
        <v>8470.7438000000002</v>
      </c>
      <c r="J10" cm="1">
        <f t="array" ref="J10">_xll.ValuateSnowball($C$1,$B$3,$B$7,_xlfn.ANCHORARRAY($C$3),_xlfn.ANCHORARRAY($D$3),_xlfn.ANCHORARRAY($F$3),$B$13,$B$19,$B$14,$B$16,$B$17,$B$20,$B$21,$B$23+$B$31,$B$22,$B$24,$G$1,$E$1,H10+0.625,I10,$B$34,$B$35,$B$36,FALSE,"NPV")*$B$6/$B$3</f>
        <v>207853.87443122247</v>
      </c>
      <c r="K10" cm="1">
        <f t="array" ref="K10">_xll.ValuateSnowball($C$1,$B$3,$B$7,_xlfn.ANCHORARRAY($C$3),_xlfn.ANCHORARRAY($D$3),_xlfn.ANCHORARRAY($F$3),$B$13,$B$19,$B$14,$B$16,$B$17,$B$20,$B$21,$B$23+$B$31,$B$22,$B$24,$G$1,$E$1,H10+0.625,I10,$B$34,$B$35,$B$36,FALSE,"NPV")*$B$6/$B$3*4</f>
        <v>831415.49772488989</v>
      </c>
      <c r="L10">
        <f t="shared" si="0"/>
        <v>623561.62329366745</v>
      </c>
    </row>
    <row r="11" spans="1:12" x14ac:dyDescent="0.3">
      <c r="A11" s="6" t="s">
        <v>12</v>
      </c>
      <c r="B11" s="14">
        <v>1</v>
      </c>
      <c r="C11" s="20">
        <v>46370</v>
      </c>
      <c r="D11" s="24">
        <v>0.96</v>
      </c>
      <c r="E11" s="24">
        <v>-1</v>
      </c>
      <c r="F11" s="24">
        <v>0.25840000000000002</v>
      </c>
      <c r="G11" s="25"/>
      <c r="H11" s="29">
        <v>46048</v>
      </c>
      <c r="I11">
        <v>8365.4344999999994</v>
      </c>
      <c r="J11" cm="1">
        <f t="array" ref="J11">_xll.ValuateSnowball($C$1,$B$3,$B$7,_xlfn.ANCHORARRAY($C$3),_xlfn.ANCHORARRAY($D$3),_xlfn.ANCHORARRAY($F$3),$B$13,$B$19,$B$14,$B$16,$B$17,$B$20,$B$21,$B$23+$B$31,$B$22,$B$24,$G$1,$E$1,H11+0.625,I11,$B$34,$B$35,$B$36,FALSE,"NPV")*$B$6/$B$3</f>
        <v>132990.23350547403</v>
      </c>
      <c r="K11" cm="1">
        <f t="array" ref="K11">_xll.ValuateSnowball($C$1,$B$3,$B$7,_xlfn.ANCHORARRAY($C$3),_xlfn.ANCHORARRAY($D$3),_xlfn.ANCHORARRAY($F$3),$B$13,$B$19,$B$14,$B$16,$B$17,$B$20,$B$21,$B$23+$B$31,$B$22,$B$24,$G$1,$E$1,H11+0.625,I11,$B$34,$B$35,$B$36,FALSE,"NPV")*$B$6/$B$3*4</f>
        <v>531960.9340218961</v>
      </c>
      <c r="L11">
        <f t="shared" si="0"/>
        <v>398970.70051642205</v>
      </c>
    </row>
    <row r="12" spans="1:12" x14ac:dyDescent="0.3">
      <c r="A12" s="6" t="s">
        <v>13</v>
      </c>
      <c r="B12" s="14">
        <v>-5.0000000000000001E-3</v>
      </c>
      <c r="C12" s="20">
        <v>46400</v>
      </c>
      <c r="D12" s="24">
        <v>0.95499999999999996</v>
      </c>
      <c r="E12" s="24">
        <v>-1</v>
      </c>
      <c r="F12" s="24">
        <v>0.25840000000000002</v>
      </c>
      <c r="G12" s="25"/>
      <c r="H12" s="29">
        <v>46049</v>
      </c>
      <c r="I12">
        <v>8382.1532999999999</v>
      </c>
      <c r="J12" cm="1">
        <f t="array" ref="J12">_xll.ValuateSnowball($C$1,$B$3,$B$7,_xlfn.ANCHORARRAY($C$3),_xlfn.ANCHORARRAY($D$3),_xlfn.ANCHORARRAY($F$3),$B$13,$B$19,$B$14,$B$16,$B$17,$B$20,$B$21,$B$23+$B$31,$B$22,$B$24,$G$1,$E$1,H12+0.625,I12,$B$34,$B$35,$B$36,FALSE,"NPV")*$B$6/$B$3</f>
        <v>154004.706070229</v>
      </c>
      <c r="K12" cm="1">
        <f t="array" ref="K12">_xll.ValuateSnowball($C$1,$B$3,$B$7,_xlfn.ANCHORARRAY($C$3),_xlfn.ANCHORARRAY($D$3),_xlfn.ANCHORARRAY($F$3),$B$13,$B$19,$B$14,$B$16,$B$17,$B$20,$B$21,$B$23+$B$31,$B$22,$B$24,$G$1,$E$1,H12+0.625,I12,$B$34,$B$35,$B$36,FALSE,"NPV")*$B$6/$B$3*4</f>
        <v>616018.82428091601</v>
      </c>
      <c r="L12">
        <f t="shared" si="0"/>
        <v>462014.11821068701</v>
      </c>
    </row>
    <row r="13" spans="1:12" x14ac:dyDescent="0.3">
      <c r="A13" s="6" t="s">
        <v>14</v>
      </c>
      <c r="B13" s="14">
        <v>0</v>
      </c>
      <c r="C13" s="20">
        <v>46433</v>
      </c>
      <c r="D13" s="24">
        <v>0.95</v>
      </c>
      <c r="E13" s="24">
        <v>0.05</v>
      </c>
      <c r="F13" s="24">
        <v>0.05</v>
      </c>
      <c r="G13" s="25"/>
      <c r="H13" s="29">
        <v>46050</v>
      </c>
      <c r="I13">
        <v>8399.7937999999995</v>
      </c>
      <c r="J13" cm="1">
        <f t="array" ref="J13">_xll.ValuateSnowball($C$1,$B$3,$B$7,_xlfn.ANCHORARRAY($C$3),_xlfn.ANCHORARRAY($D$3),_xlfn.ANCHORARRAY($F$3),$B$13,$B$19,$B$14,$B$16,$B$17,$B$20,$B$21,$B$23+$B$31,$B$22,$B$24,$G$1,$E$1,H13+0.625,I13,$B$34,$B$35,$B$36,FALSE,"NPV")*$B$6/$B$3</f>
        <v>175442.50126108181</v>
      </c>
      <c r="K13" cm="1">
        <f t="array" ref="K13">_xll.ValuateSnowball($C$1,$B$3,$B$7,_xlfn.ANCHORARRAY($C$3),_xlfn.ANCHORARRAY($D$3),_xlfn.ANCHORARRAY($F$3),$B$13,$B$19,$B$14,$B$16,$B$17,$B$20,$B$21,$B$23+$B$31,$B$22,$B$24,$G$1,$E$1,H13+0.625,I13,$B$34,$B$35,$B$36,FALSE,"NPV")*$B$6/$B$3*4</f>
        <v>701770.00504432723</v>
      </c>
      <c r="L13">
        <f t="shared" si="0"/>
        <v>526327.50378324545</v>
      </c>
    </row>
    <row r="14" spans="1:12" x14ac:dyDescent="0.3">
      <c r="A14" s="6" t="s">
        <v>2</v>
      </c>
      <c r="B14" s="14">
        <v>0.65</v>
      </c>
      <c r="C14" s="20">
        <v>46461</v>
      </c>
      <c r="D14" s="24">
        <v>0.94499999999999995</v>
      </c>
      <c r="E14" s="24">
        <v>0.05</v>
      </c>
      <c r="F14" s="24">
        <v>0.05</v>
      </c>
      <c r="G14" s="25"/>
      <c r="H14" s="29">
        <v>46051</v>
      </c>
      <c r="I14">
        <v>8332.2067000000006</v>
      </c>
      <c r="J14" cm="1">
        <f t="array" ref="J14">_xll.ValuateSnowball($C$1,$B$3,$B$7,_xlfn.ANCHORARRAY($C$3),_xlfn.ANCHORARRAY($D$3),_xlfn.ANCHORARRAY($F$3),$B$13,$B$19,$B$14,$B$16,$B$17,$B$20,$B$21,$B$23+$B$31,$B$22,$B$24,$G$1,$E$1,H14+0.625,I14,$B$34,$B$35,$B$36,FALSE,"NPV")*$B$6/$B$3</f>
        <v>127440.52155484306</v>
      </c>
      <c r="K14" cm="1">
        <f t="array" ref="K14">_xll.ValuateSnowball($C$1,$B$3,$B$7,_xlfn.ANCHORARRAY($C$3),_xlfn.ANCHORARRAY($D$3),_xlfn.ANCHORARRAY($F$3),$B$13,$B$19,$B$14,$B$16,$B$17,$B$20,$B$21,$B$23+$B$31,$B$22,$B$24,$G$1,$E$1,H14+0.625,I14,$B$34,$B$35,$B$36,FALSE,"NPV")*$B$6/$B$3*4</f>
        <v>509762.08621937223</v>
      </c>
      <c r="L14">
        <f t="shared" si="0"/>
        <v>382321.56466452917</v>
      </c>
    </row>
    <row r="15" spans="1:12" x14ac:dyDescent="0.3">
      <c r="A15" s="6" t="s">
        <v>15</v>
      </c>
      <c r="B15" s="11" t="s">
        <v>31</v>
      </c>
      <c r="C15" s="20">
        <v>46490</v>
      </c>
      <c r="D15" s="24">
        <v>0.94</v>
      </c>
      <c r="E15" s="24">
        <v>0.05</v>
      </c>
      <c r="F15" s="24">
        <v>0.05</v>
      </c>
      <c r="G15" s="25"/>
      <c r="H15" s="29">
        <v>46052</v>
      </c>
      <c r="I15">
        <v>8254.8603000000003</v>
      </c>
      <c r="J15" cm="1">
        <f t="array" ref="J15">_xll.ValuateSnowball($C$1,$B$3,$B$7,_xlfn.ANCHORARRAY($C$3),_xlfn.ANCHORARRAY($D$3),_xlfn.ANCHORARRAY($F$3),$B$13,$B$19,$B$14,$B$16,$B$17,$B$20,$B$21,$B$23+$B$31,$B$22,$B$24,$G$1,$E$1,H15+0.625,I15,$B$34,$B$35,$B$36,FALSE,"NPV")*$B$6/$B$3</f>
        <v>66398.75234178071</v>
      </c>
      <c r="K15" cm="1">
        <f t="array" ref="K15">_xll.ValuateSnowball($C$1,$B$3,$B$7,_xlfn.ANCHORARRAY($C$3),_xlfn.ANCHORARRAY($D$3),_xlfn.ANCHORARRAY($F$3),$B$13,$B$19,$B$14,$B$16,$B$17,$B$20,$B$21,$B$23+$B$31,$B$22,$B$24,$G$1,$E$1,H15+0.625,I15,$B$34,$B$35,$B$36,FALSE,"NPV")*$B$6/$B$3*4</f>
        <v>265595.00936712284</v>
      </c>
      <c r="L15">
        <f t="shared" si="0"/>
        <v>199196.25702534214</v>
      </c>
    </row>
    <row r="16" spans="1:12" x14ac:dyDescent="0.3">
      <c r="A16" s="6" t="s">
        <v>17</v>
      </c>
      <c r="B16" s="14">
        <v>1</v>
      </c>
      <c r="C16" s="20">
        <v>46520</v>
      </c>
      <c r="D16" s="24">
        <v>0.93500000000000005</v>
      </c>
      <c r="E16" s="24">
        <v>0.05</v>
      </c>
      <c r="F16" s="24">
        <v>0.05</v>
      </c>
      <c r="G16" s="25"/>
      <c r="H16" s="29">
        <v>46055</v>
      </c>
      <c r="I16">
        <v>7975.4282999999996</v>
      </c>
      <c r="J16" cm="1">
        <f t="array" ref="J16">_xll.ValuateSnowball($C$1,$B$3,$B$7,_xlfn.ANCHORARRAY($C$3),_xlfn.ANCHORARRAY($D$3),_xlfn.ANCHORARRAY($F$3),$B$13,$B$19,$B$14,$B$16,$B$17,$B$20,$B$21,$B$23+$B$31,$B$22,$B$24,$G$1,$E$1,H16+0.625,I16,$B$34,$B$35,$B$36,FALSE,"NPV")*$B$6/$B$3</f>
        <v>-221416.07674666223</v>
      </c>
      <c r="K16" cm="1">
        <f t="array" ref="K16">_xll.ValuateSnowball($C$1,$B$3,$B$7,_xlfn.ANCHORARRAY($C$3),_xlfn.ANCHORARRAY($D$3),_xlfn.ANCHORARRAY($F$3),$B$13,$B$19,$B$14,$B$16,$B$17,$B$20,$B$21,$B$23+$B$31,$B$22,$B$24,$G$1,$E$1,H16+0.625,I16,$B$34,$B$35,$B$36,FALSE,"NPV")*$B$6/$B$3*4</f>
        <v>-885664.30698664894</v>
      </c>
      <c r="L16">
        <f t="shared" si="0"/>
        <v>-664248.23023998667</v>
      </c>
    </row>
    <row r="17" spans="1:12" x14ac:dyDescent="0.3">
      <c r="A17" s="6" t="s">
        <v>18</v>
      </c>
      <c r="B17" s="14">
        <v>1</v>
      </c>
      <c r="C17" s="20">
        <v>46552</v>
      </c>
      <c r="D17" s="24">
        <v>0.92999999999999994</v>
      </c>
      <c r="E17" s="24">
        <v>0.05</v>
      </c>
      <c r="F17" s="24">
        <v>0.05</v>
      </c>
      <c r="G17" s="25"/>
      <c r="H17" s="29">
        <v>46056</v>
      </c>
      <c r="I17">
        <v>8209.1010000000006</v>
      </c>
      <c r="J17" cm="1">
        <f t="array" ref="J17">_xll.ValuateSnowball($C$1,$B$3,$B$7,_xlfn.ANCHORARRAY($C$3),_xlfn.ANCHORARRAY($D$3),_xlfn.ANCHORARRAY($F$3),$B$13,$B$19,$B$14,$B$16,$B$17,$B$20,$B$21,$B$23+$B$31,$B$22,$B$24,$G$1,$E$1,H17+0.625,I17,$B$34,$B$35,$B$36,FALSE,"NPV")*$B$6/$B$3</f>
        <v>38673.771168300016</v>
      </c>
      <c r="K17" cm="1">
        <f t="array" ref="K17">_xll.ValuateSnowball($C$1,$B$3,$B$7,_xlfn.ANCHORARRAY($C$3),_xlfn.ANCHORARRAY($D$3),_xlfn.ANCHORARRAY($F$3),$B$13,$B$19,$B$14,$B$16,$B$17,$B$20,$B$21,$B$23+$B$31,$B$22,$B$24,$G$1,$E$1,H17+0.625,I17,$B$34,$B$35,$B$36,FALSE,"NPV")*$B$6/$B$3*4</f>
        <v>154695.08467320006</v>
      </c>
      <c r="L17">
        <f t="shared" si="0"/>
        <v>116021.31350490006</v>
      </c>
    </row>
    <row r="18" spans="1:12" x14ac:dyDescent="0.3">
      <c r="A18" s="6" t="s">
        <v>58</v>
      </c>
      <c r="B18" s="14">
        <v>0.05</v>
      </c>
      <c r="C18" s="20">
        <v>46581</v>
      </c>
      <c r="D18" s="24">
        <v>0.92500000000000004</v>
      </c>
      <c r="E18" s="24">
        <v>0.05</v>
      </c>
      <c r="F18" s="24">
        <v>0.05</v>
      </c>
      <c r="G18" s="25"/>
      <c r="H18" s="29">
        <v>46057</v>
      </c>
      <c r="I18">
        <v>8207.1203000000005</v>
      </c>
      <c r="J18" cm="1">
        <f t="array" ref="J18">_xll.ValuateSnowball($C$1,$B$3,$B$7,_xlfn.ANCHORARRAY($C$3),_xlfn.ANCHORARRAY($D$3),_xlfn.ANCHORARRAY($F$3),$B$13,$B$19,$B$14,$B$16,$B$17,$B$20,$B$21,$B$23+$B$31,$B$22,$B$24,$G$1,$E$1,H18+0.625,I18,$B$34,$B$35,$B$36,FALSE,"NPV")*$B$6/$B$3</f>
        <v>44612.547807807896</v>
      </c>
      <c r="K18" cm="1">
        <f t="array" ref="K18">_xll.ValuateSnowball($C$1,$B$3,$B$7,_xlfn.ANCHORARRAY($C$3),_xlfn.ANCHORARRAY($D$3),_xlfn.ANCHORARRAY($F$3),$B$13,$B$19,$B$14,$B$16,$B$17,$B$20,$B$21,$B$23+$B$31,$B$22,$B$24,$G$1,$E$1,H18+0.625,I18,$B$34,$B$35,$B$36,FALSE,"NPV")*$B$6/$B$3*4</f>
        <v>178450.19123123158</v>
      </c>
      <c r="L18">
        <f t="shared" si="0"/>
        <v>133837.64342342369</v>
      </c>
    </row>
    <row r="19" spans="1:12" x14ac:dyDescent="0.3">
      <c r="A19" s="6" t="s">
        <v>19</v>
      </c>
      <c r="B19" s="14">
        <v>0.05</v>
      </c>
      <c r="C19" s="20">
        <v>46612</v>
      </c>
      <c r="D19" s="24">
        <v>0.92</v>
      </c>
      <c r="E19" s="24">
        <v>0.05</v>
      </c>
      <c r="F19" s="24">
        <v>0.05</v>
      </c>
      <c r="G19" s="25"/>
      <c r="H19" s="29">
        <v>46058</v>
      </c>
      <c r="I19">
        <v>8068.0766999999996</v>
      </c>
      <c r="J19" cm="1">
        <f t="array" ref="J19">_xll.ValuateSnowball($C$1,$B$3,$B$7,_xlfn.ANCHORARRAY($C$3),_xlfn.ANCHORARRAY($D$3),_xlfn.ANCHORARRAY($F$3),$B$13,$B$19,$B$14,$B$16,$B$17,$B$20,$B$21,$B$23+$B$31,$B$22,$B$24,$G$1,$E$1,H19+0.625,I19,$B$34,$B$35,$B$36,FALSE,"NPV")*$B$6/$B$3</f>
        <v>-91570.406564988167</v>
      </c>
      <c r="K19" cm="1">
        <f t="array" ref="K19">_xll.ValuateSnowball($C$1,$B$3,$B$7,_xlfn.ANCHORARRAY($C$3),_xlfn.ANCHORARRAY($D$3),_xlfn.ANCHORARRAY($F$3),$B$13,$B$19,$B$14,$B$16,$B$17,$B$20,$B$21,$B$23+$B$31,$B$22,$B$24,$G$1,$E$1,H19+0.625,I19,$B$34,$B$35,$B$36,FALSE,"NPV")*$B$6/$B$3*4</f>
        <v>-366281.62625995267</v>
      </c>
      <c r="L19">
        <f t="shared" si="0"/>
        <v>-274711.21969496447</v>
      </c>
    </row>
    <row r="20" spans="1:12" x14ac:dyDescent="0.3">
      <c r="A20" s="6" t="s">
        <v>20</v>
      </c>
      <c r="B20" s="14">
        <v>0.25</v>
      </c>
      <c r="C20" s="20">
        <v>46643</v>
      </c>
      <c r="D20" s="24">
        <v>0.91500000000000004</v>
      </c>
      <c r="E20" s="24">
        <v>0.05</v>
      </c>
      <c r="F20" s="24">
        <v>0.05</v>
      </c>
      <c r="G20" s="25"/>
      <c r="H20" s="29">
        <v>46059</v>
      </c>
      <c r="I20">
        <v>8051.5742</v>
      </c>
      <c r="J20" cm="1">
        <f t="array" ref="J20">_xll.ValuateSnowball($C$1,$B$3,$B$7,_xlfn.ANCHORARRAY($C$3),_xlfn.ANCHORARRAY($D$3),_xlfn.ANCHORARRAY($F$3),$B$13,$B$19,$B$14,$B$16,$B$17,$B$20,$B$21,$B$23+$B$31,$B$22,$B$24,$G$1,$E$1,H20+0.625,I20,$B$34,$B$35,$B$36,FALSE,"NPV")*$B$6/$B$3</f>
        <v>-101975.48379898764</v>
      </c>
      <c r="K20" cm="1">
        <f t="array" ref="K20">_xll.ValuateSnowball($C$1,$B$3,$B$7,_xlfn.ANCHORARRAY($C$3),_xlfn.ANCHORARRAY($D$3),_xlfn.ANCHORARRAY($F$3),$B$13,$B$19,$B$14,$B$16,$B$17,$B$20,$B$21,$B$23+$B$31,$B$22,$B$24,$G$1,$E$1,H20+0.625,I20,$B$34,$B$35,$B$36,FALSE,"NPV")*$B$6/$B$3*4</f>
        <v>-407901.93519595056</v>
      </c>
      <c r="L20">
        <f t="shared" si="0"/>
        <v>-305926.45139696292</v>
      </c>
    </row>
    <row r="21" spans="1:12" x14ac:dyDescent="0.3">
      <c r="A21" s="6" t="s">
        <v>21</v>
      </c>
      <c r="B21" s="14">
        <v>1</v>
      </c>
      <c r="C21" s="20">
        <v>46673</v>
      </c>
      <c r="D21" s="24">
        <v>0.91</v>
      </c>
      <c r="E21" s="24">
        <v>0.05</v>
      </c>
      <c r="F21" s="24">
        <v>0.05</v>
      </c>
      <c r="G21" s="25"/>
      <c r="H21" s="43">
        <v>46062</v>
      </c>
      <c r="I21">
        <v>8233.7782999999999</v>
      </c>
      <c r="J21" cm="1">
        <f t="array" ref="J21">_xll.ValuateSnowball($C$1,$B$3,$B$7,_xlfn.ANCHORARRAY($C$3),_xlfn.ANCHORARRAY($D$3),_xlfn.ANCHORARRAY($F$3),$B$13,$B$19,$B$14,$B$16,$B$17,$B$20,$B$21,$B$23+$B$31,$B$22,$B$24,$G$1,$E$1,H21+0.625,I21,$B$34,$B$35,$B$36,FALSE,"NPV")*$B$6/$B$3</f>
        <v>93827.047999806222</v>
      </c>
      <c r="K21" cm="1">
        <f t="array" ref="K21">_xll.ValuateSnowball($C$1,$B$3,$B$7,_xlfn.ANCHORARRAY($C$3),_xlfn.ANCHORARRAY($D$3),_xlfn.ANCHORARRAY($F$3),$B$13,$B$19,$B$14,$B$16,$B$17,$B$20,$B$21,$B$23+$B$31,$B$22,$B$24,$G$1,$E$1,H21+0.625,I21,$B$34,$B$35,$B$36,FALSE,"NPV")*$B$6/$B$3*4</f>
        <v>375308.19199922489</v>
      </c>
      <c r="L21">
        <f t="shared" si="0"/>
        <v>281481.14399941865</v>
      </c>
    </row>
    <row r="22" spans="1:12" x14ac:dyDescent="0.3">
      <c r="A22" s="6" t="s">
        <v>22</v>
      </c>
      <c r="B22" s="14">
        <v>0</v>
      </c>
      <c r="C22" s="20">
        <v>46706</v>
      </c>
      <c r="D22" s="24">
        <v>0.90500000000000003</v>
      </c>
      <c r="E22" s="24">
        <v>0.05</v>
      </c>
      <c r="F22" s="24">
        <v>0.05</v>
      </c>
      <c r="G22" s="25"/>
      <c r="H22" s="43">
        <v>46063</v>
      </c>
      <c r="I22">
        <v>9000</v>
      </c>
      <c r="J22" cm="1">
        <f t="array" ref="J22">_xll.ValuateSnowball($C$1,$B$3,$B$7,_xlfn.ANCHORARRAY($C$3),_xlfn.ANCHORARRAY($D$3),_xlfn.ANCHORARRAY($F$3),$B$13,$B$19,$B$14,$B$16,$B$17,$B$20,$B$21,$B$23+$B$31,$B$22,$B$24,$G$1,$E$1,H22+0.625,I22,$B$34,$B$35,$B$36,FALSE,"NPV")*$B$6/$B$3</f>
        <v>537792.86899918003</v>
      </c>
      <c r="K22" cm="1">
        <f t="array" ref="K22">_xll.ValuateSnowball($C$1,$B$3,$B$7,_xlfn.ANCHORARRAY($C$3),_xlfn.ANCHORARRAY($D$3),_xlfn.ANCHORARRAY($F$3),$B$13,$B$19,$B$14,$B$16,$B$17,$B$20,$B$21,$B$23+$B$31,$B$22,$B$24,$G$1,$E$1,H22+0.625,I22,$B$34,$B$35,$B$36,FALSE,"NPV")*$B$6/$B$3*4</f>
        <v>2151171.4759967201</v>
      </c>
    </row>
    <row r="23" spans="1:12" x14ac:dyDescent="0.3">
      <c r="A23" s="6" t="s">
        <v>23</v>
      </c>
      <c r="B23" s="14">
        <v>0</v>
      </c>
      <c r="C23" s="20">
        <v>46734</v>
      </c>
      <c r="D23" s="24">
        <v>0.9</v>
      </c>
      <c r="E23" s="24">
        <v>0.05</v>
      </c>
      <c r="F23" s="24">
        <v>0.05</v>
      </c>
      <c r="G23" s="25"/>
      <c r="H23" s="43">
        <v>46064</v>
      </c>
      <c r="I23">
        <v>9000</v>
      </c>
      <c r="J23" cm="1">
        <f t="array" ref="J23">_xll.ValuateSnowball($C$1,$B$3,$B$7,_xlfn.ANCHORARRAY($C$3),_xlfn.ANCHORARRAY($D$3),_xlfn.ANCHORARRAY($F$3),$B$13,$B$19,$B$14,$B$16,$B$17,$B$20,$B$21,$B$23+$B$31,$B$22,$B$24,$G$1,$E$1,H23+0.625,I23,$B$34,$B$35,$B$36,FALSE,"NPV")*$B$6/$B$3</f>
        <v>542277.50159554032</v>
      </c>
      <c r="K23" cm="1">
        <f t="array" ref="K23">_xll.ValuateSnowball($C$1,$B$3,$B$7,_xlfn.ANCHORARRAY($C$3),_xlfn.ANCHORARRAY($D$3),_xlfn.ANCHORARRAY($F$3),$B$13,$B$19,$B$14,$B$16,$B$17,$B$20,$B$21,$B$23+$B$31,$B$22,$B$24,$G$1,$E$1,H23+0.625,I23,$B$34,$B$35,$B$36,FALSE,"NPV")*$B$6/$B$3*4</f>
        <v>2169110.0063821613</v>
      </c>
    </row>
    <row r="24" spans="1:12" x14ac:dyDescent="0.3">
      <c r="A24" s="6" t="s">
        <v>24</v>
      </c>
      <c r="B24" s="10">
        <v>0</v>
      </c>
      <c r="C24" s="20">
        <v>46765</v>
      </c>
      <c r="D24" s="24">
        <v>0.89500000000000002</v>
      </c>
      <c r="E24" s="24">
        <v>0.05</v>
      </c>
      <c r="F24" s="24">
        <v>0.05</v>
      </c>
      <c r="G24" s="25"/>
      <c r="H24" s="43">
        <v>46065</v>
      </c>
      <c r="I24">
        <v>9000</v>
      </c>
      <c r="J24" cm="1">
        <f t="array" ref="J24">_xll.ValuateSnowball($C$1,$B$3,$B$7,_xlfn.ANCHORARRAY($C$3),_xlfn.ANCHORARRAY($D$3),_xlfn.ANCHORARRAY($F$3),$B$13,$B$19,$B$14,$B$16,$B$17,$B$20,$B$21,$B$23+$B$31,$B$22,$B$24,$G$1,$E$1,H24+0.625,I24,$B$34,$B$35,$B$36,FALSE,"NPV")*$B$6/$B$3</f>
        <v>546729.70497894078</v>
      </c>
      <c r="K24" cm="1">
        <f t="array" ref="K24">_xll.ValuateSnowball($C$1,$B$3,$B$7,_xlfn.ANCHORARRAY($C$3),_xlfn.ANCHORARRAY($D$3),_xlfn.ANCHORARRAY($F$3),$B$13,$B$19,$B$14,$B$16,$B$17,$B$20,$B$21,$B$23+$B$31,$B$22,$B$24,$G$1,$E$1,H24+0.625,I24,$B$34,$B$35,$B$36,FALSE,"NPV")*$B$6/$B$3*4</f>
        <v>2186918.8199157631</v>
      </c>
    </row>
    <row r="25" spans="1:12" x14ac:dyDescent="0.3">
      <c r="A25" s="6" t="s">
        <v>25</v>
      </c>
      <c r="B25" s="11" t="s">
        <v>32</v>
      </c>
      <c r="C25" s="20"/>
      <c r="D25" s="24"/>
      <c r="E25" s="24"/>
      <c r="F25" s="24"/>
      <c r="G25" s="25"/>
      <c r="H25" s="43">
        <v>46066</v>
      </c>
      <c r="I25">
        <v>9000</v>
      </c>
      <c r="J25" cm="1">
        <f t="array" ref="J25">_xll.ValuateSnowball($C$1,$B$3,$B$7,_xlfn.ANCHORARRAY($C$3),_xlfn.ANCHORARRAY($D$3),_xlfn.ANCHORARRAY($F$3),$B$13,$B$19,$B$14,$B$16,$B$17,$B$20,$B$21,$B$23+$B$31,$B$22,$B$24,$G$1,$E$1,H25+0.625,I25,$B$34,$B$35,$B$36,FALSE,"NPV")*$B$6/$B$3</f>
        <v>551148.54466508597</v>
      </c>
      <c r="K25" cm="1">
        <f t="array" ref="K25">_xll.ValuateSnowball($C$1,$B$3,$B$7,_xlfn.ANCHORARRAY($C$3),_xlfn.ANCHORARRAY($D$3),_xlfn.ANCHORARRAY($F$3),$B$13,$B$19,$B$14,$B$16,$B$17,$B$20,$B$21,$B$23+$B$31,$B$22,$B$24,$G$1,$E$1,H25+0.625,I25,$B$34,$B$35,$B$36,FALSE,"NPV")*$B$6/$B$3*4</f>
        <v>2204594.1786603439</v>
      </c>
    </row>
    <row r="26" spans="1:12" x14ac:dyDescent="0.3">
      <c r="A26" s="6" t="s">
        <v>27</v>
      </c>
      <c r="B26" s="14">
        <v>0</v>
      </c>
      <c r="C26" s="20"/>
      <c r="D26" s="24"/>
      <c r="E26" s="24"/>
      <c r="F26" s="24"/>
      <c r="G26" s="25"/>
      <c r="H26" s="43">
        <v>46077</v>
      </c>
      <c r="I26">
        <v>9000</v>
      </c>
      <c r="J26" cm="1">
        <f t="array" ref="J26">_xll.ValuateSnowball($C$1,$B$3,$B$7,_xlfn.ANCHORARRAY($C$3),_xlfn.ANCHORARRAY($D$3),_xlfn.ANCHORARRAY($F$3),$B$13,$B$19,$B$14,$B$16,$B$17,$B$20,$B$21,$B$23+$B$31,$B$22,$B$24,$G$1,$E$1,H26+0.625,I26,$B$34,$B$35,$B$36,FALSE,"NPV")*$B$6/$B$3</f>
        <v>555531.43687107041</v>
      </c>
      <c r="K26" cm="1">
        <f t="array" ref="K26">_xll.ValuateSnowball($C$1,$B$3,$B$7,_xlfn.ANCHORARRAY($C$3),_xlfn.ANCHORARRAY($D$3),_xlfn.ANCHORARRAY($F$3),$B$13,$B$19,$B$14,$B$16,$B$17,$B$20,$B$21,$B$23+$B$31,$B$22,$B$24,$G$1,$E$1,H26+0.625,I26,$B$34,$B$35,$B$36,FALSE,"NPV")*$B$6/$B$3*4</f>
        <v>2222125.7474842817</v>
      </c>
    </row>
    <row r="27" spans="1:12" x14ac:dyDescent="0.3">
      <c r="A27" s="6" t="s">
        <v>28</v>
      </c>
      <c r="B27" s="14" t="s">
        <v>29</v>
      </c>
      <c r="C27" s="20"/>
      <c r="D27" s="24"/>
      <c r="E27" s="24"/>
      <c r="F27" s="24"/>
      <c r="G27" s="25"/>
      <c r="H27" s="43">
        <v>46078</v>
      </c>
      <c r="I27">
        <v>9000</v>
      </c>
      <c r="J27" cm="1">
        <f t="array" ref="J27">_xll.ValuateSnowball($C$1,$B$3,$B$7,_xlfn.ANCHORARRAY($C$3),_xlfn.ANCHORARRAY($D$3),_xlfn.ANCHORARRAY($F$3),$B$13,$B$19,$B$14,$B$16,$B$17,$B$20,$B$21,$B$23+$B$31,$B$22,$B$24,$G$1,$E$1,H27+0.625,I27,$B$34,$B$35,$B$36,FALSE,"NPV")*$B$6/$B$3</f>
        <v>559876.33361853368</v>
      </c>
      <c r="K27" cm="1">
        <f t="array" ref="K27">_xll.ValuateSnowball($C$1,$B$3,$B$7,_xlfn.ANCHORARRAY($C$3),_xlfn.ANCHORARRAY($D$3),_xlfn.ANCHORARRAY($F$3),$B$13,$B$19,$B$14,$B$16,$B$17,$B$20,$B$21,$B$23+$B$31,$B$22,$B$24,$G$1,$E$1,H27+0.625,I27,$B$34,$B$35,$B$36,FALSE,"NPV")*$B$6/$B$3*4</f>
        <v>2239505.3344741347</v>
      </c>
    </row>
    <row r="28" spans="1:12" x14ac:dyDescent="0.3">
      <c r="A28" s="7"/>
      <c r="B28" s="14"/>
      <c r="C28" s="20"/>
      <c r="D28" s="24"/>
      <c r="E28" s="24"/>
      <c r="F28" s="24"/>
      <c r="G28" s="25"/>
      <c r="H28" s="43">
        <v>46079</v>
      </c>
      <c r="I28">
        <v>9000</v>
      </c>
      <c r="J28" cm="1">
        <f t="array" ref="J28">_xll.ValuateSnowball($C$1,$B$3,$B$7,_xlfn.ANCHORARRAY($C$3),_xlfn.ANCHORARRAY($D$3),_xlfn.ANCHORARRAY($F$3),$B$13,$B$19,$B$14,$B$16,$B$17,$B$20,$B$21,$B$23+$B$31,$B$22,$B$24,$G$1,$E$1,H28+0.625,I28,$B$34,$B$35,$B$36,FALSE,"NPV")*$B$6/$B$3</f>
        <v>564181.67175275227</v>
      </c>
      <c r="K28" cm="1">
        <f t="array" ref="K28">_xll.ValuateSnowball($C$1,$B$3,$B$7,_xlfn.ANCHORARRAY($C$3),_xlfn.ANCHORARRAY($D$3),_xlfn.ANCHORARRAY($F$3),$B$13,$B$19,$B$14,$B$16,$B$17,$B$20,$B$21,$B$23+$B$31,$B$22,$B$24,$G$1,$E$1,H28+0.625,I28,$B$34,$B$35,$B$36,FALSE,"NPV")*$B$6/$B$3*4</f>
        <v>2256726.6870110091</v>
      </c>
    </row>
    <row r="29" spans="1:12" x14ac:dyDescent="0.3">
      <c r="A29" s="6" t="s">
        <v>59</v>
      </c>
      <c r="B29" s="15">
        <v>0.25840000000000002</v>
      </c>
      <c r="C29" s="20"/>
      <c r="D29" s="24"/>
      <c r="E29" s="24"/>
      <c r="F29" s="24"/>
      <c r="G29" s="25"/>
      <c r="H29" s="43">
        <v>46080</v>
      </c>
      <c r="I29">
        <v>9000</v>
      </c>
      <c r="J29" cm="1">
        <f t="array" ref="J29">_xll.ValuateSnowball($C$1,$B$3,$B$7,_xlfn.ANCHORARRAY($C$3),_xlfn.ANCHORARRAY($D$3),_xlfn.ANCHORARRAY($F$3),$B$13,$B$19,$B$14,$B$16,$B$17,$B$20,$B$21,$B$23+$B$31,$B$22,$B$24,$G$1,$E$1,H29+0.625,I29,$B$34,$B$35,$B$36,FALSE,"NPV")*$B$6/$B$3</f>
        <v>568443.09043147485</v>
      </c>
      <c r="K29" cm="1">
        <f t="array" ref="K29">_xll.ValuateSnowball($C$1,$B$3,$B$7,_xlfn.ANCHORARRAY($C$3),_xlfn.ANCHORARRAY($D$3),_xlfn.ANCHORARRAY($F$3),$B$13,$B$19,$B$14,$B$16,$B$17,$B$20,$B$21,$B$23+$B$31,$B$22,$B$24,$G$1,$E$1,H29+0.625,I29,$B$34,$B$35,$B$36,FALSE,"NPV")*$B$6/$B$3*4</f>
        <v>2273772.3617258994</v>
      </c>
    </row>
    <row r="30" spans="1:12" x14ac:dyDescent="0.3">
      <c r="A30" s="7"/>
      <c r="B30" s="14"/>
      <c r="C30" s="20"/>
      <c r="D30" s="24"/>
      <c r="E30" s="24"/>
      <c r="F30" s="24"/>
      <c r="G30" s="25"/>
      <c r="H30" s="43">
        <v>46083</v>
      </c>
      <c r="I30">
        <v>9000</v>
      </c>
      <c r="J30" cm="1">
        <f t="array" ref="J30">_xll.ValuateSnowball($C$1,$B$3,$B$7,_xlfn.ANCHORARRAY($C$3),_xlfn.ANCHORARRAY($D$3),_xlfn.ANCHORARRAY($F$3),$B$13,$B$19,$B$14,$B$16,$B$17,$B$20,$B$21,$B$23+$B$31,$B$22,$B$24,$G$1,$E$1,H30+0.625,I30,$B$34,$B$35,$B$36,FALSE,"NPV")*$B$6/$B$3</f>
        <v>572656.84263844148</v>
      </c>
      <c r="K30" cm="1">
        <f t="array" ref="K30">_xll.ValuateSnowball($C$1,$B$3,$B$7,_xlfn.ANCHORARRAY($C$3),_xlfn.ANCHORARRAY($D$3),_xlfn.ANCHORARRAY($F$3),$B$13,$B$19,$B$14,$B$16,$B$17,$B$20,$B$21,$B$23+$B$31,$B$22,$B$24,$G$1,$E$1,H30+0.625,I30,$B$34,$B$35,$B$36,FALSE,"NPV")*$B$6/$B$3*4</f>
        <v>2290627.3705537659</v>
      </c>
    </row>
    <row r="31" spans="1:12" x14ac:dyDescent="0.3">
      <c r="A31" s="6" t="s">
        <v>34</v>
      </c>
      <c r="B31" s="14">
        <v>0</v>
      </c>
      <c r="C31" s="20"/>
      <c r="D31" s="24"/>
      <c r="E31" s="24"/>
      <c r="F31" s="24"/>
      <c r="G31" s="25"/>
      <c r="H31" s="43">
        <v>46084</v>
      </c>
      <c r="I31">
        <v>9000</v>
      </c>
      <c r="J31" cm="1">
        <f t="array" ref="J31">_xll.ValuateSnowball($C$1,$B$3,$B$7,_xlfn.ANCHORARRAY($C$3),_xlfn.ANCHORARRAY($D$3),_xlfn.ANCHORARRAY($F$3),$B$13,$B$19,$B$14,$B$16,$B$17,$B$20,$B$21,$B$23+$B$31,$B$22,$B$24,$G$1,$E$1,H31+0.625,I31,$B$34,$B$35,$B$36,FALSE,"NPV")*$B$6/$B$3</f>
        <v>576823.09307475772</v>
      </c>
      <c r="K31" cm="1">
        <f t="array" ref="K31">_xll.ValuateSnowball($C$1,$B$3,$B$7,_xlfn.ANCHORARRAY($C$3),_xlfn.ANCHORARRAY($D$3),_xlfn.ANCHORARRAY($F$3),$B$13,$B$19,$B$14,$B$16,$B$17,$B$20,$B$21,$B$23+$B$31,$B$22,$B$24,$G$1,$E$1,H31+0.625,I31,$B$34,$B$35,$B$36,FALSE,"NPV")*$B$6/$B$3*4</f>
        <v>2307292.3722990309</v>
      </c>
    </row>
    <row r="32" spans="1:12" x14ac:dyDescent="0.3">
      <c r="A32" s="6" t="s">
        <v>35</v>
      </c>
      <c r="B32" s="14" t="s">
        <v>36</v>
      </c>
      <c r="C32" s="20"/>
      <c r="D32" s="24"/>
      <c r="E32" s="24"/>
      <c r="F32" s="24"/>
      <c r="G32" s="25"/>
      <c r="H32" s="43">
        <v>46085</v>
      </c>
      <c r="I32">
        <v>9000</v>
      </c>
      <c r="J32" cm="1">
        <f t="array" ref="J32">_xll.ValuateSnowball($C$1,$B$3,$B$7,_xlfn.ANCHORARRAY($C$3),_xlfn.ANCHORARRAY($D$3),_xlfn.ANCHORARRAY($F$3),$B$13,$B$19,$B$14,$B$16,$B$17,$B$20,$B$21,$B$23+$B$31,$B$22,$B$24,$G$1,$E$1,H32+0.625,I32,$B$34,$B$35,$B$36,FALSE,"NPV")*$B$6/$B$3</f>
        <v>580935.78358410252</v>
      </c>
      <c r="K32" cm="1">
        <f t="array" ref="K32">_xll.ValuateSnowball($C$1,$B$3,$B$7,_xlfn.ANCHORARRAY($C$3),_xlfn.ANCHORARRAY($D$3),_xlfn.ANCHORARRAY($F$3),$B$13,$B$19,$B$14,$B$16,$B$17,$B$20,$B$21,$B$23+$B$31,$B$22,$B$24,$G$1,$E$1,H32+0.625,I32,$B$34,$B$35,$B$36,FALSE,"NPV")*$B$6/$B$3*4</f>
        <v>2323743.1343364101</v>
      </c>
    </row>
    <row r="33" spans="1:11" x14ac:dyDescent="0.3">
      <c r="A33" s="7"/>
      <c r="B33" s="14"/>
      <c r="C33" s="20"/>
      <c r="D33" s="24"/>
      <c r="E33" s="24"/>
      <c r="F33" s="24"/>
      <c r="G33" s="25"/>
      <c r="H33" s="43">
        <v>46086</v>
      </c>
      <c r="I33">
        <v>9000</v>
      </c>
      <c r="J33" cm="1">
        <f t="array" ref="J33">_xll.ValuateSnowball($C$1,$B$3,$B$7,_xlfn.ANCHORARRAY($C$3),_xlfn.ANCHORARRAY($D$3),_xlfn.ANCHORARRAY($F$3),$B$13,$B$19,$B$14,$B$16,$B$17,$B$20,$B$21,$B$23+$B$31,$B$22,$B$24,$G$1,$E$1,H33+0.625,I33,$B$34,$B$35,$B$36,FALSE,"NPV")*$B$6/$B$3</f>
        <v>584991.54683132819</v>
      </c>
      <c r="K33" cm="1">
        <f t="array" ref="K33">_xll.ValuateSnowball($C$1,$B$3,$B$7,_xlfn.ANCHORARRAY($C$3),_xlfn.ANCHORARRAY($D$3),_xlfn.ANCHORARRAY($F$3),$B$13,$B$19,$B$14,$B$16,$B$17,$B$20,$B$21,$B$23+$B$31,$B$22,$B$24,$G$1,$E$1,H33+0.625,I33,$B$34,$B$35,$B$36,FALSE,"NPV")*$B$6/$B$3*4</f>
        <v>2339966.1873253128</v>
      </c>
    </row>
    <row r="34" spans="1:11" x14ac:dyDescent="0.3">
      <c r="A34" s="6" t="s">
        <v>37</v>
      </c>
      <c r="B34" s="16">
        <v>2.1000000000000001E-2</v>
      </c>
      <c r="C34" s="20"/>
      <c r="D34" s="24"/>
      <c r="E34" s="24"/>
      <c r="F34" s="24"/>
      <c r="G34" s="25"/>
      <c r="H34" s="43">
        <v>46087</v>
      </c>
      <c r="I34">
        <v>9000</v>
      </c>
      <c r="J34" cm="1">
        <f t="array" ref="J34">_xll.ValuateSnowball($C$1,$B$3,$B$7,_xlfn.ANCHORARRAY($C$3),_xlfn.ANCHORARRAY($D$3),_xlfn.ANCHORARRAY($F$3),$B$13,$B$19,$B$14,$B$16,$B$17,$B$20,$B$21,$B$23+$B$31,$B$22,$B$24,$G$1,$E$1,H34+0.625,I34,$B$34,$B$35,$B$36,FALSE,"NPV")*$B$6/$B$3</f>
        <v>588986.61083844316</v>
      </c>
      <c r="K34" cm="1">
        <f t="array" ref="K34">_xll.ValuateSnowball($C$1,$B$3,$B$7,_xlfn.ANCHORARRAY($C$3),_xlfn.ANCHORARRAY($D$3),_xlfn.ANCHORARRAY($F$3),$B$13,$B$19,$B$14,$B$16,$B$17,$B$20,$B$21,$B$23+$B$31,$B$22,$B$24,$G$1,$E$1,H34+0.625,I34,$B$34,$B$35,$B$36,FALSE,"NPV")*$B$6/$B$3*4</f>
        <v>2355946.4433537726</v>
      </c>
    </row>
    <row r="35" spans="1:11" x14ac:dyDescent="0.3">
      <c r="A35" s="6" t="s">
        <v>38</v>
      </c>
      <c r="B35" s="14">
        <v>-8.8994599999999993E-2</v>
      </c>
      <c r="C35" s="20"/>
      <c r="D35" s="24"/>
      <c r="E35" s="24"/>
      <c r="F35" s="24"/>
      <c r="G35" s="25"/>
      <c r="H35" s="43">
        <v>46090</v>
      </c>
      <c r="I35">
        <v>9000</v>
      </c>
      <c r="J35" cm="1">
        <f t="array" ref="J35">_xll.ValuateSnowball($C$1,$B$3,$B$7,_xlfn.ANCHORARRAY($C$3),_xlfn.ANCHORARRAY($D$3),_xlfn.ANCHORARRAY($F$3),$B$13,$B$19,$B$14,$B$16,$B$17,$B$20,$B$21,$B$23+$B$31,$B$22,$B$24,$G$1,$E$1,H35+0.625,I35,$B$34,$B$35,$B$36,FALSE,"NPV")*$B$6/$B$3</f>
        <v>592913.75182083575</v>
      </c>
      <c r="K35" cm="1">
        <f t="array" ref="K35">_xll.ValuateSnowball($C$1,$B$3,$B$7,_xlfn.ANCHORARRAY($C$3),_xlfn.ANCHORARRAY($D$3),_xlfn.ANCHORARRAY($F$3),$B$13,$B$19,$B$14,$B$16,$B$17,$B$20,$B$21,$B$23+$B$31,$B$22,$B$24,$G$1,$E$1,H35+0.625,I35,$B$34,$B$35,$B$36,FALSE,"NPV")*$B$6/$B$3*4</f>
        <v>2371655.007283343</v>
      </c>
    </row>
    <row r="36" spans="1:11" x14ac:dyDescent="0.3">
      <c r="A36" s="6" t="s">
        <v>39</v>
      </c>
      <c r="B36" s="14">
        <v>0.185</v>
      </c>
      <c r="C36" s="20"/>
      <c r="D36" s="24"/>
      <c r="E36" s="24"/>
      <c r="F36" s="24"/>
      <c r="G36" s="25"/>
      <c r="H36" s="43">
        <v>46091</v>
      </c>
      <c r="I36">
        <v>9000</v>
      </c>
      <c r="J36" cm="1">
        <f t="array" ref="J36">_xll.ValuateSnowball($C$1,$B$3,$B$7,_xlfn.ANCHORARRAY($C$3),_xlfn.ANCHORARRAY($D$3),_xlfn.ANCHORARRAY($F$3),$B$13,$B$19,$B$14,$B$16,$B$17,$B$20,$B$21,$B$23+$B$31,$B$22,$B$24,$G$1,$E$1,H36+0.625,I36,$B$34,$B$35,$B$36,FALSE,"NPV")*$B$6/$B$3</f>
        <v>596769.65087815979</v>
      </c>
      <c r="K36" cm="1">
        <f t="array" ref="K36">_xll.ValuateSnowball($C$1,$B$3,$B$7,_xlfn.ANCHORARRAY($C$3),_xlfn.ANCHORARRAY($D$3),_xlfn.ANCHORARRAY($F$3),$B$13,$B$19,$B$14,$B$16,$B$17,$B$20,$B$21,$B$23+$B$31,$B$22,$B$24,$G$1,$E$1,H36+0.625,I36,$B$34,$B$35,$B$36,FALSE,"NPV")*$B$6/$B$3*4</f>
        <v>2387078.6035126392</v>
      </c>
    </row>
    <row r="37" spans="1:11" x14ac:dyDescent="0.3">
      <c r="A37" s="7"/>
      <c r="B37" s="10"/>
      <c r="C37" s="20"/>
      <c r="D37" s="24"/>
      <c r="E37" s="24"/>
      <c r="F37" s="24"/>
      <c r="G37" s="25"/>
      <c r="H37" s="43">
        <v>46092</v>
      </c>
      <c r="I37">
        <v>9000</v>
      </c>
      <c r="J37" cm="1">
        <f t="array" ref="J37">_xll.ValuateSnowball($C$1,$B$3,$B$7,_xlfn.ANCHORARRAY($C$3),_xlfn.ANCHORARRAY($D$3),_xlfn.ANCHORARRAY($F$3),$B$13,$B$19,$B$14,$B$16,$B$17,$B$20,$B$21,$B$23+$B$31,$B$22,$B$24,$G$1,$E$1,H37+0.625,I37,$B$34,$B$35,$B$36,FALSE,"NPV")*$B$6/$B$3</f>
        <v>600548.33512877987</v>
      </c>
      <c r="K37" cm="1">
        <f t="array" ref="K37">_xll.ValuateSnowball($C$1,$B$3,$B$7,_xlfn.ANCHORARRAY($C$3),_xlfn.ANCHORARRAY($D$3),_xlfn.ANCHORARRAY($F$3),$B$13,$B$19,$B$14,$B$16,$B$17,$B$20,$B$21,$B$23+$B$31,$B$22,$B$24,$G$1,$E$1,H37+0.625,I37,$B$34,$B$35,$B$36,FALSE,"NPV")*$B$6/$B$3*4</f>
        <v>2402193.3405151195</v>
      </c>
    </row>
    <row r="38" spans="1:11" x14ac:dyDescent="0.3">
      <c r="A38" s="8" t="s">
        <v>40</v>
      </c>
      <c r="B38" s="10"/>
      <c r="C38" s="20"/>
      <c r="D38" s="24"/>
      <c r="E38" s="24"/>
      <c r="F38" s="24"/>
      <c r="G38" s="25"/>
      <c r="H38" s="43">
        <v>46093</v>
      </c>
      <c r="I38">
        <v>9000</v>
      </c>
      <c r="J38" cm="1">
        <f t="array" ref="J38">_xll.ValuateSnowball($C$1,$B$3,$B$7,_xlfn.ANCHORARRAY($C$3),_xlfn.ANCHORARRAY($D$3),_xlfn.ANCHORARRAY($F$3),$B$13,$B$19,$B$14,$B$16,$B$17,$B$20,$B$21,$B$23+$B$31,$B$22,$B$24,$G$1,$E$1,H38+0.625,I38,$B$34,$B$35,$B$36,FALSE,"NPV")*$B$6/$B$3</f>
        <v>604242.28174027451</v>
      </c>
      <c r="K38" cm="1">
        <f t="array" ref="K38">_xll.ValuateSnowball($C$1,$B$3,$B$7,_xlfn.ANCHORARRAY($C$3),_xlfn.ANCHORARRAY($D$3),_xlfn.ANCHORARRAY($F$3),$B$13,$B$19,$B$14,$B$16,$B$17,$B$20,$B$21,$B$23+$B$31,$B$22,$B$24,$G$1,$E$1,H38+0.625,I38,$B$34,$B$35,$B$36,FALSE,"NPV")*$B$6/$B$3*4</f>
        <v>2416969.1269610981</v>
      </c>
    </row>
    <row r="39" spans="1:11" x14ac:dyDescent="0.3">
      <c r="A39" s="6" t="s">
        <v>41</v>
      </c>
      <c r="B39" s="17">
        <f>B47*100</f>
        <v>75.530334876151016</v>
      </c>
      <c r="C39" s="20"/>
      <c r="D39" s="24"/>
      <c r="E39" s="24"/>
      <c r="F39" s="24"/>
      <c r="G39" s="25"/>
      <c r="H39" s="43">
        <v>46094</v>
      </c>
      <c r="I39">
        <v>9000</v>
      </c>
      <c r="J39" cm="1">
        <f t="array" ref="J39">_xll.ValuateSnowball($C$1,$B$3,$B$7,_xlfn.ANCHORARRAY($C$3),_xlfn.ANCHORARRAY($D$3),_xlfn.ANCHORARRAY($F$3),$B$13,$B$19,$B$14,$B$16,$B$17,$B$20,$B$21,$B$23+$B$31,$B$22,$B$24,$G$1,$E$1,H39+0.625,I39,$B$34,$B$35,$B$36,FALSE,"NPV")*$B$6/$B$3</f>
        <v>607844.42773505067</v>
      </c>
      <c r="K39" cm="1">
        <f t="array" ref="K39">_xll.ValuateSnowball($C$1,$B$3,$B$7,_xlfn.ANCHORARRAY($C$3),_xlfn.ANCHORARRAY($D$3),_xlfn.ANCHORARRAY($F$3),$B$13,$B$19,$B$14,$B$16,$B$17,$B$20,$B$21,$B$23+$B$31,$B$22,$B$24,$G$1,$E$1,H39+0.625,I39,$B$34,$B$35,$B$36,FALSE,"NPV")*$B$6/$B$3*4</f>
        <v>2431377.7109402027</v>
      </c>
    </row>
    <row r="40" spans="1:11" x14ac:dyDescent="0.3">
      <c r="A40" s="6" t="s">
        <v>42</v>
      </c>
      <c r="B40" s="17">
        <f>B48*1%*100</f>
        <v>-5.9395761061264984</v>
      </c>
      <c r="C40" s="20"/>
      <c r="D40" s="24"/>
      <c r="E40" s="24"/>
      <c r="F40" s="24"/>
      <c r="G40" s="25"/>
      <c r="H40" s="43">
        <v>46097</v>
      </c>
      <c r="I40">
        <v>9000</v>
      </c>
      <c r="J40" cm="1">
        <f t="array" ref="J40">_xll.ValuateSnowball($C$1,$B$3,$B$7,_xlfn.ANCHORARRAY($C$3),_xlfn.ANCHORARRAY($D$3),_xlfn.ANCHORARRAY($F$3),$B$13,$B$19,$B$14,$B$16,$B$17,$B$20,$B$21,$B$23+$B$31,$B$22,$B$24,$G$1,$E$1,H40+0.625,I40,$B$34,$B$35,$B$36,FALSE,"NPV")*$B$6/$B$3</f>
        <v>611346.04723861243</v>
      </c>
      <c r="K40" cm="1">
        <f t="array" ref="K40">_xll.ValuateSnowball($C$1,$B$3,$B$7,_xlfn.ANCHORARRAY($C$3),_xlfn.ANCHORARRAY($D$3),_xlfn.ANCHORARRAY($F$3),$B$13,$B$19,$B$14,$B$16,$B$17,$B$20,$B$21,$B$23+$B$31,$B$22,$B$24,$G$1,$E$1,H40+0.625,I40,$B$34,$B$35,$B$36,FALSE,"NPV")*$B$6/$B$3*4</f>
        <v>2445384.1889544497</v>
      </c>
    </row>
    <row r="41" spans="1:11" x14ac:dyDescent="0.3">
      <c r="A41" s="6" t="s">
        <v>43</v>
      </c>
      <c r="B41" s="17">
        <f>B49*1%*100</f>
        <v>-0.56086649356303642</v>
      </c>
      <c r="C41" s="20"/>
      <c r="D41" s="24"/>
      <c r="E41" s="24"/>
      <c r="F41" s="24"/>
      <c r="G41" s="25"/>
      <c r="H41" s="43">
        <v>46098</v>
      </c>
      <c r="I41">
        <v>9000</v>
      </c>
      <c r="J41" cm="1">
        <f t="array" ref="J41">_xll.ValuateSnowball($C$1,$B$3,$B$7,_xlfn.ANCHORARRAY($C$3),_xlfn.ANCHORARRAY($D$3),_xlfn.ANCHORARRAY($F$3),$B$13,$B$19,$B$14,$B$16,$B$17,$B$20,$B$21,$B$23+$B$31,$B$22,$B$24,$G$1,$E$1,H41+0.625,I41,$B$34,$B$35,$B$36,FALSE,"NPV")*$B$6/$B$3</f>
        <v>614738.72734147962</v>
      </c>
      <c r="K41" cm="1">
        <f t="array" ref="K41">_xll.ValuateSnowball($C$1,$B$3,$B$7,_xlfn.ANCHORARRAY($C$3),_xlfn.ANCHORARRAY($D$3),_xlfn.ANCHORARRAY($F$3),$B$13,$B$19,$B$14,$B$16,$B$17,$B$20,$B$21,$B$23+$B$31,$B$22,$B$24,$G$1,$E$1,H41+0.625,I41,$B$34,$B$35,$B$36,FALSE,"NPV")*$B$6/$B$3*4</f>
        <v>2458954.9093659185</v>
      </c>
    </row>
    <row r="42" spans="1:11" x14ac:dyDescent="0.3">
      <c r="A42" s="6" t="s">
        <v>44</v>
      </c>
      <c r="B42" s="17">
        <f>B50*1/242*100</f>
        <v>7.2146269409451014E-2</v>
      </c>
      <c r="C42" s="20"/>
      <c r="D42" s="24"/>
      <c r="E42" s="24"/>
      <c r="F42" s="24"/>
      <c r="G42" s="25"/>
      <c r="H42" s="43">
        <v>46099</v>
      </c>
      <c r="I42">
        <v>9000</v>
      </c>
      <c r="J42" cm="1">
        <f t="array" ref="J42">_xll.ValuateSnowball($C$1,$B$3,$B$7,_xlfn.ANCHORARRAY($C$3),_xlfn.ANCHORARRAY($D$3),_xlfn.ANCHORARRAY($F$3),$B$13,$B$19,$B$14,$B$16,$B$17,$B$20,$B$21,$B$23+$B$31,$B$22,$B$24,$G$1,$E$1,H42+0.625,I42,$B$34,$B$35,$B$36,FALSE,"NPV")*$B$6/$B$3</f>
        <v>618011.18728020194</v>
      </c>
      <c r="K42" cm="1">
        <f t="array" ref="K42">_xll.ValuateSnowball($C$1,$B$3,$B$7,_xlfn.ANCHORARRAY($C$3),_xlfn.ANCHORARRAY($D$3),_xlfn.ANCHORARRAY($F$3),$B$13,$B$19,$B$14,$B$16,$B$17,$B$20,$B$21,$B$23+$B$31,$B$22,$B$24,$G$1,$E$1,H42+0.625,I42,$B$34,$B$35,$B$36,FALSE,"NPV")*$B$6/$B$3*4</f>
        <v>2472044.7491208077</v>
      </c>
    </row>
    <row r="43" spans="1:11" x14ac:dyDescent="0.3">
      <c r="A43" s="6" t="s">
        <v>45</v>
      </c>
      <c r="B43" s="17">
        <f>1%*B51*100</f>
        <v>-0.11920822942669551</v>
      </c>
      <c r="C43" s="20"/>
      <c r="D43" s="24"/>
      <c r="E43" s="24"/>
      <c r="F43" s="24"/>
      <c r="G43" s="25"/>
      <c r="H43" s="43">
        <v>46100</v>
      </c>
      <c r="I43">
        <v>9000</v>
      </c>
      <c r="J43" cm="1">
        <f t="array" ref="J43">_xll.ValuateSnowball($C$1,$B$3,$B$7,_xlfn.ANCHORARRAY($C$3),_xlfn.ANCHORARRAY($D$3),_xlfn.ANCHORARRAY($F$3),$B$13,$B$19,$B$14,$B$16,$B$17,$B$20,$B$21,$B$23+$B$31,$B$22,$B$24,$G$1,$E$1,H43+0.625,I43,$B$34,$B$35,$B$36,FALSE,"NPV")*$B$6/$B$3</f>
        <v>621154.47473169037</v>
      </c>
      <c r="K43" cm="1">
        <f t="array" ref="K43">_xll.ValuateSnowball($C$1,$B$3,$B$7,_xlfn.ANCHORARRAY($C$3),_xlfn.ANCHORARRAY($D$3),_xlfn.ANCHORARRAY($F$3),$B$13,$B$19,$B$14,$B$16,$B$17,$B$20,$B$21,$B$23+$B$31,$B$22,$B$24,$G$1,$E$1,H43+0.625,I43,$B$34,$B$35,$B$36,FALSE,"NPV")*$B$6/$B$3*4</f>
        <v>2484617.8989267615</v>
      </c>
    </row>
    <row r="44" spans="1:11" x14ac:dyDescent="0.3">
      <c r="A44" s="6" t="s">
        <v>46</v>
      </c>
      <c r="B44" s="17">
        <f>1%*B52*100</f>
        <v>-0.84782932978727521</v>
      </c>
      <c r="C44" s="20"/>
      <c r="D44" s="24"/>
      <c r="E44" s="24"/>
      <c r="F44" s="24"/>
      <c r="G44" s="25"/>
      <c r="H44" s="43">
        <v>46101</v>
      </c>
      <c r="I44">
        <v>9000</v>
      </c>
      <c r="J44" cm="1">
        <f t="array" ref="J44">_xll.ValuateSnowball($C$1,$B$3,$B$7,_xlfn.ANCHORARRAY($C$3),_xlfn.ANCHORARRAY($D$3),_xlfn.ANCHORARRAY($F$3),$B$13,$B$19,$B$14,$B$16,$B$17,$B$20,$B$21,$B$23+$B$31,$B$22,$B$24,$G$1,$E$1,H44+0.625,I44,$B$34,$B$35,$B$36,FALSE,"NPV")*$B$6/$B$3</f>
        <v>624153.54781968449</v>
      </c>
      <c r="K44" cm="1">
        <f t="array" ref="K44">_xll.ValuateSnowball($C$1,$B$3,$B$7,_xlfn.ANCHORARRAY($C$3),_xlfn.ANCHORARRAY($D$3),_xlfn.ANCHORARRAY($F$3),$B$13,$B$19,$B$14,$B$16,$B$17,$B$20,$B$21,$B$23+$B$31,$B$22,$B$24,$G$1,$E$1,H44+0.625,I44,$B$34,$B$35,$B$36,FALSE,"NPV")*$B$6/$B$3*4</f>
        <v>2496614.191278738</v>
      </c>
    </row>
    <row r="45" spans="1:11" x14ac:dyDescent="0.3">
      <c r="A45" s="7"/>
      <c r="B45" s="17">
        <f>B46*B6</f>
        <v>-0.81195888790297488</v>
      </c>
      <c r="C45" s="20"/>
      <c r="D45" s="24"/>
      <c r="E45" s="24"/>
      <c r="F45" s="24"/>
      <c r="G45" s="25"/>
      <c r="H45" s="43">
        <v>46104</v>
      </c>
      <c r="I45">
        <v>9000</v>
      </c>
      <c r="J45" cm="1">
        <f t="array" ref="J45">_xll.ValuateSnowball($C$1,$B$3,$B$7,_xlfn.ANCHORARRAY($C$3),_xlfn.ANCHORARRAY($D$3),_xlfn.ANCHORARRAY($F$3),$B$13,$B$19,$B$14,$B$16,$B$17,$B$20,$B$21,$B$23+$B$31,$B$22,$B$24,$G$1,$E$1,H45+0.625,I45,$B$34,$B$35,$B$36,FALSE,"NPV")*$B$6/$B$3</f>
        <v>626993.80737789755</v>
      </c>
      <c r="K45" cm="1">
        <f t="array" ref="K45">_xll.ValuateSnowball($C$1,$B$3,$B$7,_xlfn.ANCHORARRAY($C$3),_xlfn.ANCHORARRAY($D$3),_xlfn.ANCHORARRAY($F$3),$B$13,$B$19,$B$14,$B$16,$B$17,$B$20,$B$21,$B$23+$B$31,$B$22,$B$24,$G$1,$E$1,H45+0.625,I45,$B$34,$B$35,$B$36,FALSE,"NPV")*$B$6/$B$3*4</f>
        <v>2507975.2295115902</v>
      </c>
    </row>
    <row r="46" spans="1:11" x14ac:dyDescent="0.3">
      <c r="A46" s="6" t="s">
        <v>47</v>
      </c>
      <c r="B46" s="28" cm="1">
        <f t="array" ref="B46:B52">_xll.ValuateSnowball(C1,1,B7,_xlfn.ANCHORARRAY(C3),_xlfn.ANCHORARRAY(D3),_xlfn.ANCHORARRAY(F3),B13,B19,B14,B16,B17,B20,B21,B23+B31,B22,B24,G1,E1,B7,1,B34,B35,B36,FALSE,"ALL")</f>
        <v>-8.1195888790297488E-8</v>
      </c>
      <c r="C46" s="20"/>
      <c r="D46" s="24"/>
      <c r="E46" s="24"/>
      <c r="F46" s="24"/>
      <c r="G46" s="25"/>
      <c r="H46" s="43">
        <v>46105</v>
      </c>
      <c r="I46">
        <v>9000</v>
      </c>
      <c r="J46" cm="1">
        <f t="array" ref="J46">_xll.ValuateSnowball($C$1,$B$3,$B$7,_xlfn.ANCHORARRAY($C$3),_xlfn.ANCHORARRAY($D$3),_xlfn.ANCHORARRAY($F$3),$B$13,$B$19,$B$14,$B$16,$B$17,$B$20,$B$21,$B$23+$B$31,$B$22,$B$24,$G$1,$E$1,H46+0.625,I46,$B$34,$B$35,$B$36,FALSE,"NPV")*$B$6/$B$3</f>
        <v>629659.80176698987</v>
      </c>
      <c r="K46" cm="1">
        <f t="array" ref="K46">_xll.ValuateSnowball($C$1,$B$3,$B$7,_xlfn.ANCHORARRAY($C$3),_xlfn.ANCHORARRAY($D$3),_xlfn.ANCHORARRAY($F$3),$B$13,$B$19,$B$14,$B$16,$B$17,$B$20,$B$21,$B$23+$B$31,$B$22,$B$24,$G$1,$E$1,H46+0.625,I46,$B$34,$B$35,$B$36,FALSE,"NPV")*$B$6/$B$3*4</f>
        <v>2518639.2070679595</v>
      </c>
    </row>
    <row r="47" spans="1:11" x14ac:dyDescent="0.3">
      <c r="A47" s="6" t="s">
        <v>48</v>
      </c>
      <c r="B47" s="17">
        <v>0.75530334876151017</v>
      </c>
      <c r="C47" s="20"/>
      <c r="D47" s="24"/>
      <c r="E47" s="24"/>
      <c r="F47" s="24"/>
      <c r="G47" s="25"/>
      <c r="H47" s="43">
        <v>46106</v>
      </c>
      <c r="I47">
        <v>9000</v>
      </c>
      <c r="J47" cm="1">
        <f t="array" ref="J47">_xll.ValuateSnowball($C$1,$B$3,$B$7,_xlfn.ANCHORARRAY($C$3),_xlfn.ANCHORARRAY($D$3),_xlfn.ANCHORARRAY($F$3),$B$13,$B$19,$B$14,$B$16,$B$17,$B$20,$B$21,$B$23+$B$31,$B$22,$B$24,$G$1,$E$1,H47+0.625,I47,$B$34,$B$35,$B$36,FALSE,"NPV")*$B$6/$B$3</f>
        <v>632134.09791210445</v>
      </c>
      <c r="K47" cm="1">
        <f t="array" ref="K47">_xll.ValuateSnowball($C$1,$B$3,$B$7,_xlfn.ANCHORARRAY($C$3),_xlfn.ANCHORARRAY($D$3),_xlfn.ANCHORARRAY($F$3),$B$13,$B$19,$B$14,$B$16,$B$17,$B$20,$B$21,$B$23+$B$31,$B$22,$B$24,$G$1,$E$1,H47+0.625,I47,$B$34,$B$35,$B$36,FALSE,"NPV")*$B$6/$B$3*4</f>
        <v>2528536.3916484178</v>
      </c>
    </row>
    <row r="48" spans="1:11" x14ac:dyDescent="0.3">
      <c r="A48" s="6" t="s">
        <v>49</v>
      </c>
      <c r="B48" s="17">
        <v>-5.9395761061264984</v>
      </c>
      <c r="C48" s="20"/>
      <c r="D48" s="24"/>
      <c r="E48" s="24"/>
      <c r="F48" s="24"/>
      <c r="G48" s="25"/>
      <c r="H48" s="43">
        <v>46107</v>
      </c>
      <c r="I48">
        <v>9000</v>
      </c>
      <c r="J48" cm="1">
        <f t="array" ref="J48">_xll.ValuateSnowball($C$1,$B$3,$B$7,_xlfn.ANCHORARRAY($C$3),_xlfn.ANCHORARRAY($D$3),_xlfn.ANCHORARRAY($F$3),$B$13,$B$19,$B$14,$B$16,$B$17,$B$20,$B$21,$B$23+$B$31,$B$22,$B$24,$G$1,$E$1,H48+0.625,I48,$B$34,$B$35,$B$36,FALSE,"NPV")*$B$6/$B$3</f>
        <v>634397.31275443989</v>
      </c>
      <c r="K48" cm="1">
        <f t="array" ref="K48">_xll.ValuateSnowball($C$1,$B$3,$B$7,_xlfn.ANCHORARRAY($C$3),_xlfn.ANCHORARRAY($D$3),_xlfn.ANCHORARRAY($F$3),$B$13,$B$19,$B$14,$B$16,$B$17,$B$20,$B$21,$B$23+$B$31,$B$22,$B$24,$G$1,$E$1,H48+0.625,I48,$B$34,$B$35,$B$36,FALSE,"NPV")*$B$6/$B$3*4</f>
        <v>2537589.2510177596</v>
      </c>
    </row>
    <row r="49" spans="1:11" x14ac:dyDescent="0.3">
      <c r="A49" s="6" t="s">
        <v>50</v>
      </c>
      <c r="B49" s="17">
        <v>-0.56086649356303642</v>
      </c>
      <c r="C49" s="20"/>
      <c r="D49" s="24"/>
      <c r="E49" s="24"/>
      <c r="F49" s="24"/>
      <c r="G49" s="25"/>
      <c r="H49" s="43">
        <v>46108</v>
      </c>
      <c r="I49">
        <v>9000</v>
      </c>
      <c r="J49" cm="1">
        <f t="array" ref="J49">_xll.ValuateSnowball($C$1,$B$3,$B$7,_xlfn.ANCHORARRAY($C$3),_xlfn.ANCHORARRAY($D$3),_xlfn.ANCHORARRAY($F$3),$B$13,$B$19,$B$14,$B$16,$B$17,$B$20,$B$21,$B$23+$B$31,$B$22,$B$24,$G$1,$E$1,H49+0.625,I49,$B$34,$B$35,$B$36,FALSE,"NPV")*$B$6/$B$3</f>
        <v>636429.49360995006</v>
      </c>
      <c r="K49" cm="1">
        <f t="array" ref="K49">_xll.ValuateSnowball($C$1,$B$3,$B$7,_xlfn.ANCHORARRAY($C$3),_xlfn.ANCHORARRAY($D$3),_xlfn.ANCHORARRAY($F$3),$B$13,$B$19,$B$14,$B$16,$B$17,$B$20,$B$21,$B$23+$B$31,$B$22,$B$24,$G$1,$E$1,H49+0.625,I49,$B$34,$B$35,$B$36,FALSE,"NPV")*$B$6/$B$3*4</f>
        <v>2545717.9744398003</v>
      </c>
    </row>
    <row r="50" spans="1:11" x14ac:dyDescent="0.3">
      <c r="A50" s="6" t="s">
        <v>51</v>
      </c>
      <c r="B50" s="17">
        <v>0.17459397197087145</v>
      </c>
      <c r="C50" s="20"/>
      <c r="D50" s="24"/>
      <c r="E50" s="24"/>
      <c r="F50" s="24"/>
      <c r="G50" s="25"/>
      <c r="H50" s="43">
        <v>46111</v>
      </c>
      <c r="I50">
        <v>9000</v>
      </c>
      <c r="J50" cm="1">
        <f t="array" ref="J50">_xll.ValuateSnowball($C$1,$B$3,$B$7,_xlfn.ANCHORARRAY($C$3),_xlfn.ANCHORARRAY($D$3),_xlfn.ANCHORARRAY($F$3),$B$13,$B$19,$B$14,$B$16,$B$17,$B$20,$B$21,$B$23+$B$31,$B$22,$B$24,$G$1,$E$1,H50+0.625,I50,$B$34,$B$35,$B$36,FALSE,"NPV")*$B$6/$B$3</f>
        <v>638211.34441761486</v>
      </c>
      <c r="K50" cm="1">
        <f t="array" ref="K50">_xll.ValuateSnowball($C$1,$B$3,$B$7,_xlfn.ANCHORARRAY($C$3),_xlfn.ANCHORARRAY($D$3),_xlfn.ANCHORARRAY($F$3),$B$13,$B$19,$B$14,$B$16,$B$17,$B$20,$B$21,$B$23+$B$31,$B$22,$B$24,$G$1,$E$1,H50+0.625,I50,$B$34,$B$35,$B$36,FALSE,"NPV")*$B$6/$B$3*4</f>
        <v>2552845.3776704594</v>
      </c>
    </row>
    <row r="51" spans="1:11" x14ac:dyDescent="0.3">
      <c r="A51" s="6" t="s">
        <v>52</v>
      </c>
      <c r="B51" s="17">
        <v>-0.11920822942669551</v>
      </c>
      <c r="C51" s="20"/>
      <c r="D51" s="24"/>
      <c r="E51" s="24"/>
      <c r="F51" s="24"/>
      <c r="G51" s="25"/>
      <c r="H51" s="43">
        <v>46112</v>
      </c>
      <c r="I51">
        <v>9000</v>
      </c>
      <c r="J51" cm="1">
        <f t="array" ref="J51">_xll.ValuateSnowball($C$1,$B$3,$B$7,_xlfn.ANCHORARRAY($C$3),_xlfn.ANCHORARRAY($D$3),_xlfn.ANCHORARRAY($F$3),$B$13,$B$19,$B$14,$B$16,$B$17,$B$20,$B$21,$B$23+$B$31,$B$22,$B$24,$G$1,$E$1,H51+0.625,I51,$B$34,$B$35,$B$36,FALSE,"NPV")*$B$6/$B$3</f>
        <v>639724.91451783373</v>
      </c>
      <c r="K51" cm="1">
        <f t="array" ref="K51">_xll.ValuateSnowball($C$1,$B$3,$B$7,_xlfn.ANCHORARRAY($C$3),_xlfn.ANCHORARRAY($D$3),_xlfn.ANCHORARRAY($F$3),$B$13,$B$19,$B$14,$B$16,$B$17,$B$20,$B$21,$B$23+$B$31,$B$22,$B$24,$G$1,$E$1,H51+0.625,I51,$B$34,$B$35,$B$36,FALSE,"NPV")*$B$6/$B$3*4</f>
        <v>2558899.6580713349</v>
      </c>
    </row>
    <row r="52" spans="1:11" x14ac:dyDescent="0.3">
      <c r="A52" s="6" t="s">
        <v>53</v>
      </c>
      <c r="B52" s="17">
        <v>-0.84782932978727521</v>
      </c>
      <c r="C52" s="20"/>
      <c r="D52" s="24"/>
      <c r="E52" s="24"/>
      <c r="F52" s="24"/>
      <c r="G52" s="25"/>
      <c r="H52" s="43">
        <v>46113</v>
      </c>
      <c r="I52">
        <v>9000</v>
      </c>
      <c r="J52" cm="1">
        <f t="array" ref="J52">_xll.ValuateSnowball($C$1,$B$3,$B$7,_xlfn.ANCHORARRAY($C$3),_xlfn.ANCHORARRAY($D$3),_xlfn.ANCHORARRAY($F$3),$B$13,$B$19,$B$14,$B$16,$B$17,$B$20,$B$21,$B$23+$B$31,$B$22,$B$24,$G$1,$E$1,H52+0.625,I52,$B$34,$B$35,$B$36,FALSE,"NPV")*$B$6/$B$3</f>
        <v>640957.45495529787</v>
      </c>
      <c r="K52" cm="1">
        <f t="array" ref="K52">_xll.ValuateSnowball($C$1,$B$3,$B$7,_xlfn.ANCHORARRAY($C$3),_xlfn.ANCHORARRAY($D$3),_xlfn.ANCHORARRAY($F$3),$B$13,$B$19,$B$14,$B$16,$B$17,$B$20,$B$21,$B$23+$B$31,$B$22,$B$24,$G$1,$E$1,H52+0.625,I52,$B$34,$B$35,$B$36,FALSE,"NPV")*$B$6/$B$3*4</f>
        <v>2563829.8198211915</v>
      </c>
    </row>
    <row r="53" spans="1:11" x14ac:dyDescent="0.3">
      <c r="H53" s="43">
        <v>46114</v>
      </c>
      <c r="I53">
        <v>9000</v>
      </c>
      <c r="J53" cm="1">
        <f t="array" ref="J53">_xll.ValuateSnowball($C$1,$B$3,$B$7,_xlfn.ANCHORARRAY($C$3),_xlfn.ANCHORARRAY($D$3),_xlfn.ANCHORARRAY($F$3),$B$13,$B$19,$B$14,$B$16,$B$17,$B$20,$B$21,$B$23+$B$31,$B$22,$B$24,$G$1,$E$1,H53+0.625,I53,$B$34,$B$35,$B$36,FALSE,"NPV")*$B$6/$B$3</f>
        <v>641908.3799634506</v>
      </c>
      <c r="K53" cm="1">
        <f t="array" ref="K53">_xll.ValuateSnowball($C$1,$B$3,$B$7,_xlfn.ANCHORARRAY($C$3),_xlfn.ANCHORARRAY($D$3),_xlfn.ANCHORARRAY($F$3),$B$13,$B$19,$B$14,$B$16,$B$17,$B$20,$B$21,$B$23+$B$31,$B$22,$B$24,$G$1,$E$1,H53+0.625,I53,$B$34,$B$35,$B$36,FALSE,"NPV")*$B$6/$B$3*4</f>
        <v>2567633.5198538024</v>
      </c>
    </row>
    <row r="54" spans="1:11" x14ac:dyDescent="0.3">
      <c r="H54" s="43">
        <v>46115</v>
      </c>
      <c r="I54">
        <v>9000</v>
      </c>
      <c r="J54" cm="1">
        <f t="array" ref="J54">_xll.ValuateSnowball($C$1,$B$3,$B$7,_xlfn.ANCHORARRAY($C$3),_xlfn.ANCHORARRAY($D$3),_xlfn.ANCHORARRAY($F$3),$B$13,$B$19,$B$14,$B$16,$B$17,$B$20,$B$21,$B$23+$B$31,$B$22,$B$24,$G$1,$E$1,H54+0.625,I54,$B$34,$B$35,$B$36,FALSE,"NPV")*$B$6/$B$3</f>
        <v>642596.28315541602</v>
      </c>
      <c r="K54" cm="1">
        <f t="array" ref="K54">_xll.ValuateSnowball($C$1,$B$3,$B$7,_xlfn.ANCHORARRAY($C$3),_xlfn.ANCHORARRAY($D$3),_xlfn.ANCHORARRAY($F$3),$B$13,$B$19,$B$14,$B$16,$B$17,$B$20,$B$21,$B$23+$B$31,$B$22,$B$24,$G$1,$E$1,H54+0.625,I54,$B$34,$B$35,$B$36,FALSE,"NPV")*$B$6/$B$3*4</f>
        <v>2570385.1326216641</v>
      </c>
    </row>
    <row r="55" spans="1:11" x14ac:dyDescent="0.3">
      <c r="H55" s="43">
        <v>46119</v>
      </c>
      <c r="I55">
        <v>9000</v>
      </c>
      <c r="J55" cm="1">
        <f t="array" ref="J55">_xll.ValuateSnowball($C$1,$B$3,$B$7,_xlfn.ANCHORARRAY($C$3),_xlfn.ANCHORARRAY($D$3),_xlfn.ANCHORARRAY($F$3),$B$13,$B$19,$B$14,$B$16,$B$17,$B$20,$B$21,$B$23+$B$31,$B$22,$B$24,$G$1,$E$1,H55+0.625,I55,$B$34,$B$35,$B$36,FALSE,"NPV")*$B$6/$B$3</f>
        <v>643068.41218982253</v>
      </c>
      <c r="K55" cm="1">
        <f t="array" ref="K55">_xll.ValuateSnowball($C$1,$B$3,$B$7,_xlfn.ANCHORARRAY($C$3),_xlfn.ANCHORARRAY($D$3),_xlfn.ANCHORARRAY($F$3),$B$13,$B$19,$B$14,$B$16,$B$17,$B$20,$B$21,$B$23+$B$31,$B$22,$B$24,$G$1,$E$1,H55+0.625,I55,$B$34,$B$35,$B$36,FALSE,"NPV")*$B$6/$B$3*4</f>
        <v>2572273.6487592901</v>
      </c>
    </row>
    <row r="56" spans="1:11" x14ac:dyDescent="0.3">
      <c r="H56" s="43">
        <v>46120</v>
      </c>
      <c r="I56">
        <v>9000</v>
      </c>
      <c r="J56" cm="1">
        <f t="array" ref="J56">_xll.ValuateSnowball($C$1,$B$3,$B$7,_xlfn.ANCHORARRAY($C$3),_xlfn.ANCHORARRAY($D$3),_xlfn.ANCHORARRAY($F$3),$B$13,$B$19,$B$14,$B$16,$B$17,$B$20,$B$21,$B$23+$B$31,$B$22,$B$24,$G$1,$E$1,H56+0.625,I56,$B$34,$B$35,$B$36,FALSE,"NPV")*$B$6/$B$3</f>
        <v>643402.24579481501</v>
      </c>
      <c r="K56" cm="1">
        <f t="array" ref="K56">_xll.ValuateSnowball($C$1,$B$3,$B$7,_xlfn.ANCHORARRAY($C$3),_xlfn.ANCHORARRAY($D$3),_xlfn.ANCHORARRAY($F$3),$B$13,$B$19,$B$14,$B$16,$B$17,$B$20,$B$21,$B$23+$B$31,$B$22,$B$24,$G$1,$E$1,H56+0.625,I56,$B$34,$B$35,$B$36,FALSE,"NPV")*$B$6/$B$3*4</f>
        <v>2573608.98317926</v>
      </c>
    </row>
    <row r="57" spans="1:11" x14ac:dyDescent="0.3">
      <c r="H57" s="43">
        <v>46121</v>
      </c>
      <c r="I57">
        <v>9000</v>
      </c>
      <c r="J57" cm="1">
        <f t="array" ref="J57">_xll.ValuateSnowball($C$1,$B$3,$B$7,_xlfn.ANCHORARRAY($C$3),_xlfn.ANCHORARRAY($D$3),_xlfn.ANCHORARRAY($F$3),$B$13,$B$19,$B$14,$B$16,$B$17,$B$20,$B$21,$B$23+$B$31,$B$22,$B$24,$G$1,$E$1,H57+0.625,I57,$B$34,$B$35,$B$36,FALSE,"NPV")*$B$6/$B$3</f>
        <v>643682.63857866789</v>
      </c>
      <c r="K57" cm="1">
        <f t="array" ref="K57">_xll.ValuateSnowball($C$1,$B$3,$B$7,_xlfn.ANCHORARRAY($C$3),_xlfn.ANCHORARRAY($D$3),_xlfn.ANCHORARRAY($F$3),$B$13,$B$19,$B$14,$B$16,$B$17,$B$20,$B$21,$B$23+$B$31,$B$22,$B$24,$G$1,$E$1,H57+0.625,I57,$B$34,$B$35,$B$36,FALSE,"NPV")*$B$6/$B$3*4</f>
        <v>2574730.5543146715</v>
      </c>
    </row>
    <row r="58" spans="1:11" x14ac:dyDescent="0.3">
      <c r="H58" s="43">
        <v>46122</v>
      </c>
      <c r="I58">
        <v>9000</v>
      </c>
      <c r="J58" cm="1">
        <f t="array" ref="J58">_xll.ValuateSnowball($C$1,$B$3,$B$7,_xlfn.ANCHORARRAY($C$3),_xlfn.ANCHORARRAY($D$3),_xlfn.ANCHORARRAY($F$3),$B$13,$B$19,$B$14,$B$16,$B$17,$B$20,$B$21,$B$23+$B$31,$B$22,$B$24,$G$1,$E$1,H58+0.625,I58,$B$34,$B$35,$B$36,FALSE,"NPV")*$B$6/$B$3</f>
        <v>643955.73027421162</v>
      </c>
      <c r="K58" cm="1">
        <f t="array" ref="K58">_xll.ValuateSnowball($C$1,$B$3,$B$7,_xlfn.ANCHORARRAY($C$3),_xlfn.ANCHORARRAY($D$3),_xlfn.ANCHORARRAY($F$3),$B$13,$B$19,$B$14,$B$16,$B$17,$B$20,$B$21,$B$23+$B$31,$B$22,$B$24,$G$1,$E$1,H58+0.625,I58,$B$34,$B$35,$B$36,FALSE,"NPV")*$B$6/$B$3*4</f>
        <v>2575822.9210968465</v>
      </c>
    </row>
    <row r="59" spans="1:11" x14ac:dyDescent="0.3">
      <c r="H59" s="43">
        <v>46125</v>
      </c>
      <c r="I59">
        <v>9000</v>
      </c>
      <c r="J59" cm="1">
        <f t="array" ref="J59">_xll.ValuateSnowball($C$1,$B$3,$B$7,_xlfn.ANCHORARRAY($C$3),_xlfn.ANCHORARRAY($D$3),_xlfn.ANCHORARRAY($F$3),$B$13,$B$19,$B$14,$B$16,$B$17,$B$20,$B$21,$B$23+$B$31,$B$22,$B$24,$G$1,$E$1,H59+0.625,I59,$B$34,$B$35,$B$36,FALSE,"NPV")*$B$6/$B$3</f>
        <v>644230.13698630128</v>
      </c>
      <c r="K59" cm="1">
        <f t="array" ref="K59">_xll.ValuateSnowball($C$1,$B$3,$B$7,_xlfn.ANCHORARRAY($C$3),_xlfn.ANCHORARRAY($D$3),_xlfn.ANCHORARRAY($F$3),$B$13,$B$19,$B$14,$B$16,$B$17,$B$20,$B$21,$B$23+$B$31,$B$22,$B$24,$G$1,$E$1,H59+0.625,I59,$B$34,$B$35,$B$36,FALSE,"NPV")*$B$6/$B$3*4</f>
        <v>2576920.5479452051</v>
      </c>
    </row>
    <row r="60" spans="1:11" x14ac:dyDescent="0.3">
      <c r="H60" s="43">
        <v>46126</v>
      </c>
      <c r="I60">
        <v>9000</v>
      </c>
      <c r="J60" cm="1">
        <f t="array" ref="J60">_xll.ValuateSnowball($C$1,$B$3,$B$7,_xlfn.ANCHORARRAY($C$3),_xlfn.ANCHORARRAY($D$3),_xlfn.ANCHORARRAY($F$3),$B$13,$B$19,$B$14,$B$16,$B$17,$B$20,$B$21,$B$23+$B$31,$B$22,$B$24,$G$1,$E$1,H60+0.625,I60,$B$34,$B$35,$B$36,FALSE,"NPV")*$B$6/$B$3</f>
        <v>826326.85610178614</v>
      </c>
      <c r="K60" cm="1">
        <f t="array" ref="K60">_xll.ValuateSnowball($C$1,$B$3,$B$7,_xlfn.ANCHORARRAY($C$3),_xlfn.ANCHORARRAY($D$3),_xlfn.ANCHORARRAY($F$3),$B$13,$B$19,$B$14,$B$16,$B$17,$B$20,$B$21,$B$23+$B$31,$B$22,$B$24,$G$1,$E$1,H60+0.625,I60,$B$34,$B$35,$B$36,FALSE,"NPV")*$B$6/$B$3*4</f>
        <v>3305307.4244071445</v>
      </c>
    </row>
    <row r="61" spans="1:11" x14ac:dyDescent="0.3">
      <c r="H61" s="43">
        <v>46127</v>
      </c>
    </row>
    <row r="62" spans="1:11" x14ac:dyDescent="0.3">
      <c r="H62" s="43">
        <v>46128</v>
      </c>
    </row>
    <row r="63" spans="1:11" x14ac:dyDescent="0.3">
      <c r="H63" s="43">
        <v>46129</v>
      </c>
    </row>
    <row r="64" spans="1:11" x14ac:dyDescent="0.3">
      <c r="H64" s="43">
        <v>46132</v>
      </c>
    </row>
    <row r="65" spans="8:8" x14ac:dyDescent="0.3">
      <c r="H65" s="43">
        <v>46133</v>
      </c>
    </row>
    <row r="66" spans="8:8" x14ac:dyDescent="0.3">
      <c r="H66" s="43">
        <v>46134</v>
      </c>
    </row>
    <row r="67" spans="8:8" x14ac:dyDescent="0.3">
      <c r="H67" s="43">
        <v>46135</v>
      </c>
    </row>
    <row r="68" spans="8:8" x14ac:dyDescent="0.3">
      <c r="H68" s="43">
        <v>46136</v>
      </c>
    </row>
    <row r="69" spans="8:8" x14ac:dyDescent="0.3">
      <c r="H69" s="43">
        <v>46139</v>
      </c>
    </row>
    <row r="70" spans="8:8" x14ac:dyDescent="0.3">
      <c r="H70" s="43">
        <v>46140</v>
      </c>
    </row>
    <row r="71" spans="8:8" x14ac:dyDescent="0.3">
      <c r="H71" s="43">
        <v>46141</v>
      </c>
    </row>
    <row r="72" spans="8:8" x14ac:dyDescent="0.3">
      <c r="H72" s="43">
        <v>46142</v>
      </c>
    </row>
    <row r="73" spans="8:8" x14ac:dyDescent="0.3">
      <c r="H73" s="43">
        <v>46148</v>
      </c>
    </row>
    <row r="74" spans="8:8" x14ac:dyDescent="0.3">
      <c r="H74" s="43">
        <v>46149</v>
      </c>
    </row>
    <row r="75" spans="8:8" x14ac:dyDescent="0.3">
      <c r="H75" s="43">
        <v>46150</v>
      </c>
    </row>
    <row r="76" spans="8:8" x14ac:dyDescent="0.3">
      <c r="H76" s="43">
        <v>46153</v>
      </c>
    </row>
    <row r="77" spans="8:8" x14ac:dyDescent="0.3">
      <c r="H77" s="43">
        <v>46154</v>
      </c>
    </row>
    <row r="78" spans="8:8" x14ac:dyDescent="0.3">
      <c r="H78" s="43">
        <v>46155</v>
      </c>
    </row>
    <row r="79" spans="8:8" x14ac:dyDescent="0.3">
      <c r="H79" s="43">
        <v>46156</v>
      </c>
    </row>
    <row r="80" spans="8:8" x14ac:dyDescent="0.3">
      <c r="H80" s="43">
        <v>46157</v>
      </c>
    </row>
    <row r="81" spans="8:8" x14ac:dyDescent="0.3">
      <c r="H81" s="43">
        <v>46160</v>
      </c>
    </row>
    <row r="82" spans="8:8" x14ac:dyDescent="0.3">
      <c r="H82" s="43"/>
    </row>
    <row r="83" spans="8:8" x14ac:dyDescent="0.3">
      <c r="H83" s="43"/>
    </row>
    <row r="84" spans="8:8" x14ac:dyDescent="0.3">
      <c r="H84" s="43"/>
    </row>
    <row r="85" spans="8:8" x14ac:dyDescent="0.3">
      <c r="H85" s="43"/>
    </row>
    <row r="86" spans="8:8" x14ac:dyDescent="0.3">
      <c r="H86" s="43"/>
    </row>
    <row r="87" spans="8:8" x14ac:dyDescent="0.3">
      <c r="H87" s="43"/>
    </row>
    <row r="88" spans="8:8" x14ac:dyDescent="0.3">
      <c r="H88" s="43"/>
    </row>
    <row r="89" spans="8:8" x14ac:dyDescent="0.3">
      <c r="H89" s="43"/>
    </row>
    <row r="90" spans="8:8" x14ac:dyDescent="0.3">
      <c r="H90" s="43"/>
    </row>
    <row r="91" spans="8:8" x14ac:dyDescent="0.3">
      <c r="H91" s="43"/>
    </row>
    <row r="92" spans="8:8" x14ac:dyDescent="0.3">
      <c r="H92" s="43"/>
    </row>
    <row r="93" spans="8:8" x14ac:dyDescent="0.3">
      <c r="H93" s="43"/>
    </row>
    <row r="94" spans="8:8" x14ac:dyDescent="0.3">
      <c r="H94" s="43"/>
    </row>
    <row r="95" spans="8:8" x14ac:dyDescent="0.3">
      <c r="H95" s="43"/>
    </row>
    <row r="96" spans="8:8" x14ac:dyDescent="0.3">
      <c r="H96" s="43"/>
    </row>
    <row r="97" spans="8:8" x14ac:dyDescent="0.3">
      <c r="H97" s="43"/>
    </row>
    <row r="98" spans="8:8" x14ac:dyDescent="0.3">
      <c r="H98" s="43"/>
    </row>
    <row r="99" spans="8:8" x14ac:dyDescent="0.3">
      <c r="H99" s="43"/>
    </row>
    <row r="100" spans="8:8" x14ac:dyDescent="0.3">
      <c r="H100" s="43"/>
    </row>
    <row r="101" spans="8:8" x14ac:dyDescent="0.3">
      <c r="H101" s="43"/>
    </row>
    <row r="102" spans="8:8" x14ac:dyDescent="0.3">
      <c r="H102" s="43"/>
    </row>
    <row r="103" spans="8:8" x14ac:dyDescent="0.3">
      <c r="H103" s="43"/>
    </row>
    <row r="104" spans="8:8" x14ac:dyDescent="0.3">
      <c r="H104" s="43"/>
    </row>
    <row r="105" spans="8:8" x14ac:dyDescent="0.3">
      <c r="H105" s="43"/>
    </row>
    <row r="106" spans="8:8" x14ac:dyDescent="0.3">
      <c r="H106" s="43"/>
    </row>
    <row r="107" spans="8:8" x14ac:dyDescent="0.3">
      <c r="H107" s="43"/>
    </row>
    <row r="108" spans="8:8" x14ac:dyDescent="0.3">
      <c r="H108" s="43"/>
    </row>
    <row r="109" spans="8:8" x14ac:dyDescent="0.3">
      <c r="H109" s="43"/>
    </row>
    <row r="110" spans="8:8" x14ac:dyDescent="0.3">
      <c r="H110" s="43"/>
    </row>
    <row r="111" spans="8:8" x14ac:dyDescent="0.3">
      <c r="H111" s="43"/>
    </row>
    <row r="112" spans="8:8" x14ac:dyDescent="0.3">
      <c r="H112" s="43"/>
    </row>
    <row r="113" spans="8:8" x14ac:dyDescent="0.3">
      <c r="H113" s="43"/>
    </row>
    <row r="114" spans="8:8" x14ac:dyDescent="0.3">
      <c r="H114" s="43"/>
    </row>
    <row r="115" spans="8:8" x14ac:dyDescent="0.3">
      <c r="H115" s="43"/>
    </row>
    <row r="116" spans="8:8" x14ac:dyDescent="0.3">
      <c r="H116" s="43"/>
    </row>
    <row r="117" spans="8:8" x14ac:dyDescent="0.3">
      <c r="H117" s="43"/>
    </row>
    <row r="118" spans="8:8" x14ac:dyDescent="0.3">
      <c r="H118" s="43"/>
    </row>
    <row r="119" spans="8:8" x14ac:dyDescent="0.3">
      <c r="H119" s="43"/>
    </row>
    <row r="120" spans="8:8" x14ac:dyDescent="0.3">
      <c r="H120" s="43"/>
    </row>
    <row r="121" spans="8:8" x14ac:dyDescent="0.3">
      <c r="H121" s="43"/>
    </row>
    <row r="122" spans="8:8" x14ac:dyDescent="0.3">
      <c r="H122" s="43"/>
    </row>
    <row r="123" spans="8:8" x14ac:dyDescent="0.3">
      <c r="H123" s="43"/>
    </row>
    <row r="124" spans="8:8" x14ac:dyDescent="0.3">
      <c r="H124" s="43"/>
    </row>
    <row r="125" spans="8:8" x14ac:dyDescent="0.3">
      <c r="H125" s="43"/>
    </row>
    <row r="126" spans="8:8" x14ac:dyDescent="0.3">
      <c r="H126" s="43"/>
    </row>
    <row r="127" spans="8:8" x14ac:dyDescent="0.3">
      <c r="H127" s="43"/>
    </row>
    <row r="128" spans="8:8" x14ac:dyDescent="0.3">
      <c r="H128" s="43"/>
    </row>
    <row r="129" spans="8:8" x14ac:dyDescent="0.3">
      <c r="H129" s="43"/>
    </row>
    <row r="130" spans="8:8" x14ac:dyDescent="0.3">
      <c r="H130" s="43"/>
    </row>
    <row r="131" spans="8:8" x14ac:dyDescent="0.3">
      <c r="H131" s="43"/>
    </row>
    <row r="132" spans="8:8" x14ac:dyDescent="0.3">
      <c r="H132" s="43"/>
    </row>
    <row r="133" spans="8:8" x14ac:dyDescent="0.3">
      <c r="H133" s="43"/>
    </row>
    <row r="134" spans="8:8" x14ac:dyDescent="0.3">
      <c r="H134" s="43"/>
    </row>
    <row r="135" spans="8:8" x14ac:dyDescent="0.3">
      <c r="H135" s="43"/>
    </row>
    <row r="136" spans="8:8" x14ac:dyDescent="0.3">
      <c r="H136" s="43"/>
    </row>
    <row r="137" spans="8:8" x14ac:dyDescent="0.3">
      <c r="H137" s="43"/>
    </row>
    <row r="138" spans="8:8" x14ac:dyDescent="0.3">
      <c r="H138" s="43"/>
    </row>
    <row r="139" spans="8:8" x14ac:dyDescent="0.3">
      <c r="H139" s="43"/>
    </row>
    <row r="140" spans="8:8" x14ac:dyDescent="0.3">
      <c r="H140" s="43"/>
    </row>
    <row r="141" spans="8:8" x14ac:dyDescent="0.3">
      <c r="H141" s="43"/>
    </row>
    <row r="142" spans="8:8" x14ac:dyDescent="0.3">
      <c r="H142" s="43"/>
    </row>
    <row r="143" spans="8:8" x14ac:dyDescent="0.3">
      <c r="H143" s="43"/>
    </row>
    <row r="144" spans="8:8" x14ac:dyDescent="0.3">
      <c r="H144" s="43"/>
    </row>
    <row r="145" spans="8:8" x14ac:dyDescent="0.3">
      <c r="H145" s="43"/>
    </row>
    <row r="146" spans="8:8" x14ac:dyDescent="0.3">
      <c r="H146" s="43"/>
    </row>
    <row r="147" spans="8:8" x14ac:dyDescent="0.3">
      <c r="H147" s="43"/>
    </row>
    <row r="148" spans="8:8" x14ac:dyDescent="0.3">
      <c r="H148" s="43"/>
    </row>
    <row r="149" spans="8:8" x14ac:dyDescent="0.3">
      <c r="H149" s="43"/>
    </row>
    <row r="150" spans="8:8" x14ac:dyDescent="0.3">
      <c r="H150" s="43"/>
    </row>
    <row r="151" spans="8:8" x14ac:dyDescent="0.3">
      <c r="H151" s="43"/>
    </row>
    <row r="152" spans="8:8" x14ac:dyDescent="0.3">
      <c r="H152" s="43"/>
    </row>
    <row r="153" spans="8:8" x14ac:dyDescent="0.3">
      <c r="H153" s="43"/>
    </row>
    <row r="154" spans="8:8" x14ac:dyDescent="0.3">
      <c r="H154" s="43"/>
    </row>
    <row r="155" spans="8:8" x14ac:dyDescent="0.3">
      <c r="H155" s="43"/>
    </row>
    <row r="156" spans="8:8" x14ac:dyDescent="0.3">
      <c r="H156" s="43"/>
    </row>
    <row r="157" spans="8:8" x14ac:dyDescent="0.3">
      <c r="H157" s="43"/>
    </row>
    <row r="158" spans="8:8" x14ac:dyDescent="0.3">
      <c r="H158" s="43"/>
    </row>
    <row r="159" spans="8:8" x14ac:dyDescent="0.3">
      <c r="H159" s="43"/>
    </row>
    <row r="160" spans="8:8" x14ac:dyDescent="0.3">
      <c r="H160" s="43"/>
    </row>
    <row r="161" spans="8:8" x14ac:dyDescent="0.3">
      <c r="H161" s="43"/>
    </row>
    <row r="162" spans="8:8" x14ac:dyDescent="0.3">
      <c r="H162" s="43"/>
    </row>
    <row r="163" spans="8:8" x14ac:dyDescent="0.3">
      <c r="H163" s="43"/>
    </row>
    <row r="164" spans="8:8" x14ac:dyDescent="0.3">
      <c r="H164" s="43"/>
    </row>
    <row r="165" spans="8:8" x14ac:dyDescent="0.3">
      <c r="H165" s="43"/>
    </row>
    <row r="166" spans="8:8" x14ac:dyDescent="0.3">
      <c r="H166" s="43"/>
    </row>
    <row r="167" spans="8:8" x14ac:dyDescent="0.3">
      <c r="H167" s="43"/>
    </row>
    <row r="168" spans="8:8" x14ac:dyDescent="0.3">
      <c r="H168" s="43"/>
    </row>
    <row r="169" spans="8:8" x14ac:dyDescent="0.3">
      <c r="H169" s="43"/>
    </row>
    <row r="170" spans="8:8" x14ac:dyDescent="0.3">
      <c r="H170" s="43"/>
    </row>
    <row r="171" spans="8:8" x14ac:dyDescent="0.3">
      <c r="H171" s="43"/>
    </row>
  </sheetData>
  <phoneticPr fontId="2" type="noConversion"/>
  <dataValidations disablePrompts="1" count="3">
    <dataValidation type="list" showInputMessage="1" showErrorMessage="1" sqref="B5" xr:uid="{73FCE514-4D83-47D7-8446-5E5C1F204C09}">
      <formula1>"000852.SH,000905.SH,000300.SH,000016.SH,513180.SH"</formula1>
    </dataValidation>
    <dataValidation type="list" showInputMessage="1" showErrorMessage="1" sqref="B15" xr:uid="{00DA61A6-7DCE-4F6D-892C-5AF8196437D4}">
      <formula1>"每日观察,到期观察"</formula1>
    </dataValidation>
    <dataValidation type="list" showInputMessage="1" showErrorMessage="1" sqref="B25" xr:uid="{ACE05520-E139-4D8A-A159-73E1C8A3D28C}">
      <formula1>"含头含尾,含头不含尾"</formula1>
    </dataValidation>
  </dataValidations>
  <pageMargins left="0.7" right="0.7" top="0.75" bottom="0.75" header="0.3" footer="0.3"/>
  <legacy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C112BD3-8444-4EFA-919A-B97323E2B0D3}">
  <dimension ref="A1:J52"/>
  <sheetViews>
    <sheetView workbookViewId="0">
      <selection activeCell="J2" sqref="J2:J14"/>
    </sheetView>
  </sheetViews>
  <sheetFormatPr defaultColWidth="22.1328125" defaultRowHeight="13.5" x14ac:dyDescent="0.3"/>
  <cols>
    <col min="1" max="1" width="19.1328125" style="2" customWidth="1"/>
    <col min="2" max="2" width="22.1328125" style="1"/>
    <col min="3" max="3" width="22.1328125" style="21"/>
    <col min="4" max="6" width="22.1328125" style="3"/>
    <col min="7" max="7" width="22.1328125" style="2"/>
    <col min="8" max="8" width="11.59765625" bestFit="1" customWidth="1"/>
  </cols>
  <sheetData>
    <row r="1" spans="1:10" x14ac:dyDescent="0.3">
      <c r="A1" s="6" t="s">
        <v>6</v>
      </c>
      <c r="B1" s="9" t="s">
        <v>85</v>
      </c>
      <c r="C1" s="18" t="s">
        <v>55</v>
      </c>
      <c r="D1" s="22"/>
      <c r="E1" s="22" t="b">
        <f>(B15="每日观察")</f>
        <v>1</v>
      </c>
      <c r="F1" s="22"/>
      <c r="G1" s="7" t="b">
        <f>IF(B25="含头含尾",TRUE,FALSE)</f>
        <v>1</v>
      </c>
      <c r="I1" t="s">
        <v>30</v>
      </c>
    </row>
    <row r="2" spans="1:10" x14ac:dyDescent="0.3">
      <c r="A2" s="6" t="s">
        <v>5</v>
      </c>
      <c r="B2" s="10" t="str">
        <f>_xlfn.TEXTJOIN(,TRUE,IF(B13&gt;0,"增强型",""),IF(B15="每日观察","","欧式"),IF(AND(B21=B20,B20&lt;0.9),"不追保",""),IF(B16&lt;1,"OTM",""),"早利雪球")</f>
        <v>早利雪球</v>
      </c>
      <c r="C2" s="19" t="s">
        <v>1</v>
      </c>
      <c r="D2" s="23" t="s">
        <v>12</v>
      </c>
      <c r="E2" s="23" t="s">
        <v>54</v>
      </c>
      <c r="F2" s="23" t="s">
        <v>33</v>
      </c>
      <c r="G2" s="25"/>
      <c r="H2" s="29">
        <v>46031</v>
      </c>
      <c r="I2">
        <v>8129.1831000000002</v>
      </c>
      <c r="J2" cm="1">
        <f t="array" ref="J2">_xll.ValuateSnowball($C$1,$B$3,$B$7,_xlfn.ANCHORARRAY($C$3),_xlfn.ANCHORARRAY($D$3),_xlfn.ANCHORARRAY($F$3),$B$13,$B$19,$B$14,$B$16,$B$17,$B$20,$B$21,$B$23+$B$31,$B$22,$B$24,$G$1,$E$1,H2+0.625,I2,$B$34,$B$35,$B$36,FALSE,"NPV")*$B$6/$B$3</f>
        <v>137388.54488096651</v>
      </c>
    </row>
    <row r="3" spans="1:10" x14ac:dyDescent="0.3">
      <c r="A3" s="6" t="s">
        <v>70</v>
      </c>
      <c r="B3" s="10">
        <v>8080.6</v>
      </c>
      <c r="C3" s="26" cm="1">
        <f t="array" ref="C3:C24">_xll.ScheduleDates(C1,B7,B8,"1M",B9,"MODIFIED_FOLLOWING")</f>
        <v>46121</v>
      </c>
      <c r="D3" s="27" cm="1">
        <f t="array" ref="D3:D24">_xll.GenerateBarriers(_xlfn.ANCHORARRAY(C3),B11,B12)</f>
        <v>1</v>
      </c>
      <c r="E3" s="27" cm="1">
        <f t="array" ref="E3:E24">_xll.GenerateBonusCoupons(C1,B7,_xlfn.ANCHORARRAY(C3),B10,-1,B18)</f>
        <v>-1</v>
      </c>
      <c r="F3" s="27" cm="1">
        <f t="array" ref="F3:F24">_xll.GenerateBonusCoupons(C1,B7,_xlfn.ANCHORARRAY(C3),B10,B29,B18)</f>
        <v>0.27500000000000002</v>
      </c>
      <c r="G3" s="25"/>
      <c r="H3" s="29">
        <v>46034</v>
      </c>
      <c r="I3">
        <v>8357.0107000000007</v>
      </c>
      <c r="J3">
        <v>713606.35122084839</v>
      </c>
    </row>
    <row r="4" spans="1:10" x14ac:dyDescent="0.3">
      <c r="A4" s="6" t="s">
        <v>71</v>
      </c>
      <c r="B4" s="31">
        <v>46050</v>
      </c>
      <c r="C4" s="20">
        <v>46153</v>
      </c>
      <c r="D4" s="24">
        <v>0.995</v>
      </c>
      <c r="E4" s="24">
        <v>-1</v>
      </c>
      <c r="F4" s="24">
        <v>0.27500000000000002</v>
      </c>
      <c r="G4" s="25"/>
      <c r="H4" s="29">
        <v>46035</v>
      </c>
      <c r="I4">
        <v>8203.1327000000001</v>
      </c>
      <c r="J4">
        <v>379446.3914573717</v>
      </c>
    </row>
    <row r="5" spans="1:10" x14ac:dyDescent="0.3">
      <c r="A5" s="6" t="s">
        <v>0</v>
      </c>
      <c r="B5" s="11" t="s">
        <v>30</v>
      </c>
      <c r="C5" s="20">
        <v>46182</v>
      </c>
      <c r="D5" s="24">
        <v>0.99</v>
      </c>
      <c r="E5" s="24">
        <v>-1</v>
      </c>
      <c r="F5" s="24">
        <v>0.27500000000000002</v>
      </c>
      <c r="G5" s="25"/>
      <c r="H5" s="29">
        <v>46036</v>
      </c>
      <c r="I5">
        <v>8257.1715999999997</v>
      </c>
      <c r="J5">
        <v>534673.58055205992</v>
      </c>
    </row>
    <row r="6" spans="1:10" x14ac:dyDescent="0.3">
      <c r="A6" s="6" t="s">
        <v>7</v>
      </c>
      <c r="B6" s="12">
        <v>30000000</v>
      </c>
      <c r="C6" s="20">
        <v>46212</v>
      </c>
      <c r="D6" s="24">
        <v>0.98499999999999999</v>
      </c>
      <c r="E6" s="24">
        <v>-1</v>
      </c>
      <c r="F6" s="24">
        <v>0.27500000000000002</v>
      </c>
      <c r="G6" s="25"/>
      <c r="H6" s="29">
        <v>46037</v>
      </c>
      <c r="I6">
        <v>8240.7751000000007</v>
      </c>
      <c r="J6">
        <v>518299.9386074107</v>
      </c>
    </row>
    <row r="7" spans="1:10" x14ac:dyDescent="0.3">
      <c r="A7" s="6" t="s">
        <v>8</v>
      </c>
      <c r="B7" s="13">
        <v>46031.625</v>
      </c>
      <c r="C7" s="20">
        <v>46244</v>
      </c>
      <c r="D7" s="24">
        <v>0.98</v>
      </c>
      <c r="E7" s="24">
        <v>-1</v>
      </c>
      <c r="F7" s="24">
        <v>0.27500000000000002</v>
      </c>
      <c r="G7" s="25"/>
      <c r="H7" s="29">
        <v>46038</v>
      </c>
      <c r="I7">
        <v>8232.7293000000009</v>
      </c>
      <c r="J7">
        <v>521806.78465327877</v>
      </c>
    </row>
    <row r="8" spans="1:10" x14ac:dyDescent="0.3">
      <c r="A8" s="6" t="s">
        <v>9</v>
      </c>
      <c r="B8" s="10" t="s">
        <v>10</v>
      </c>
      <c r="C8" s="20">
        <v>46274</v>
      </c>
      <c r="D8" s="24">
        <v>0.97499999999999998</v>
      </c>
      <c r="E8" s="24">
        <v>-1</v>
      </c>
      <c r="F8" s="24">
        <v>0.27500000000000002</v>
      </c>
      <c r="G8" s="25"/>
      <c r="H8" s="29">
        <v>46041</v>
      </c>
      <c r="I8">
        <v>8265.6461999999992</v>
      </c>
      <c r="J8">
        <v>622765.97928819444</v>
      </c>
    </row>
    <row r="9" spans="1:10" x14ac:dyDescent="0.3">
      <c r="A9" s="6" t="s">
        <v>11</v>
      </c>
      <c r="B9" s="10">
        <v>3</v>
      </c>
      <c r="C9" s="20">
        <v>46304</v>
      </c>
      <c r="D9" s="24">
        <v>0.97</v>
      </c>
      <c r="E9" s="24">
        <v>-1</v>
      </c>
      <c r="F9" s="24">
        <v>0.27500000000000002</v>
      </c>
      <c r="G9" s="25"/>
      <c r="H9" s="29">
        <v>46042</v>
      </c>
      <c r="I9">
        <v>8182.7521999999999</v>
      </c>
      <c r="J9">
        <v>444043.93308373325</v>
      </c>
    </row>
    <row r="10" spans="1:10" x14ac:dyDescent="0.3">
      <c r="A10" s="6" t="s">
        <v>56</v>
      </c>
      <c r="B10" s="10" t="s">
        <v>57</v>
      </c>
      <c r="C10" s="20">
        <v>46335</v>
      </c>
      <c r="D10" s="24">
        <v>0.96499999999999997</v>
      </c>
      <c r="E10" s="24">
        <v>-1</v>
      </c>
      <c r="F10" s="24">
        <v>0.27500000000000002</v>
      </c>
      <c r="G10" s="25"/>
      <c r="H10" s="29">
        <v>46043</v>
      </c>
      <c r="I10">
        <v>8247.6797999999999</v>
      </c>
      <c r="J10">
        <v>626824.70479249035</v>
      </c>
    </row>
    <row r="11" spans="1:10" x14ac:dyDescent="0.3">
      <c r="A11" s="6" t="s">
        <v>12</v>
      </c>
      <c r="B11" s="14">
        <v>1</v>
      </c>
      <c r="C11" s="20">
        <v>46365</v>
      </c>
      <c r="D11" s="24">
        <v>0.96</v>
      </c>
      <c r="E11" s="24">
        <v>-1</v>
      </c>
      <c r="F11" s="24">
        <v>0.27500000000000002</v>
      </c>
      <c r="G11" s="25"/>
      <c r="H11" s="29">
        <v>46044</v>
      </c>
      <c r="I11">
        <v>8309.3456000000006</v>
      </c>
      <c r="J11">
        <v>788792.35967297282</v>
      </c>
    </row>
    <row r="12" spans="1:10" x14ac:dyDescent="0.3">
      <c r="A12" s="6" t="s">
        <v>13</v>
      </c>
      <c r="B12" s="14">
        <v>-5.0000000000000001E-3</v>
      </c>
      <c r="C12" s="20">
        <v>46398</v>
      </c>
      <c r="D12" s="24">
        <v>0.95499999999999996</v>
      </c>
      <c r="E12" s="24">
        <v>-1</v>
      </c>
      <c r="F12" s="24">
        <v>0.27500000000000002</v>
      </c>
      <c r="G12" s="25"/>
      <c r="H12" s="29">
        <v>46045</v>
      </c>
      <c r="I12">
        <v>8470.7438000000002</v>
      </c>
      <c r="J12">
        <v>1120432.2935809956</v>
      </c>
    </row>
    <row r="13" spans="1:10" x14ac:dyDescent="0.3">
      <c r="A13" s="6" t="s">
        <v>14</v>
      </c>
      <c r="B13" s="14">
        <v>0</v>
      </c>
      <c r="C13" s="20">
        <v>46433</v>
      </c>
      <c r="D13" s="24">
        <v>0.95</v>
      </c>
      <c r="E13" s="24">
        <v>0.05</v>
      </c>
      <c r="F13" s="24">
        <v>0.05</v>
      </c>
      <c r="G13" s="25"/>
      <c r="H13" s="29">
        <v>46048</v>
      </c>
      <c r="I13">
        <v>8365.4344999999994</v>
      </c>
      <c r="J13">
        <v>949399.00496536586</v>
      </c>
    </row>
    <row r="14" spans="1:10" x14ac:dyDescent="0.3">
      <c r="A14" s="6" t="s">
        <v>2</v>
      </c>
      <c r="B14" s="14">
        <v>0.65</v>
      </c>
      <c r="C14" s="20">
        <v>46455</v>
      </c>
      <c r="D14" s="24">
        <v>0.94499999999999995</v>
      </c>
      <c r="E14" s="24">
        <v>0.05</v>
      </c>
      <c r="F14" s="24">
        <v>0.05</v>
      </c>
      <c r="G14" s="25"/>
      <c r="H14" s="29">
        <v>46049</v>
      </c>
      <c r="I14">
        <v>8382.1532999999999</v>
      </c>
      <c r="J14">
        <v>1003937.291469543</v>
      </c>
    </row>
    <row r="15" spans="1:10" x14ac:dyDescent="0.3">
      <c r="A15" s="6" t="s">
        <v>15</v>
      </c>
      <c r="B15" s="11" t="s">
        <v>31</v>
      </c>
      <c r="C15" s="20">
        <v>46486</v>
      </c>
      <c r="D15" s="24">
        <v>0.94</v>
      </c>
      <c r="E15" s="24">
        <v>0.05</v>
      </c>
      <c r="F15" s="24">
        <v>0.05</v>
      </c>
      <c r="G15" s="25"/>
    </row>
    <row r="16" spans="1:10" x14ac:dyDescent="0.3">
      <c r="A16" s="6" t="s">
        <v>17</v>
      </c>
      <c r="B16" s="14">
        <v>1</v>
      </c>
      <c r="C16" s="20">
        <v>46517</v>
      </c>
      <c r="D16" s="24">
        <v>0.93500000000000005</v>
      </c>
      <c r="E16" s="24">
        <v>0.05</v>
      </c>
      <c r="F16" s="24">
        <v>0.05</v>
      </c>
      <c r="G16" s="25"/>
      <c r="H16" t="s">
        <v>66</v>
      </c>
    </row>
    <row r="17" spans="1:7" x14ac:dyDescent="0.3">
      <c r="A17" s="6" t="s">
        <v>18</v>
      </c>
      <c r="B17" s="14">
        <v>1</v>
      </c>
      <c r="C17" s="20">
        <v>46548</v>
      </c>
      <c r="D17" s="24">
        <v>0.92999999999999994</v>
      </c>
      <c r="E17" s="24">
        <v>0.05</v>
      </c>
      <c r="F17" s="24">
        <v>0.05</v>
      </c>
      <c r="G17" s="25"/>
    </row>
    <row r="18" spans="1:7" x14ac:dyDescent="0.3">
      <c r="A18" s="6" t="s">
        <v>58</v>
      </c>
      <c r="B18" s="14">
        <v>0.05</v>
      </c>
      <c r="C18" s="20">
        <v>46577</v>
      </c>
      <c r="D18" s="24">
        <v>0.92500000000000004</v>
      </c>
      <c r="E18" s="24">
        <v>0.05</v>
      </c>
      <c r="F18" s="24">
        <v>0.05</v>
      </c>
      <c r="G18" s="25"/>
    </row>
    <row r="19" spans="1:7" x14ac:dyDescent="0.3">
      <c r="A19" s="6" t="s">
        <v>19</v>
      </c>
      <c r="B19" s="14">
        <v>0.05</v>
      </c>
      <c r="C19" s="20">
        <v>46608</v>
      </c>
      <c r="D19" s="24">
        <v>0.92</v>
      </c>
      <c r="E19" s="24">
        <v>0.05</v>
      </c>
      <c r="F19" s="24">
        <v>0.05</v>
      </c>
      <c r="G19" s="25"/>
    </row>
    <row r="20" spans="1:7" x14ac:dyDescent="0.3">
      <c r="A20" s="6" t="s">
        <v>20</v>
      </c>
      <c r="B20" s="14">
        <v>1</v>
      </c>
      <c r="C20" s="20">
        <v>46639</v>
      </c>
      <c r="D20" s="24">
        <v>0.91500000000000004</v>
      </c>
      <c r="E20" s="24">
        <v>0.05</v>
      </c>
      <c r="F20" s="24">
        <v>0.05</v>
      </c>
      <c r="G20" s="25"/>
    </row>
    <row r="21" spans="1:7" x14ac:dyDescent="0.3">
      <c r="A21" s="6" t="s">
        <v>21</v>
      </c>
      <c r="B21" s="14">
        <v>1</v>
      </c>
      <c r="C21" s="20">
        <v>46671</v>
      </c>
      <c r="D21" s="24">
        <v>0.91</v>
      </c>
      <c r="E21" s="24">
        <v>0.05</v>
      </c>
      <c r="F21" s="24">
        <v>0.05</v>
      </c>
      <c r="G21" s="25"/>
    </row>
    <row r="22" spans="1:7" x14ac:dyDescent="0.3">
      <c r="A22" s="6" t="s">
        <v>22</v>
      </c>
      <c r="B22" s="14">
        <v>0</v>
      </c>
      <c r="C22" s="20">
        <v>46700</v>
      </c>
      <c r="D22" s="24">
        <v>0.90500000000000003</v>
      </c>
      <c r="E22" s="24">
        <v>0.05</v>
      </c>
      <c r="F22" s="24">
        <v>0.05</v>
      </c>
      <c r="G22" s="25"/>
    </row>
    <row r="23" spans="1:7" x14ac:dyDescent="0.3">
      <c r="A23" s="6" t="s">
        <v>23</v>
      </c>
      <c r="B23" s="14">
        <v>0</v>
      </c>
      <c r="C23" s="20">
        <v>46730</v>
      </c>
      <c r="D23" s="24">
        <v>0.9</v>
      </c>
      <c r="E23" s="24">
        <v>0.05</v>
      </c>
      <c r="F23" s="24">
        <v>0.05</v>
      </c>
      <c r="G23" s="25"/>
    </row>
    <row r="24" spans="1:7" x14ac:dyDescent="0.3">
      <c r="A24" s="6" t="s">
        <v>24</v>
      </c>
      <c r="B24" s="10">
        <v>0</v>
      </c>
      <c r="C24" s="20">
        <v>46762</v>
      </c>
      <c r="D24" s="24">
        <v>0.89500000000000002</v>
      </c>
      <c r="E24" s="24">
        <v>0.05</v>
      </c>
      <c r="F24" s="24">
        <v>0.05</v>
      </c>
      <c r="G24" s="25"/>
    </row>
    <row r="25" spans="1:7" x14ac:dyDescent="0.3">
      <c r="A25" s="6" t="s">
        <v>25</v>
      </c>
      <c r="B25" s="11" t="s">
        <v>32</v>
      </c>
      <c r="C25" s="20"/>
      <c r="D25" s="24"/>
      <c r="E25" s="24"/>
      <c r="F25" s="24"/>
      <c r="G25" s="25"/>
    </row>
    <row r="26" spans="1:7" x14ac:dyDescent="0.3">
      <c r="A26" s="6" t="s">
        <v>27</v>
      </c>
      <c r="B26" s="14">
        <v>0</v>
      </c>
      <c r="C26" s="20"/>
      <c r="D26" s="24"/>
      <c r="E26" s="24"/>
      <c r="F26" s="24"/>
      <c r="G26" s="25"/>
    </row>
    <row r="27" spans="1:7" x14ac:dyDescent="0.3">
      <c r="A27" s="6" t="s">
        <v>28</v>
      </c>
      <c r="B27" s="14" t="s">
        <v>29</v>
      </c>
      <c r="C27" s="20"/>
      <c r="D27" s="24"/>
      <c r="E27" s="24"/>
      <c r="F27" s="24"/>
      <c r="G27" s="25"/>
    </row>
    <row r="28" spans="1:7" x14ac:dyDescent="0.3">
      <c r="A28" s="7"/>
      <c r="B28" s="14"/>
      <c r="C28" s="20"/>
      <c r="D28" s="24"/>
      <c r="E28" s="24"/>
      <c r="F28" s="24"/>
      <c r="G28" s="25"/>
    </row>
    <row r="29" spans="1:7" x14ac:dyDescent="0.3">
      <c r="A29" s="6" t="s">
        <v>59</v>
      </c>
      <c r="B29" s="15">
        <v>0.27500000000000002</v>
      </c>
      <c r="C29" s="20"/>
      <c r="D29" s="24"/>
      <c r="E29" s="24"/>
      <c r="F29" s="24"/>
      <c r="G29" s="25"/>
    </row>
    <row r="30" spans="1:7" x14ac:dyDescent="0.3">
      <c r="A30" s="7"/>
      <c r="B30" s="14"/>
      <c r="C30" s="20"/>
      <c r="D30" s="24"/>
      <c r="E30" s="24"/>
      <c r="F30" s="24"/>
      <c r="G30" s="25"/>
    </row>
    <row r="31" spans="1:7" x14ac:dyDescent="0.3">
      <c r="A31" s="6" t="s">
        <v>34</v>
      </c>
      <c r="B31" s="14">
        <v>0</v>
      </c>
      <c r="C31" s="20"/>
      <c r="D31" s="24"/>
      <c r="E31" s="24"/>
      <c r="F31" s="24"/>
      <c r="G31" s="25"/>
    </row>
    <row r="32" spans="1:7" x14ac:dyDescent="0.3">
      <c r="A32" s="6" t="s">
        <v>35</v>
      </c>
      <c r="B32" s="14" t="s">
        <v>36</v>
      </c>
      <c r="C32" s="20"/>
      <c r="D32" s="24"/>
      <c r="E32" s="24"/>
      <c r="F32" s="24"/>
      <c r="G32" s="25"/>
    </row>
    <row r="33" spans="1:7" x14ac:dyDescent="0.3">
      <c r="A33" s="7"/>
      <c r="B33" s="14"/>
      <c r="C33" s="20"/>
      <c r="D33" s="24"/>
      <c r="E33" s="24"/>
      <c r="F33" s="24"/>
      <c r="G33" s="25"/>
    </row>
    <row r="34" spans="1:7" x14ac:dyDescent="0.3">
      <c r="A34" s="6" t="s">
        <v>37</v>
      </c>
      <c r="B34" s="16">
        <v>2.1000000000000001E-2</v>
      </c>
      <c r="C34" s="20"/>
      <c r="D34" s="24"/>
      <c r="E34" s="24"/>
      <c r="F34" s="24"/>
      <c r="G34" s="25"/>
    </row>
    <row r="35" spans="1:7" x14ac:dyDescent="0.3">
      <c r="A35" s="6" t="s">
        <v>38</v>
      </c>
      <c r="B35" s="14">
        <v>-8.1110000000000002E-2</v>
      </c>
      <c r="C35" s="20"/>
      <c r="D35" s="24"/>
      <c r="E35" s="24"/>
      <c r="F35" s="24"/>
      <c r="G35" s="25"/>
    </row>
    <row r="36" spans="1:7" x14ac:dyDescent="0.3">
      <c r="A36" s="6" t="s">
        <v>39</v>
      </c>
      <c r="B36" s="14">
        <v>0.182</v>
      </c>
      <c r="C36" s="20"/>
      <c r="D36" s="24"/>
      <c r="E36" s="24"/>
      <c r="F36" s="24"/>
      <c r="G36" s="25"/>
    </row>
    <row r="37" spans="1:7" x14ac:dyDescent="0.3">
      <c r="A37" s="7"/>
      <c r="B37" s="10"/>
      <c r="C37" s="20"/>
      <c r="D37" s="24"/>
      <c r="E37" s="24"/>
      <c r="F37" s="24"/>
      <c r="G37" s="25"/>
    </row>
    <row r="38" spans="1:7" x14ac:dyDescent="0.3">
      <c r="A38" s="8" t="s">
        <v>40</v>
      </c>
      <c r="B38" s="10"/>
      <c r="C38" s="20"/>
      <c r="D38" s="24"/>
      <c r="E38" s="24"/>
      <c r="F38" s="24"/>
      <c r="G38" s="25"/>
    </row>
    <row r="39" spans="1:7" x14ac:dyDescent="0.3">
      <c r="A39" s="6" t="s">
        <v>41</v>
      </c>
      <c r="B39" s="17">
        <f>B47*100</f>
        <v>78.152057592031369</v>
      </c>
      <c r="C39" s="20"/>
      <c r="D39" s="24"/>
      <c r="E39" s="24"/>
      <c r="F39" s="24"/>
      <c r="G39" s="25"/>
    </row>
    <row r="40" spans="1:7" x14ac:dyDescent="0.3">
      <c r="A40" s="6" t="s">
        <v>42</v>
      </c>
      <c r="B40" s="17">
        <f>B48*1%*100</f>
        <v>-6.3461152961341583</v>
      </c>
      <c r="C40" s="20"/>
      <c r="D40" s="24"/>
      <c r="E40" s="24"/>
      <c r="F40" s="24"/>
      <c r="G40" s="25"/>
    </row>
    <row r="41" spans="1:7" x14ac:dyDescent="0.3">
      <c r="A41" s="6" t="s">
        <v>43</v>
      </c>
      <c r="B41" s="17">
        <f>B49*1%*100</f>
        <v>-0.57898289248327073</v>
      </c>
      <c r="C41" s="20"/>
      <c r="D41" s="24"/>
      <c r="E41" s="24"/>
      <c r="F41" s="24"/>
      <c r="G41" s="25"/>
    </row>
    <row r="42" spans="1:7" x14ac:dyDescent="0.3">
      <c r="A42" s="6" t="s">
        <v>44</v>
      </c>
      <c r="B42" s="17">
        <f>B50*1/242*100</f>
        <v>7.850583165656122E-2</v>
      </c>
      <c r="C42" s="20"/>
      <c r="D42" s="24"/>
      <c r="E42" s="24"/>
      <c r="F42" s="24"/>
      <c r="G42" s="25"/>
    </row>
    <row r="43" spans="1:7" x14ac:dyDescent="0.3">
      <c r="A43" s="6" t="s">
        <v>45</v>
      </c>
      <c r="B43" s="17">
        <f>1%*B51*100</f>
        <v>-0.74137859924076066</v>
      </c>
      <c r="C43" s="20"/>
      <c r="D43" s="24"/>
      <c r="E43" s="24"/>
      <c r="F43" s="24"/>
      <c r="G43" s="25"/>
    </row>
    <row r="44" spans="1:7" x14ac:dyDescent="0.3">
      <c r="A44" s="6" t="s">
        <v>46</v>
      </c>
      <c r="B44" s="17">
        <f>1%*B52*100</f>
        <v>-0.85311816636461923</v>
      </c>
      <c r="C44" s="20"/>
      <c r="D44" s="24"/>
      <c r="E44" s="24"/>
      <c r="F44" s="24"/>
      <c r="G44" s="25"/>
    </row>
    <row r="45" spans="1:7" x14ac:dyDescent="0.3">
      <c r="A45" s="7"/>
      <c r="B45" s="17">
        <f>B46*B6</f>
        <v>-101.28419005495104</v>
      </c>
      <c r="C45" s="20"/>
      <c r="D45" s="24"/>
      <c r="E45" s="24"/>
      <c r="F45" s="24"/>
      <c r="G45" s="25"/>
    </row>
    <row r="46" spans="1:7" x14ac:dyDescent="0.3">
      <c r="A46" s="6" t="s">
        <v>47</v>
      </c>
      <c r="B46" s="28" cm="1">
        <f t="array" ref="B46:B52">_xll.ValuateSnowball(C1,1,B7,_xlfn.ANCHORARRAY(C3),_xlfn.ANCHORARRAY(D3),_xlfn.ANCHORARRAY(F3),B13,B19,B14,B16,B17,B20,B21,B23+B31,B22,B24,G1,E1,B7,1,B34,B35,B36,FALSE,"ALL")</f>
        <v>-3.376139668498368E-6</v>
      </c>
      <c r="C46" s="20"/>
      <c r="D46" s="24"/>
      <c r="E46" s="24"/>
      <c r="F46" s="24"/>
      <c r="G46" s="25"/>
    </row>
    <row r="47" spans="1:7" x14ac:dyDescent="0.3">
      <c r="A47" s="6" t="s">
        <v>48</v>
      </c>
      <c r="B47" s="17">
        <v>0.78152057592031365</v>
      </c>
      <c r="C47" s="20"/>
      <c r="D47" s="24"/>
      <c r="E47" s="24"/>
      <c r="F47" s="24"/>
      <c r="G47" s="25"/>
    </row>
    <row r="48" spans="1:7" x14ac:dyDescent="0.3">
      <c r="A48" s="6" t="s">
        <v>49</v>
      </c>
      <c r="B48" s="17">
        <v>-6.3461152961341583</v>
      </c>
      <c r="C48" s="20"/>
      <c r="D48" s="24"/>
      <c r="E48" s="24"/>
      <c r="F48" s="24"/>
      <c r="G48" s="25"/>
    </row>
    <row r="49" spans="1:7" x14ac:dyDescent="0.3">
      <c r="A49" s="6" t="s">
        <v>50</v>
      </c>
      <c r="B49" s="17">
        <v>-0.57898289248327073</v>
      </c>
      <c r="C49" s="20"/>
      <c r="D49" s="24"/>
      <c r="E49" s="24"/>
      <c r="F49" s="24"/>
      <c r="G49" s="25"/>
    </row>
    <row r="50" spans="1:7" x14ac:dyDescent="0.3">
      <c r="A50" s="6" t="s">
        <v>51</v>
      </c>
      <c r="B50" s="17">
        <v>0.18998411260887815</v>
      </c>
      <c r="C50" s="20"/>
      <c r="D50" s="24"/>
      <c r="E50" s="24"/>
      <c r="F50" s="24"/>
      <c r="G50" s="25"/>
    </row>
    <row r="51" spans="1:7" x14ac:dyDescent="0.3">
      <c r="A51" s="6" t="s">
        <v>52</v>
      </c>
      <c r="B51" s="17">
        <v>-0.74137859924076066</v>
      </c>
      <c r="C51" s="20"/>
      <c r="D51" s="24"/>
      <c r="E51" s="24"/>
      <c r="F51" s="24"/>
      <c r="G51" s="25"/>
    </row>
    <row r="52" spans="1:7" x14ac:dyDescent="0.3">
      <c r="A52" s="6" t="s">
        <v>53</v>
      </c>
      <c r="B52" s="17">
        <v>-0.85311816636461923</v>
      </c>
      <c r="C52" s="20"/>
      <c r="D52" s="24"/>
      <c r="E52" s="24"/>
      <c r="F52" s="24"/>
      <c r="G52" s="25"/>
    </row>
  </sheetData>
  <phoneticPr fontId="2" type="noConversion"/>
  <dataValidations count="3">
    <dataValidation type="list" showInputMessage="1" showErrorMessage="1" sqref="B5" xr:uid="{02D0926D-3E2A-47F5-B9CF-7175BB7C4834}">
      <formula1>"000852.SH,000905.SH,000300.SH,000016.SH,513180.SH"</formula1>
    </dataValidation>
    <dataValidation type="list" showInputMessage="1" showErrorMessage="1" sqref="B15" xr:uid="{04458BA9-D7A8-4401-8489-436BE53FD871}">
      <formula1>"每日观察,到期观察"</formula1>
    </dataValidation>
    <dataValidation type="list" showInputMessage="1" showErrorMessage="1" sqref="B25" xr:uid="{0325EB7D-55B7-47B9-9642-85D2439CF63D}">
      <formula1>"含头含尾,含头不含尾"</formula1>
    </dataValidation>
  </dataValidations>
  <pageMargins left="0.7" right="0.7" top="0.75" bottom="0.75" header="0.3" footer="0.3"/>
  <legacy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1449CD7-D940-4629-9711-4D280F2886EC}">
  <dimension ref="A1:J52"/>
  <sheetViews>
    <sheetView workbookViewId="0">
      <selection activeCell="J2" sqref="J2:J20"/>
    </sheetView>
  </sheetViews>
  <sheetFormatPr defaultColWidth="22.1328125" defaultRowHeight="13.5" x14ac:dyDescent="0.3"/>
  <cols>
    <col min="1" max="1" width="19.1328125" style="2" customWidth="1"/>
    <col min="2" max="2" width="22.1328125" style="1"/>
    <col min="3" max="3" width="22.1328125" style="21"/>
    <col min="4" max="6" width="22.1328125" style="3"/>
    <col min="7" max="7" width="22.1328125" style="2"/>
    <col min="8" max="8" width="11.59765625" bestFit="1" customWidth="1"/>
  </cols>
  <sheetData>
    <row r="1" spans="1:10" x14ac:dyDescent="0.3">
      <c r="A1" s="6" t="s">
        <v>6</v>
      </c>
      <c r="B1" s="9" t="s">
        <v>84</v>
      </c>
      <c r="C1" s="18" t="s">
        <v>55</v>
      </c>
      <c r="D1" s="22"/>
      <c r="E1" s="22" t="b">
        <f>(B15="每日观察")</f>
        <v>1</v>
      </c>
      <c r="F1" s="22"/>
      <c r="G1" s="7" t="b">
        <f>IF(B25="含头含尾",TRUE,FALSE)</f>
        <v>1</v>
      </c>
      <c r="I1" t="s">
        <v>30</v>
      </c>
    </row>
    <row r="2" spans="1:10" x14ac:dyDescent="0.3">
      <c r="A2" s="6" t="s">
        <v>5</v>
      </c>
      <c r="B2" s="10" t="str">
        <f>_xlfn.TEXTJOIN(,TRUE,IF(B13&gt;0,"增强型",""),IF(B15="每日观察","","欧式"),IF(AND(B21=B20,B20&lt;0.9),"不追保",""),IF(B16&lt;1,"OTM",""),"早利雪球")</f>
        <v>早利雪球</v>
      </c>
      <c r="C2" s="19" t="s">
        <v>1</v>
      </c>
      <c r="D2" s="23" t="s">
        <v>12</v>
      </c>
      <c r="E2" s="23" t="s">
        <v>54</v>
      </c>
      <c r="F2" s="23" t="s">
        <v>33</v>
      </c>
      <c r="G2" s="25"/>
      <c r="H2" s="29">
        <v>46021</v>
      </c>
      <c r="I2">
        <v>7597.299</v>
      </c>
      <c r="J2" cm="1">
        <f t="array" ref="J2">_xll.ValuateSnowball($C$1,$B$3,$B$7,_xlfn.ANCHORARRAY($C$3),_xlfn.ANCHORARRAY($D$3),_xlfn.ANCHORARRAY($F$3),$B$13,$B$19,$B$14,$B$16,$B$17,$B$20,$B$21,$B$23+$B$31,$B$22,$B$24,$G$1,$E$1,H2+0.625,I2,$B$34,$B$35,$B$36,FALSE,"NPV")*$B$6/$B$3</f>
        <v>-29.526894045256054</v>
      </c>
    </row>
    <row r="3" spans="1:10" x14ac:dyDescent="0.3">
      <c r="A3" s="6" t="s">
        <v>70</v>
      </c>
      <c r="B3" s="10">
        <v>7597.3</v>
      </c>
      <c r="C3" s="26" cm="1">
        <f t="array" ref="C3:C24">_xll.ScheduleDates(C1,B7,B8,"1M",B9,"MODIFIED_FOLLOWING")</f>
        <v>46111</v>
      </c>
      <c r="D3" s="27" cm="1">
        <f t="array" ref="D3:D24">_xll.GenerateBarriers(_xlfn.ANCHORARRAY(C3),B11,B12)</f>
        <v>1</v>
      </c>
      <c r="E3" s="27" cm="1">
        <f t="array" ref="E3:E24">_xll.GenerateBonusCoupons(C1,B7,_xlfn.ANCHORARRAY(C3),B10,-1,B18)</f>
        <v>-1</v>
      </c>
      <c r="F3" s="27" cm="1">
        <f t="array" ref="F3:F24">_xll.GenerateBonusCoupons(C1,B7,_xlfn.ANCHORARRAY(C3),B10,B29,B18)</f>
        <v>0.28000000000000003</v>
      </c>
      <c r="G3" s="25"/>
      <c r="H3" s="29">
        <v>46022</v>
      </c>
      <c r="I3">
        <v>7595.2844999999998</v>
      </c>
      <c r="J3">
        <v>11649.542202540857</v>
      </c>
    </row>
    <row r="4" spans="1:10" x14ac:dyDescent="0.3">
      <c r="A4" s="6" t="s">
        <v>71</v>
      </c>
      <c r="B4" s="31">
        <v>46050</v>
      </c>
      <c r="C4" s="20">
        <v>46142</v>
      </c>
      <c r="D4" s="24">
        <v>1</v>
      </c>
      <c r="E4" s="24">
        <v>-1</v>
      </c>
      <c r="F4" s="24">
        <v>0.28000000000000003</v>
      </c>
      <c r="G4" s="25"/>
      <c r="H4" s="29">
        <v>46027</v>
      </c>
      <c r="I4">
        <v>7753.88</v>
      </c>
      <c r="J4">
        <v>367171.31571474008</v>
      </c>
    </row>
    <row r="5" spans="1:10" x14ac:dyDescent="0.3">
      <c r="A5" s="6" t="s">
        <v>0</v>
      </c>
      <c r="B5" s="11" t="s">
        <v>30</v>
      </c>
      <c r="C5" s="20">
        <v>46171</v>
      </c>
      <c r="D5" s="24">
        <v>1</v>
      </c>
      <c r="E5" s="24">
        <v>-1</v>
      </c>
      <c r="F5" s="24">
        <v>0.28000000000000003</v>
      </c>
      <c r="G5" s="25"/>
      <c r="H5" s="29">
        <v>46028</v>
      </c>
      <c r="I5">
        <v>7864.9034000000001</v>
      </c>
      <c r="J5">
        <v>583649.77990605147</v>
      </c>
    </row>
    <row r="6" spans="1:10" x14ac:dyDescent="0.3">
      <c r="A6" s="6" t="s">
        <v>7</v>
      </c>
      <c r="B6" s="12">
        <v>22000000</v>
      </c>
      <c r="C6" s="20">
        <v>46203</v>
      </c>
      <c r="D6" s="24">
        <v>1</v>
      </c>
      <c r="E6" s="24">
        <v>-1</v>
      </c>
      <c r="F6" s="24">
        <v>0.28000000000000003</v>
      </c>
      <c r="G6" s="25"/>
      <c r="H6" s="29">
        <v>46029</v>
      </c>
      <c r="I6">
        <v>7906.4197000000004</v>
      </c>
      <c r="J6">
        <v>666178.83991675708</v>
      </c>
    </row>
    <row r="7" spans="1:10" x14ac:dyDescent="0.3">
      <c r="A7" s="6" t="s">
        <v>8</v>
      </c>
      <c r="B7" s="13">
        <v>46021.625</v>
      </c>
      <c r="C7" s="20">
        <v>46233</v>
      </c>
      <c r="D7" s="24">
        <v>1</v>
      </c>
      <c r="E7" s="24">
        <v>-1</v>
      </c>
      <c r="F7" s="24">
        <v>0.28000000000000003</v>
      </c>
      <c r="G7" s="25"/>
      <c r="H7" s="29">
        <v>46030</v>
      </c>
      <c r="I7">
        <v>7971.5887000000002</v>
      </c>
      <c r="J7">
        <v>778094.65487794299</v>
      </c>
    </row>
    <row r="8" spans="1:10" x14ac:dyDescent="0.3">
      <c r="A8" s="6" t="s">
        <v>9</v>
      </c>
      <c r="B8" s="10" t="s">
        <v>10</v>
      </c>
      <c r="C8" s="20">
        <v>46265</v>
      </c>
      <c r="D8" s="24">
        <v>1</v>
      </c>
      <c r="E8" s="24">
        <v>-1</v>
      </c>
      <c r="F8" s="24">
        <v>0.28000000000000003</v>
      </c>
      <c r="G8" s="25"/>
      <c r="H8" s="29">
        <v>46031</v>
      </c>
      <c r="I8">
        <v>8129.1831000000002</v>
      </c>
      <c r="J8">
        <v>986482.93784537714</v>
      </c>
    </row>
    <row r="9" spans="1:10" x14ac:dyDescent="0.3">
      <c r="A9" s="6" t="s">
        <v>11</v>
      </c>
      <c r="B9" s="10">
        <v>3</v>
      </c>
      <c r="C9" s="20">
        <v>46295</v>
      </c>
      <c r="D9" s="24">
        <v>1</v>
      </c>
      <c r="E9" s="24">
        <v>-1</v>
      </c>
      <c r="F9" s="24">
        <v>0.28000000000000003</v>
      </c>
      <c r="G9" s="25"/>
      <c r="H9" s="29">
        <v>46034</v>
      </c>
      <c r="I9">
        <v>8357.0107000000007</v>
      </c>
      <c r="J9">
        <v>1192530.4577015841</v>
      </c>
    </row>
    <row r="10" spans="1:10" x14ac:dyDescent="0.3">
      <c r="A10" s="6" t="s">
        <v>56</v>
      </c>
      <c r="B10" s="10" t="s">
        <v>57</v>
      </c>
      <c r="C10" s="20">
        <v>46325</v>
      </c>
      <c r="D10" s="24">
        <v>1</v>
      </c>
      <c r="E10" s="24">
        <v>-1</v>
      </c>
      <c r="F10" s="24">
        <v>0.28000000000000003</v>
      </c>
      <c r="G10" s="25"/>
      <c r="H10" s="29">
        <v>46035</v>
      </c>
      <c r="I10">
        <v>8203.1327000000001</v>
      </c>
      <c r="J10">
        <v>1084320.4329988889</v>
      </c>
    </row>
    <row r="11" spans="1:10" x14ac:dyDescent="0.3">
      <c r="A11" s="6" t="s">
        <v>12</v>
      </c>
      <c r="B11" s="14">
        <v>1</v>
      </c>
      <c r="C11" s="20">
        <v>46356</v>
      </c>
      <c r="D11" s="24">
        <v>1</v>
      </c>
      <c r="E11" s="24">
        <v>-1</v>
      </c>
      <c r="F11" s="24">
        <v>0.28000000000000003</v>
      </c>
      <c r="G11" s="25"/>
      <c r="H11" s="29">
        <v>46036</v>
      </c>
      <c r="I11">
        <v>8257.1715999999997</v>
      </c>
      <c r="J11">
        <v>1141887.7352807943</v>
      </c>
    </row>
    <row r="12" spans="1:10" x14ac:dyDescent="0.3">
      <c r="A12" s="6" t="s">
        <v>13</v>
      </c>
      <c r="B12" s="14">
        <v>0</v>
      </c>
      <c r="C12" s="20">
        <v>46386</v>
      </c>
      <c r="D12" s="24">
        <v>1</v>
      </c>
      <c r="E12" s="24">
        <v>-1</v>
      </c>
      <c r="F12" s="24">
        <v>0.28000000000000003</v>
      </c>
      <c r="G12" s="25"/>
      <c r="H12" s="29">
        <v>46037</v>
      </c>
      <c r="I12">
        <v>8240.7751000000007</v>
      </c>
      <c r="J12">
        <v>1140324.7906300109</v>
      </c>
    </row>
    <row r="13" spans="1:10" x14ac:dyDescent="0.3">
      <c r="A13" s="6" t="s">
        <v>14</v>
      </c>
      <c r="B13" s="14">
        <v>0</v>
      </c>
      <c r="C13" s="20">
        <v>46416</v>
      </c>
      <c r="D13" s="24">
        <v>1</v>
      </c>
      <c r="E13" s="24">
        <v>0.05</v>
      </c>
      <c r="F13" s="24">
        <v>0.05</v>
      </c>
      <c r="G13" s="25"/>
      <c r="H13" s="29">
        <v>46038</v>
      </c>
      <c r="I13">
        <v>8232.7293000000009</v>
      </c>
      <c r="J13">
        <v>1145493.7447100973</v>
      </c>
    </row>
    <row r="14" spans="1:10" x14ac:dyDescent="0.3">
      <c r="A14" s="6" t="s">
        <v>2</v>
      </c>
      <c r="B14" s="14">
        <v>0.65</v>
      </c>
      <c r="C14" s="20">
        <v>46444</v>
      </c>
      <c r="D14" s="24">
        <v>1</v>
      </c>
      <c r="E14" s="24">
        <v>0.05</v>
      </c>
      <c r="F14" s="24">
        <v>0.05</v>
      </c>
      <c r="G14" s="25"/>
      <c r="H14" s="29">
        <v>46041</v>
      </c>
      <c r="I14">
        <v>8265.6461999999992</v>
      </c>
      <c r="J14">
        <v>1182474.1096851784</v>
      </c>
    </row>
    <row r="15" spans="1:10" x14ac:dyDescent="0.3">
      <c r="A15" s="6" t="s">
        <v>15</v>
      </c>
      <c r="B15" s="11" t="s">
        <v>31</v>
      </c>
      <c r="C15" s="20">
        <v>46476</v>
      </c>
      <c r="D15" s="24">
        <v>1</v>
      </c>
      <c r="E15" s="24">
        <v>0.05</v>
      </c>
      <c r="F15" s="24">
        <v>0.05</v>
      </c>
      <c r="G15" s="25"/>
      <c r="H15" s="29">
        <v>46042</v>
      </c>
      <c r="I15">
        <v>8182.7521999999999</v>
      </c>
      <c r="J15">
        <v>1127493.481357781</v>
      </c>
    </row>
    <row r="16" spans="1:10" x14ac:dyDescent="0.3">
      <c r="A16" s="6" t="s">
        <v>17</v>
      </c>
      <c r="B16" s="14">
        <v>1</v>
      </c>
      <c r="C16" s="20">
        <v>46507</v>
      </c>
      <c r="D16" s="24">
        <v>1</v>
      </c>
      <c r="E16" s="24">
        <v>0.05</v>
      </c>
      <c r="F16" s="24">
        <v>0.05</v>
      </c>
      <c r="G16" s="25"/>
      <c r="H16" s="29">
        <v>46043</v>
      </c>
      <c r="I16">
        <v>8247.6797999999999</v>
      </c>
      <c r="J16">
        <v>1191842.2786178871</v>
      </c>
    </row>
    <row r="17" spans="1:10" x14ac:dyDescent="0.3">
      <c r="A17" s="6" t="s">
        <v>18</v>
      </c>
      <c r="B17" s="14">
        <v>1</v>
      </c>
      <c r="C17" s="20">
        <v>46538</v>
      </c>
      <c r="D17" s="24">
        <v>1</v>
      </c>
      <c r="E17" s="24">
        <v>0.05</v>
      </c>
      <c r="F17" s="24">
        <v>0.05</v>
      </c>
      <c r="G17" s="25"/>
      <c r="H17" s="29">
        <v>46044</v>
      </c>
      <c r="I17">
        <v>8309.3456000000006</v>
      </c>
      <c r="J17">
        <v>1245017.152041106</v>
      </c>
    </row>
    <row r="18" spans="1:10" x14ac:dyDescent="0.3">
      <c r="A18" s="6" t="s">
        <v>58</v>
      </c>
      <c r="B18" s="14">
        <v>0.05</v>
      </c>
      <c r="C18" s="20">
        <v>46568</v>
      </c>
      <c r="D18" s="24">
        <v>1</v>
      </c>
      <c r="E18" s="24">
        <v>0.05</v>
      </c>
      <c r="F18" s="24">
        <v>0.05</v>
      </c>
      <c r="G18" s="25"/>
      <c r="H18" s="29">
        <v>46045</v>
      </c>
      <c r="I18">
        <v>8470.7438000000002</v>
      </c>
      <c r="J18">
        <v>1336038.2394826277</v>
      </c>
    </row>
    <row r="19" spans="1:10" x14ac:dyDescent="0.3">
      <c r="A19" s="6" t="s">
        <v>19</v>
      </c>
      <c r="B19" s="14">
        <v>0.05</v>
      </c>
      <c r="C19" s="20">
        <v>46598</v>
      </c>
      <c r="D19" s="24">
        <v>1</v>
      </c>
      <c r="E19" s="24">
        <v>0.05</v>
      </c>
      <c r="F19" s="24">
        <v>0.05</v>
      </c>
      <c r="G19" s="25"/>
      <c r="H19" s="29">
        <v>46048</v>
      </c>
      <c r="I19">
        <v>8365.4344999999994</v>
      </c>
      <c r="J19">
        <v>1297162.8747239828</v>
      </c>
    </row>
    <row r="20" spans="1:10" x14ac:dyDescent="0.3">
      <c r="A20" s="6" t="s">
        <v>20</v>
      </c>
      <c r="B20" s="14">
        <v>1</v>
      </c>
      <c r="C20" s="20">
        <v>46629</v>
      </c>
      <c r="D20" s="24">
        <v>1</v>
      </c>
      <c r="E20" s="24">
        <v>0.05</v>
      </c>
      <c r="F20" s="24">
        <v>0.05</v>
      </c>
      <c r="G20" s="25"/>
      <c r="H20" s="29">
        <v>46049</v>
      </c>
      <c r="I20">
        <v>8382.1532999999999</v>
      </c>
      <c r="J20">
        <v>1314908.9310949282</v>
      </c>
    </row>
    <row r="21" spans="1:10" x14ac:dyDescent="0.3">
      <c r="A21" s="6" t="s">
        <v>21</v>
      </c>
      <c r="B21" s="14">
        <v>1</v>
      </c>
      <c r="C21" s="20">
        <v>46660</v>
      </c>
      <c r="D21" s="24">
        <v>1</v>
      </c>
      <c r="E21" s="24">
        <v>0.05</v>
      </c>
      <c r="F21" s="24">
        <v>0.05</v>
      </c>
      <c r="G21" s="25"/>
    </row>
    <row r="22" spans="1:10" x14ac:dyDescent="0.3">
      <c r="A22" s="6" t="s">
        <v>22</v>
      </c>
      <c r="B22" s="14">
        <v>0</v>
      </c>
      <c r="C22" s="20">
        <v>46689</v>
      </c>
      <c r="D22" s="24">
        <v>1</v>
      </c>
      <c r="E22" s="24">
        <v>0.05</v>
      </c>
      <c r="F22" s="24">
        <v>0.05</v>
      </c>
      <c r="G22" s="25"/>
      <c r="H22" t="s">
        <v>66</v>
      </c>
    </row>
    <row r="23" spans="1:10" x14ac:dyDescent="0.3">
      <c r="A23" s="6" t="s">
        <v>23</v>
      </c>
      <c r="B23" s="14">
        <v>0</v>
      </c>
      <c r="C23" s="20">
        <v>46721</v>
      </c>
      <c r="D23" s="24">
        <v>1</v>
      </c>
      <c r="E23" s="24">
        <v>0.05</v>
      </c>
      <c r="F23" s="24">
        <v>0.05</v>
      </c>
      <c r="G23" s="25"/>
    </row>
    <row r="24" spans="1:10" x14ac:dyDescent="0.3">
      <c r="A24" s="6" t="s">
        <v>24</v>
      </c>
      <c r="B24" s="10">
        <v>0</v>
      </c>
      <c r="C24" s="20">
        <v>46751</v>
      </c>
      <c r="D24" s="24">
        <v>1</v>
      </c>
      <c r="E24" s="24">
        <v>0.05</v>
      </c>
      <c r="F24" s="24">
        <v>0.05</v>
      </c>
      <c r="G24" s="25"/>
    </row>
    <row r="25" spans="1:10" x14ac:dyDescent="0.3">
      <c r="A25" s="6" t="s">
        <v>25</v>
      </c>
      <c r="B25" s="11" t="s">
        <v>32</v>
      </c>
      <c r="C25" s="20"/>
      <c r="D25" s="24"/>
      <c r="E25" s="24"/>
      <c r="F25" s="24"/>
      <c r="G25" s="25"/>
    </row>
    <row r="26" spans="1:10" x14ac:dyDescent="0.3">
      <c r="A26" s="6" t="s">
        <v>27</v>
      </c>
      <c r="B26" s="14">
        <v>0</v>
      </c>
      <c r="C26" s="20"/>
      <c r="D26" s="24"/>
      <c r="E26" s="24"/>
      <c r="F26" s="24"/>
      <c r="G26" s="25"/>
    </row>
    <row r="27" spans="1:10" x14ac:dyDescent="0.3">
      <c r="A27" s="6" t="s">
        <v>28</v>
      </c>
      <c r="B27" s="14" t="s">
        <v>29</v>
      </c>
      <c r="C27" s="20"/>
      <c r="D27" s="24"/>
      <c r="E27" s="24"/>
      <c r="F27" s="24"/>
      <c r="G27" s="25"/>
    </row>
    <row r="28" spans="1:10" x14ac:dyDescent="0.3">
      <c r="A28" s="7"/>
      <c r="B28" s="14"/>
      <c r="C28" s="20"/>
      <c r="D28" s="24"/>
      <c r="E28" s="24"/>
      <c r="F28" s="24"/>
      <c r="G28" s="25"/>
    </row>
    <row r="29" spans="1:10" x14ac:dyDescent="0.3">
      <c r="A29" s="6" t="s">
        <v>59</v>
      </c>
      <c r="B29" s="15">
        <v>0.28000000000000003</v>
      </c>
      <c r="C29" s="20"/>
      <c r="D29" s="24"/>
      <c r="E29" s="24"/>
      <c r="F29" s="24"/>
      <c r="G29" s="25"/>
    </row>
    <row r="30" spans="1:10" x14ac:dyDescent="0.3">
      <c r="A30" s="7"/>
      <c r="B30" s="14"/>
      <c r="C30" s="20"/>
      <c r="D30" s="24"/>
      <c r="E30" s="24"/>
      <c r="F30" s="24"/>
      <c r="G30" s="25"/>
    </row>
    <row r="31" spans="1:10" x14ac:dyDescent="0.3">
      <c r="A31" s="6" t="s">
        <v>34</v>
      </c>
      <c r="B31" s="14">
        <v>0</v>
      </c>
      <c r="C31" s="20"/>
      <c r="D31" s="24"/>
      <c r="E31" s="24"/>
      <c r="F31" s="24"/>
      <c r="G31" s="25"/>
    </row>
    <row r="32" spans="1:10" x14ac:dyDescent="0.3">
      <c r="A32" s="6" t="s">
        <v>35</v>
      </c>
      <c r="B32" s="14" t="s">
        <v>36</v>
      </c>
      <c r="C32" s="20"/>
      <c r="D32" s="24"/>
      <c r="E32" s="24"/>
      <c r="F32" s="24"/>
      <c r="G32" s="25"/>
    </row>
    <row r="33" spans="1:7" x14ac:dyDescent="0.3">
      <c r="A33" s="7"/>
      <c r="B33" s="14"/>
      <c r="C33" s="20"/>
      <c r="D33" s="24"/>
      <c r="E33" s="24"/>
      <c r="F33" s="24"/>
      <c r="G33" s="25"/>
    </row>
    <row r="34" spans="1:7" x14ac:dyDescent="0.3">
      <c r="A34" s="6" t="s">
        <v>37</v>
      </c>
      <c r="B34" s="16">
        <v>2.1000000000000001E-2</v>
      </c>
      <c r="C34" s="20"/>
      <c r="D34" s="24"/>
      <c r="E34" s="24"/>
      <c r="F34" s="24"/>
      <c r="G34" s="25"/>
    </row>
    <row r="35" spans="1:7" x14ac:dyDescent="0.3">
      <c r="A35" s="6" t="s">
        <v>38</v>
      </c>
      <c r="B35" s="14">
        <v>-7.7410000000000007E-2</v>
      </c>
      <c r="C35" s="20"/>
      <c r="D35" s="24"/>
      <c r="E35" s="24"/>
      <c r="F35" s="24"/>
      <c r="G35" s="25"/>
    </row>
    <row r="36" spans="1:7" x14ac:dyDescent="0.3">
      <c r="A36" s="6" t="s">
        <v>39</v>
      </c>
      <c r="B36" s="14">
        <v>0.17499999999999999</v>
      </c>
      <c r="C36" s="20"/>
      <c r="D36" s="24"/>
      <c r="E36" s="24"/>
      <c r="F36" s="24"/>
      <c r="G36" s="25"/>
    </row>
    <row r="37" spans="1:7" x14ac:dyDescent="0.3">
      <c r="A37" s="7"/>
      <c r="B37" s="10"/>
      <c r="C37" s="20"/>
      <c r="D37" s="24"/>
      <c r="E37" s="24"/>
      <c r="F37" s="24"/>
      <c r="G37" s="25"/>
    </row>
    <row r="38" spans="1:7" x14ac:dyDescent="0.3">
      <c r="A38" s="8" t="s">
        <v>40</v>
      </c>
      <c r="B38" s="10"/>
      <c r="C38" s="20"/>
      <c r="D38" s="24"/>
      <c r="E38" s="24"/>
      <c r="F38" s="24"/>
      <c r="G38" s="25"/>
    </row>
    <row r="39" spans="1:7" x14ac:dyDescent="0.3">
      <c r="A39" s="6" t="s">
        <v>41</v>
      </c>
      <c r="B39" s="17">
        <f>B47*100</f>
        <v>80.466351228517524</v>
      </c>
      <c r="C39" s="20"/>
      <c r="D39" s="24"/>
      <c r="E39" s="24"/>
      <c r="F39" s="24"/>
      <c r="G39" s="25"/>
    </row>
    <row r="40" spans="1:7" x14ac:dyDescent="0.3">
      <c r="A40" s="6" t="s">
        <v>42</v>
      </c>
      <c r="B40" s="17">
        <f>B48*1%*100</f>
        <v>-6.2955212090809454</v>
      </c>
      <c r="C40" s="20"/>
      <c r="D40" s="24"/>
      <c r="E40" s="24"/>
      <c r="F40" s="24"/>
      <c r="G40" s="25"/>
    </row>
    <row r="41" spans="1:7" x14ac:dyDescent="0.3">
      <c r="A41" s="6" t="s">
        <v>43</v>
      </c>
      <c r="B41" s="17">
        <f>B49*1%*100</f>
        <v>-0.6479311367574514</v>
      </c>
      <c r="C41" s="20"/>
      <c r="D41" s="24"/>
      <c r="E41" s="24"/>
      <c r="F41" s="24"/>
      <c r="G41" s="25"/>
    </row>
    <row r="42" spans="1:7" x14ac:dyDescent="0.3">
      <c r="A42" s="6" t="s">
        <v>44</v>
      </c>
      <c r="B42" s="17">
        <f>B50*1/242*100</f>
        <v>7.4430211380571709E-2</v>
      </c>
      <c r="C42" s="20"/>
      <c r="D42" s="24"/>
      <c r="E42" s="24"/>
      <c r="F42" s="24"/>
      <c r="G42" s="25"/>
    </row>
    <row r="43" spans="1:7" x14ac:dyDescent="0.3">
      <c r="A43" s="6" t="s">
        <v>45</v>
      </c>
      <c r="B43" s="17">
        <f>1%*B51*100</f>
        <v>-0.82224256043528232</v>
      </c>
      <c r="C43" s="20"/>
      <c r="D43" s="24"/>
      <c r="E43" s="24"/>
      <c r="F43" s="24"/>
      <c r="G43" s="25"/>
    </row>
    <row r="44" spans="1:7" x14ac:dyDescent="0.3">
      <c r="A44" s="6" t="s">
        <v>46</v>
      </c>
      <c r="B44" s="17">
        <f>1%*B52*100</f>
        <v>-0.87829322410287736</v>
      </c>
      <c r="C44" s="20"/>
      <c r="D44" s="24"/>
      <c r="E44" s="24"/>
      <c r="F44" s="24"/>
      <c r="G44" s="25"/>
    </row>
    <row r="45" spans="1:7" x14ac:dyDescent="0.3">
      <c r="A45" s="7"/>
      <c r="B45" s="42">
        <f>B46*B6</f>
        <v>-27.196793735084768</v>
      </c>
      <c r="C45" s="20"/>
      <c r="D45" s="24"/>
      <c r="E45" s="24"/>
      <c r="F45" s="24"/>
      <c r="G45" s="25"/>
    </row>
    <row r="46" spans="1:7" x14ac:dyDescent="0.3">
      <c r="A46" s="6" t="s">
        <v>47</v>
      </c>
      <c r="B46" s="28" cm="1">
        <f t="array" ref="B46:B52">_xll.ValuateSnowball(C1,1,B7,_xlfn.ANCHORARRAY(C3),_xlfn.ANCHORARRAY(D3),_xlfn.ANCHORARRAY(F3),B13,B19,B14,B16,B17,B20,B21,B23+B31,B22,B24,G1,E1,B7,1,B34,B35,B36,FALSE,"ALL")</f>
        <v>-1.2362178970493076E-6</v>
      </c>
      <c r="C46" s="20"/>
      <c r="D46" s="24"/>
      <c r="E46" s="24"/>
      <c r="F46" s="24"/>
      <c r="G46" s="25"/>
    </row>
    <row r="47" spans="1:7" x14ac:dyDescent="0.3">
      <c r="A47" s="6" t="s">
        <v>48</v>
      </c>
      <c r="B47" s="17">
        <v>0.8046635122851753</v>
      </c>
      <c r="C47" s="20"/>
      <c r="D47" s="24"/>
      <c r="E47" s="24"/>
      <c r="F47" s="24"/>
      <c r="G47" s="25"/>
    </row>
    <row r="48" spans="1:7" x14ac:dyDescent="0.3">
      <c r="A48" s="6" t="s">
        <v>49</v>
      </c>
      <c r="B48" s="17">
        <v>-6.2955212090809454</v>
      </c>
      <c r="C48" s="20"/>
      <c r="D48" s="24"/>
      <c r="E48" s="24"/>
      <c r="F48" s="24"/>
      <c r="G48" s="25"/>
    </row>
    <row r="49" spans="1:7" x14ac:dyDescent="0.3">
      <c r="A49" s="6" t="s">
        <v>50</v>
      </c>
      <c r="B49" s="17">
        <v>-0.6479311367574514</v>
      </c>
      <c r="C49" s="20"/>
      <c r="D49" s="24"/>
      <c r="E49" s="24"/>
      <c r="F49" s="24"/>
      <c r="G49" s="25"/>
    </row>
    <row r="50" spans="1:7" x14ac:dyDescent="0.3">
      <c r="A50" s="6" t="s">
        <v>51</v>
      </c>
      <c r="B50" s="17">
        <v>0.18012111154098354</v>
      </c>
      <c r="C50" s="20"/>
      <c r="D50" s="24"/>
      <c r="E50" s="24"/>
      <c r="F50" s="24"/>
      <c r="G50" s="25"/>
    </row>
    <row r="51" spans="1:7" x14ac:dyDescent="0.3">
      <c r="A51" s="6" t="s">
        <v>52</v>
      </c>
      <c r="B51" s="17">
        <v>-0.82224256043528232</v>
      </c>
      <c r="C51" s="20"/>
      <c r="D51" s="24"/>
      <c r="E51" s="24"/>
      <c r="F51" s="24"/>
      <c r="G51" s="25"/>
    </row>
    <row r="52" spans="1:7" x14ac:dyDescent="0.3">
      <c r="A52" s="6" t="s">
        <v>53</v>
      </c>
      <c r="B52" s="17">
        <v>-0.87829322410287736</v>
      </c>
      <c r="C52" s="20"/>
      <c r="D52" s="24"/>
      <c r="E52" s="24"/>
      <c r="F52" s="24"/>
      <c r="G52" s="25"/>
    </row>
  </sheetData>
  <phoneticPr fontId="2" type="noConversion"/>
  <dataValidations count="3">
    <dataValidation type="list" showInputMessage="1" showErrorMessage="1" sqref="B5" xr:uid="{40E2E3D9-9BE9-4497-8FBD-C7E71DF396A3}">
      <formula1>"000852.SH,000905.SH,000300.SH,000016.SH,513180.SH"</formula1>
    </dataValidation>
    <dataValidation type="list" showInputMessage="1" showErrorMessage="1" sqref="B15" xr:uid="{9FEC6E84-9A80-43A0-AF57-A542C8582F7A}">
      <formula1>"每日观察,到期观察"</formula1>
    </dataValidation>
    <dataValidation type="list" showInputMessage="1" showErrorMessage="1" sqref="B25" xr:uid="{731AF39D-87DD-4255-B5F3-C56C54BD9C20}">
      <formula1>"含头含尾,含头不含尾"</formula1>
    </dataValidation>
  </dataValidations>
  <pageMargins left="0.7" right="0.7" top="0.75" bottom="0.75" header="0.3" footer="0.3"/>
  <legacy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5083E9F-9F22-4A11-B5B7-0E066C448967}">
  <dimension ref="A1:J52"/>
  <sheetViews>
    <sheetView workbookViewId="0">
      <selection activeCell="H30" sqref="H30"/>
    </sheetView>
  </sheetViews>
  <sheetFormatPr defaultColWidth="22.1328125" defaultRowHeight="13.5" x14ac:dyDescent="0.3"/>
  <cols>
    <col min="1" max="1" width="19.1328125" style="2" customWidth="1"/>
    <col min="2" max="2" width="22.1328125" style="1"/>
    <col min="3" max="3" width="22.1328125" style="21"/>
    <col min="4" max="6" width="22.1328125" style="3"/>
    <col min="7" max="7" width="22.1328125" style="2"/>
    <col min="8" max="8" width="11.59765625" bestFit="1" customWidth="1"/>
  </cols>
  <sheetData>
    <row r="1" spans="1:10" x14ac:dyDescent="0.3">
      <c r="A1" s="6" t="s">
        <v>6</v>
      </c>
      <c r="B1" s="9" t="s">
        <v>83</v>
      </c>
      <c r="C1" s="18" t="s">
        <v>55</v>
      </c>
      <c r="D1" s="22"/>
      <c r="E1" s="22" t="b">
        <f>(B15="每日观察")</f>
        <v>1</v>
      </c>
      <c r="F1" s="22"/>
      <c r="G1" s="7" t="b">
        <f>IF(B25="含头含尾",TRUE,FALSE)</f>
        <v>1</v>
      </c>
      <c r="I1" t="s">
        <v>30</v>
      </c>
    </row>
    <row r="2" spans="1:10" x14ac:dyDescent="0.3">
      <c r="A2" s="6" t="s">
        <v>5</v>
      </c>
      <c r="B2" s="10" t="str">
        <f>_xlfn.TEXTJOIN(,TRUE,IF(B13&gt;0,"增强型",""),IF(B15="每日观察","","欧式"),IF(AND(B21=B20,B20&lt;0.9),"不追保",""),IF(B16&lt;1,"OTM",""),"早利雪球")</f>
        <v>早利雪球</v>
      </c>
      <c r="C2" s="19" t="s">
        <v>1</v>
      </c>
      <c r="D2" s="23" t="s">
        <v>12</v>
      </c>
      <c r="E2" s="23" t="s">
        <v>54</v>
      </c>
      <c r="F2" s="23" t="s">
        <v>33</v>
      </c>
      <c r="G2" s="25"/>
      <c r="H2" s="29">
        <v>46016</v>
      </c>
      <c r="I2">
        <v>7579.3791000000001</v>
      </c>
      <c r="J2" cm="1">
        <f t="array" ref="J2">_xll.ValuateSnowball($C$1,$B$3,$B$7,_xlfn.ANCHORARRAY($C$3),_xlfn.ANCHORARRAY($D$3),_xlfn.ANCHORARRAY($F$3),$B$13,$B$19,$B$14,$B$16,$B$17,$B$20,$B$21,$B$23+$B$31,$B$22,$B$24,$G$1,$E$1,H2+0.625,I2,$B$34,$B$35,$B$36,FALSE,"NPV")*$B$6/$B$3</f>
        <v>-36.003980459414059</v>
      </c>
    </row>
    <row r="3" spans="1:10" x14ac:dyDescent="0.3">
      <c r="A3" s="6" t="s">
        <v>70</v>
      </c>
      <c r="B3" s="10">
        <v>7579.38</v>
      </c>
      <c r="C3" s="26" cm="1">
        <f t="array" ref="C3:C25">_xll.ScheduleDates(C1,B7,B8,"1M",B9,"MODIFIED_FOLLOWING")</f>
        <v>46078</v>
      </c>
      <c r="D3" s="27" cm="1">
        <f t="array" ref="D3:D25">_xll.GenerateBarriers(_xlfn.ANCHORARRAY(C3),B11,B12)</f>
        <v>1</v>
      </c>
      <c r="E3" s="27" cm="1">
        <f t="array" ref="E3:E25">_xll.GenerateBonusCoupons(C1,B7,_xlfn.ANCHORARRAY(C3),B10,-1,B18)</f>
        <v>-1</v>
      </c>
      <c r="F3" s="27" cm="1">
        <f t="array" ref="F3:F25">_xll.GenerateBonusCoupons(C1,B7,_xlfn.ANCHORARRAY(C3),B10,B29,B18)</f>
        <v>0.32</v>
      </c>
      <c r="G3" s="25"/>
      <c r="H3" s="29">
        <v>46017</v>
      </c>
      <c r="I3">
        <v>7605.5299000000005</v>
      </c>
      <c r="J3">
        <v>36898.790063064036</v>
      </c>
    </row>
    <row r="4" spans="1:10" x14ac:dyDescent="0.3">
      <c r="A4" s="6" t="s">
        <v>71</v>
      </c>
      <c r="B4" s="31">
        <v>46050</v>
      </c>
      <c r="C4" s="20">
        <v>46106</v>
      </c>
      <c r="D4" s="24">
        <v>1</v>
      </c>
      <c r="E4" s="24">
        <v>-1</v>
      </c>
      <c r="F4" s="24">
        <v>0.32</v>
      </c>
      <c r="G4" s="25"/>
      <c r="H4" s="29">
        <v>46020</v>
      </c>
      <c r="I4">
        <v>7594.1575000000003</v>
      </c>
      <c r="J4">
        <v>33662.966179017232</v>
      </c>
    </row>
    <row r="5" spans="1:10" x14ac:dyDescent="0.3">
      <c r="A5" s="6" t="s">
        <v>0</v>
      </c>
      <c r="B5" s="11" t="s">
        <v>30</v>
      </c>
      <c r="C5" s="20">
        <v>46139</v>
      </c>
      <c r="D5" s="24">
        <v>1</v>
      </c>
      <c r="E5" s="24">
        <v>-1</v>
      </c>
      <c r="F5" s="24">
        <v>0.32</v>
      </c>
      <c r="G5" s="25"/>
      <c r="H5" s="29">
        <v>46021</v>
      </c>
      <c r="I5">
        <v>7597.299</v>
      </c>
      <c r="J5">
        <v>45937.718906868904</v>
      </c>
    </row>
    <row r="6" spans="1:10" x14ac:dyDescent="0.3">
      <c r="A6" s="6" t="s">
        <v>7</v>
      </c>
      <c r="B6" s="12">
        <v>10000000</v>
      </c>
      <c r="C6" s="20">
        <v>46167</v>
      </c>
      <c r="D6" s="24">
        <v>1</v>
      </c>
      <c r="E6" s="24">
        <v>-1</v>
      </c>
      <c r="F6" s="24">
        <v>0.32</v>
      </c>
      <c r="G6" s="25"/>
      <c r="H6" s="29">
        <v>46022</v>
      </c>
      <c r="I6">
        <v>7595.2844999999998</v>
      </c>
      <c r="J6">
        <v>52769.98160500353</v>
      </c>
    </row>
    <row r="7" spans="1:10" x14ac:dyDescent="0.3">
      <c r="A7" s="6" t="s">
        <v>8</v>
      </c>
      <c r="B7" s="13">
        <v>46016.625</v>
      </c>
      <c r="C7" s="20">
        <v>46198</v>
      </c>
      <c r="D7" s="24">
        <v>1</v>
      </c>
      <c r="E7" s="24">
        <v>-1</v>
      </c>
      <c r="F7" s="24">
        <v>0.32</v>
      </c>
      <c r="G7" s="25"/>
      <c r="H7" s="29">
        <v>46027</v>
      </c>
      <c r="I7">
        <v>7753.88</v>
      </c>
      <c r="J7">
        <v>211309.36456613839</v>
      </c>
    </row>
    <row r="8" spans="1:10" x14ac:dyDescent="0.3">
      <c r="A8" s="6" t="s">
        <v>9</v>
      </c>
      <c r="B8" s="10" t="s">
        <v>10</v>
      </c>
      <c r="C8" s="20">
        <v>46230</v>
      </c>
      <c r="D8" s="24">
        <v>1</v>
      </c>
      <c r="E8" s="24">
        <v>-1</v>
      </c>
      <c r="F8" s="24">
        <v>0.32</v>
      </c>
      <c r="G8" s="25"/>
      <c r="H8" s="29">
        <v>46028</v>
      </c>
      <c r="I8">
        <v>7864.9034000000001</v>
      </c>
      <c r="J8">
        <v>301319.33722272364</v>
      </c>
    </row>
    <row r="9" spans="1:10" x14ac:dyDescent="0.3">
      <c r="A9" s="6" t="s">
        <v>11</v>
      </c>
      <c r="B9" s="10">
        <v>2</v>
      </c>
      <c r="C9" s="20">
        <v>46259</v>
      </c>
      <c r="D9" s="24">
        <v>1</v>
      </c>
      <c r="E9" s="24">
        <v>-1</v>
      </c>
      <c r="F9" s="24">
        <v>0.32</v>
      </c>
      <c r="G9" s="25"/>
      <c r="H9" s="29">
        <v>46029</v>
      </c>
      <c r="I9">
        <v>7906.4197000000004</v>
      </c>
      <c r="J9">
        <v>334940.8184785801</v>
      </c>
    </row>
    <row r="10" spans="1:10" x14ac:dyDescent="0.3">
      <c r="A10" s="6" t="s">
        <v>56</v>
      </c>
      <c r="B10" s="10" t="s">
        <v>57</v>
      </c>
      <c r="C10" s="20">
        <v>46293</v>
      </c>
      <c r="D10" s="24">
        <v>1</v>
      </c>
      <c r="E10" s="24">
        <v>-1</v>
      </c>
      <c r="F10" s="24">
        <v>0.32</v>
      </c>
      <c r="G10" s="25"/>
      <c r="H10" s="29">
        <v>46030</v>
      </c>
      <c r="I10">
        <v>7971.5887000000002</v>
      </c>
      <c r="J10">
        <v>377620.17276597937</v>
      </c>
    </row>
    <row r="11" spans="1:10" x14ac:dyDescent="0.3">
      <c r="A11" s="6" t="s">
        <v>12</v>
      </c>
      <c r="B11" s="14">
        <v>1</v>
      </c>
      <c r="C11" s="20">
        <v>46321</v>
      </c>
      <c r="D11" s="24">
        <v>1</v>
      </c>
      <c r="E11" s="24">
        <v>-1</v>
      </c>
      <c r="F11" s="24">
        <v>0.32</v>
      </c>
      <c r="G11" s="25"/>
      <c r="H11" s="29">
        <v>46031</v>
      </c>
      <c r="I11">
        <v>8129.1831000000002</v>
      </c>
      <c r="J11">
        <v>446676.69455958705</v>
      </c>
    </row>
    <row r="12" spans="1:10" x14ac:dyDescent="0.3">
      <c r="A12" s="6" t="s">
        <v>13</v>
      </c>
      <c r="B12" s="14">
        <v>0</v>
      </c>
      <c r="C12" s="20">
        <v>46351</v>
      </c>
      <c r="D12" s="24">
        <v>1</v>
      </c>
      <c r="E12" s="24">
        <v>-1</v>
      </c>
      <c r="F12" s="24">
        <v>0.32</v>
      </c>
      <c r="G12" s="25"/>
      <c r="H12" s="29">
        <v>46034</v>
      </c>
      <c r="I12">
        <v>8357.0107000000007</v>
      </c>
      <c r="J12">
        <v>499513.41914719186</v>
      </c>
    </row>
    <row r="13" spans="1:10" x14ac:dyDescent="0.3">
      <c r="A13" s="6" t="s">
        <v>14</v>
      </c>
      <c r="B13" s="14">
        <v>0</v>
      </c>
      <c r="C13" s="20">
        <v>46381</v>
      </c>
      <c r="D13" s="24">
        <v>1</v>
      </c>
      <c r="E13" s="24">
        <v>-1</v>
      </c>
      <c r="F13" s="24">
        <v>0.32</v>
      </c>
      <c r="G13" s="25"/>
      <c r="H13" s="29">
        <v>46035</v>
      </c>
      <c r="I13">
        <v>8203.1327000000001</v>
      </c>
      <c r="J13">
        <v>476844.54308999295</v>
      </c>
    </row>
    <row r="14" spans="1:10" x14ac:dyDescent="0.3">
      <c r="A14" s="6" t="s">
        <v>2</v>
      </c>
      <c r="B14" s="14">
        <v>0.7</v>
      </c>
      <c r="C14" s="20">
        <v>46412</v>
      </c>
      <c r="D14" s="24">
        <v>1</v>
      </c>
      <c r="E14" s="24">
        <v>0.1</v>
      </c>
      <c r="F14" s="24">
        <v>0.1</v>
      </c>
      <c r="G14" s="25"/>
      <c r="H14" s="29">
        <v>46036</v>
      </c>
      <c r="I14">
        <v>8257.1715999999997</v>
      </c>
      <c r="J14">
        <v>492118.0554852013</v>
      </c>
    </row>
    <row r="15" spans="1:10" x14ac:dyDescent="0.3">
      <c r="A15" s="6" t="s">
        <v>15</v>
      </c>
      <c r="B15" s="11" t="s">
        <v>31</v>
      </c>
      <c r="C15" s="20">
        <v>46443</v>
      </c>
      <c r="D15" s="24">
        <v>1</v>
      </c>
      <c r="E15" s="24">
        <v>0.1</v>
      </c>
      <c r="F15" s="24">
        <v>0.1</v>
      </c>
      <c r="G15" s="25"/>
      <c r="H15" s="29">
        <v>46037</v>
      </c>
      <c r="I15">
        <v>8240.7751000000007</v>
      </c>
      <c r="J15">
        <v>493558.51969073061</v>
      </c>
    </row>
    <row r="16" spans="1:10" x14ac:dyDescent="0.3">
      <c r="A16" s="6" t="s">
        <v>17</v>
      </c>
      <c r="B16" s="14">
        <v>1</v>
      </c>
      <c r="C16" s="20">
        <v>46471</v>
      </c>
      <c r="D16" s="24">
        <v>1</v>
      </c>
      <c r="E16" s="24">
        <v>0.1</v>
      </c>
      <c r="F16" s="24">
        <v>0.1</v>
      </c>
      <c r="G16" s="25"/>
      <c r="H16" s="29">
        <v>46038</v>
      </c>
      <c r="I16">
        <v>8232.7293000000009</v>
      </c>
      <c r="J16">
        <v>496506.99903954857</v>
      </c>
    </row>
    <row r="17" spans="1:10" x14ac:dyDescent="0.3">
      <c r="A17" s="6" t="s">
        <v>18</v>
      </c>
      <c r="B17" s="14">
        <v>1</v>
      </c>
      <c r="C17" s="20">
        <v>46503</v>
      </c>
      <c r="D17" s="24">
        <v>1</v>
      </c>
      <c r="E17" s="24">
        <v>0.1</v>
      </c>
      <c r="F17" s="24">
        <v>0.1</v>
      </c>
      <c r="G17" s="25"/>
      <c r="H17" s="29">
        <v>46041</v>
      </c>
      <c r="I17">
        <v>8265.6461999999992</v>
      </c>
      <c r="J17">
        <v>505726.5288321462</v>
      </c>
    </row>
    <row r="18" spans="1:10" x14ac:dyDescent="0.3">
      <c r="A18" s="6" t="s">
        <v>58</v>
      </c>
      <c r="B18" s="14">
        <v>0.1</v>
      </c>
      <c r="C18" s="20">
        <v>46532</v>
      </c>
      <c r="D18" s="24">
        <v>1</v>
      </c>
      <c r="E18" s="24">
        <v>0.1</v>
      </c>
      <c r="F18" s="24">
        <v>0.1</v>
      </c>
      <c r="G18" s="25"/>
      <c r="H18" s="29">
        <v>46042</v>
      </c>
      <c r="I18">
        <v>8182.7521999999999</v>
      </c>
      <c r="J18">
        <v>496620.03908547241</v>
      </c>
    </row>
    <row r="19" spans="1:10" x14ac:dyDescent="0.3">
      <c r="A19" s="6" t="s">
        <v>19</v>
      </c>
      <c r="B19" s="14">
        <v>0.1</v>
      </c>
      <c r="C19" s="20">
        <v>46563</v>
      </c>
      <c r="D19" s="24">
        <v>1</v>
      </c>
      <c r="E19" s="24">
        <v>0.1</v>
      </c>
      <c r="F19" s="24">
        <v>0.1</v>
      </c>
      <c r="G19" s="25"/>
      <c r="H19" s="29">
        <v>46043</v>
      </c>
      <c r="I19">
        <v>8247.6797999999999</v>
      </c>
      <c r="J19">
        <v>511083.35340818588</v>
      </c>
    </row>
    <row r="20" spans="1:10" x14ac:dyDescent="0.3">
      <c r="A20" s="6" t="s">
        <v>20</v>
      </c>
      <c r="B20" s="14">
        <v>1</v>
      </c>
      <c r="C20" s="20">
        <v>46594</v>
      </c>
      <c r="D20" s="24">
        <v>1</v>
      </c>
      <c r="E20" s="24">
        <v>0.1</v>
      </c>
      <c r="F20" s="24">
        <v>0.1</v>
      </c>
      <c r="G20" s="25"/>
      <c r="H20" s="29">
        <v>46044</v>
      </c>
      <c r="I20">
        <v>8309.3456000000006</v>
      </c>
      <c r="J20">
        <v>521212.49678106938</v>
      </c>
    </row>
    <row r="21" spans="1:10" x14ac:dyDescent="0.3">
      <c r="A21" s="6" t="s">
        <v>21</v>
      </c>
      <c r="B21" s="14">
        <v>1</v>
      </c>
      <c r="C21" s="20">
        <v>46624</v>
      </c>
      <c r="D21" s="24">
        <v>1</v>
      </c>
      <c r="E21" s="24">
        <v>0.1</v>
      </c>
      <c r="F21" s="24">
        <v>0.1</v>
      </c>
      <c r="G21" s="25"/>
      <c r="H21" s="29">
        <v>46045</v>
      </c>
      <c r="I21">
        <v>8470.7438000000002</v>
      </c>
      <c r="J21">
        <v>532476.81371939206</v>
      </c>
    </row>
    <row r="22" spans="1:10" x14ac:dyDescent="0.3">
      <c r="A22" s="6" t="s">
        <v>22</v>
      </c>
      <c r="B22" s="14">
        <v>0</v>
      </c>
      <c r="C22" s="20">
        <v>46657</v>
      </c>
      <c r="D22" s="24">
        <v>1</v>
      </c>
      <c r="E22" s="24">
        <v>0.1</v>
      </c>
      <c r="F22" s="24">
        <v>0.1</v>
      </c>
      <c r="G22" s="25"/>
      <c r="H22" s="29">
        <v>46048</v>
      </c>
      <c r="I22">
        <v>8365.4344999999994</v>
      </c>
      <c r="J22">
        <v>530480.94497630058</v>
      </c>
    </row>
    <row r="23" spans="1:10" x14ac:dyDescent="0.3">
      <c r="A23" s="6" t="s">
        <v>23</v>
      </c>
      <c r="B23" s="14">
        <v>0</v>
      </c>
      <c r="C23" s="20">
        <v>46685</v>
      </c>
      <c r="D23" s="24">
        <v>1</v>
      </c>
      <c r="E23" s="24">
        <v>0.1</v>
      </c>
      <c r="F23" s="24">
        <v>0.1</v>
      </c>
      <c r="G23" s="25"/>
      <c r="H23" s="29">
        <v>46049</v>
      </c>
      <c r="I23">
        <v>8382.1532999999999</v>
      </c>
      <c r="J23">
        <v>533454.67024523276</v>
      </c>
    </row>
    <row r="24" spans="1:10" x14ac:dyDescent="0.3">
      <c r="A24" s="6" t="s">
        <v>24</v>
      </c>
      <c r="B24" s="10">
        <v>0</v>
      </c>
      <c r="C24" s="20">
        <v>46716</v>
      </c>
      <c r="D24" s="24">
        <v>1</v>
      </c>
      <c r="E24" s="24">
        <v>0.1</v>
      </c>
      <c r="F24" s="24">
        <v>0.1</v>
      </c>
      <c r="G24" s="25"/>
    </row>
    <row r="25" spans="1:10" x14ac:dyDescent="0.3">
      <c r="A25" s="6" t="s">
        <v>25</v>
      </c>
      <c r="B25" s="11" t="s">
        <v>32</v>
      </c>
      <c r="C25" s="20">
        <v>46748</v>
      </c>
      <c r="D25" s="24">
        <v>1</v>
      </c>
      <c r="E25" s="24">
        <v>0.1</v>
      </c>
      <c r="F25" s="24">
        <v>0.1</v>
      </c>
      <c r="G25" s="25"/>
      <c r="H25" t="s">
        <v>66</v>
      </c>
    </row>
    <row r="26" spans="1:10" x14ac:dyDescent="0.3">
      <c r="A26" s="6" t="s">
        <v>27</v>
      </c>
      <c r="B26" s="14">
        <v>0</v>
      </c>
      <c r="C26" s="20"/>
      <c r="D26" s="24"/>
      <c r="E26" s="24"/>
      <c r="F26" s="24"/>
      <c r="G26" s="25"/>
    </row>
    <row r="27" spans="1:10" x14ac:dyDescent="0.3">
      <c r="A27" s="6" t="s">
        <v>28</v>
      </c>
      <c r="B27" s="14" t="s">
        <v>29</v>
      </c>
      <c r="C27" s="20"/>
      <c r="D27" s="24"/>
      <c r="E27" s="24"/>
      <c r="F27" s="24"/>
      <c r="G27" s="25"/>
    </row>
    <row r="28" spans="1:10" x14ac:dyDescent="0.3">
      <c r="A28" s="7"/>
      <c r="B28" s="14"/>
      <c r="C28" s="20"/>
      <c r="D28" s="24"/>
      <c r="E28" s="24"/>
      <c r="F28" s="24"/>
      <c r="G28" s="25"/>
    </row>
    <row r="29" spans="1:10" x14ac:dyDescent="0.3">
      <c r="A29" s="6" t="s">
        <v>59</v>
      </c>
      <c r="B29" s="15">
        <v>0.32</v>
      </c>
      <c r="C29" s="20"/>
      <c r="D29" s="24"/>
      <c r="E29" s="24"/>
      <c r="F29" s="24"/>
      <c r="G29" s="25"/>
    </row>
    <row r="30" spans="1:10" x14ac:dyDescent="0.3">
      <c r="A30" s="7"/>
      <c r="B30" s="14"/>
      <c r="C30" s="20"/>
      <c r="D30" s="24"/>
      <c r="E30" s="24"/>
      <c r="F30" s="24"/>
      <c r="G30" s="25"/>
    </row>
    <row r="31" spans="1:10" x14ac:dyDescent="0.3">
      <c r="A31" s="6" t="s">
        <v>34</v>
      </c>
      <c r="B31" s="14">
        <v>0</v>
      </c>
      <c r="C31" s="20"/>
      <c r="D31" s="24"/>
      <c r="E31" s="24"/>
      <c r="F31" s="24"/>
      <c r="G31" s="25"/>
    </row>
    <row r="32" spans="1:10" x14ac:dyDescent="0.3">
      <c r="A32" s="6" t="s">
        <v>35</v>
      </c>
      <c r="B32" s="14" t="s">
        <v>36</v>
      </c>
      <c r="C32" s="20"/>
      <c r="D32" s="24"/>
      <c r="E32" s="24"/>
      <c r="F32" s="24"/>
      <c r="G32" s="25"/>
    </row>
    <row r="33" spans="1:7" x14ac:dyDescent="0.3">
      <c r="A33" s="7"/>
      <c r="B33" s="14"/>
      <c r="C33" s="20"/>
      <c r="D33" s="24"/>
      <c r="E33" s="24"/>
      <c r="F33" s="24"/>
      <c r="G33" s="25"/>
    </row>
    <row r="34" spans="1:7" x14ac:dyDescent="0.3">
      <c r="A34" s="6" t="s">
        <v>37</v>
      </c>
      <c r="B34" s="16">
        <v>2.1000000000000001E-2</v>
      </c>
      <c r="C34" s="20"/>
      <c r="D34" s="24"/>
      <c r="E34" s="24"/>
      <c r="F34" s="24"/>
      <c r="G34" s="25"/>
    </row>
    <row r="35" spans="1:7" x14ac:dyDescent="0.3">
      <c r="A35" s="6" t="s">
        <v>38</v>
      </c>
      <c r="B35" s="14">
        <v>-7.571E-2</v>
      </c>
      <c r="C35" s="20"/>
      <c r="D35" s="24"/>
      <c r="E35" s="24"/>
      <c r="F35" s="24"/>
      <c r="G35" s="25"/>
    </row>
    <row r="36" spans="1:7" x14ac:dyDescent="0.3">
      <c r="A36" s="6" t="s">
        <v>39</v>
      </c>
      <c r="B36" s="14">
        <v>0.17499999999999999</v>
      </c>
      <c r="C36" s="20"/>
      <c r="D36" s="24"/>
      <c r="E36" s="24"/>
      <c r="F36" s="24"/>
      <c r="G36" s="25"/>
    </row>
    <row r="37" spans="1:7" x14ac:dyDescent="0.3">
      <c r="A37" s="7"/>
      <c r="B37" s="10"/>
      <c r="C37" s="20"/>
      <c r="D37" s="24"/>
      <c r="E37" s="24"/>
      <c r="F37" s="24"/>
      <c r="G37" s="25"/>
    </row>
    <row r="38" spans="1:7" x14ac:dyDescent="0.3">
      <c r="A38" s="8" t="s">
        <v>40</v>
      </c>
      <c r="B38" s="10"/>
      <c r="C38" s="20"/>
      <c r="D38" s="24"/>
      <c r="E38" s="24"/>
      <c r="F38" s="24"/>
      <c r="G38" s="25"/>
    </row>
    <row r="39" spans="1:7" x14ac:dyDescent="0.3">
      <c r="A39" s="6" t="s">
        <v>41</v>
      </c>
      <c r="B39" s="17">
        <f>B47*100</f>
        <v>83.075247745810771</v>
      </c>
      <c r="C39" s="20"/>
      <c r="D39" s="24"/>
      <c r="E39" s="24"/>
      <c r="F39" s="24"/>
      <c r="G39" s="25"/>
    </row>
    <row r="40" spans="1:7" x14ac:dyDescent="0.3">
      <c r="A40" s="6" t="s">
        <v>42</v>
      </c>
      <c r="B40" s="17">
        <f>B48*1%*100</f>
        <v>-8.3980782824166766</v>
      </c>
      <c r="C40" s="20"/>
      <c r="D40" s="24"/>
      <c r="E40" s="24"/>
      <c r="F40" s="24"/>
      <c r="G40" s="25"/>
    </row>
    <row r="41" spans="1:7" x14ac:dyDescent="0.3">
      <c r="A41" s="6" t="s">
        <v>43</v>
      </c>
      <c r="B41" s="17">
        <f>B49*1%*100</f>
        <v>-0.54005219832700124</v>
      </c>
      <c r="C41" s="20"/>
      <c r="D41" s="24"/>
      <c r="E41" s="24"/>
      <c r="F41" s="24"/>
      <c r="G41" s="25"/>
    </row>
    <row r="42" spans="1:7" x14ac:dyDescent="0.3">
      <c r="A42" s="6" t="s">
        <v>44</v>
      </c>
      <c r="B42" s="17">
        <f>B50*1/242*100</f>
        <v>8.8136499688917791E-2</v>
      </c>
      <c r="C42" s="20"/>
      <c r="D42" s="24"/>
      <c r="E42" s="24"/>
      <c r="F42" s="24"/>
      <c r="G42" s="25"/>
    </row>
    <row r="43" spans="1:7" x14ac:dyDescent="0.3">
      <c r="A43" s="6" t="s">
        <v>45</v>
      </c>
      <c r="B43" s="17">
        <f>1%*B51*100</f>
        <v>-0.68267518065830979</v>
      </c>
      <c r="C43" s="20"/>
      <c r="D43" s="24"/>
      <c r="E43" s="24"/>
      <c r="F43" s="24"/>
      <c r="G43" s="25"/>
    </row>
    <row r="44" spans="1:7" x14ac:dyDescent="0.3">
      <c r="A44" s="6" t="s">
        <v>46</v>
      </c>
      <c r="B44" s="17">
        <f>1%*B52*100</f>
        <v>-0.85318703314464228</v>
      </c>
      <c r="C44" s="20"/>
      <c r="D44" s="24"/>
      <c r="E44" s="24"/>
      <c r="F44" s="24"/>
      <c r="G44" s="25"/>
    </row>
    <row r="45" spans="1:7" x14ac:dyDescent="0.3">
      <c r="A45" s="7"/>
      <c r="B45" s="41">
        <f>B46*B6</f>
        <v>-35.017675100723622</v>
      </c>
      <c r="C45" s="20"/>
      <c r="D45" s="24"/>
      <c r="E45" s="24"/>
      <c r="F45" s="24"/>
      <c r="G45" s="25"/>
    </row>
    <row r="46" spans="1:7" x14ac:dyDescent="0.3">
      <c r="A46" s="6" t="s">
        <v>47</v>
      </c>
      <c r="B46" s="28" cm="1">
        <f t="array" ref="B46:B52">_xll.ValuateSnowball(C1,1,B7,_xlfn.ANCHORARRAY(C3),_xlfn.ANCHORARRAY(D3),_xlfn.ANCHORARRAY(F3),B13,B19,B14,B16,B17,B20,B21,B23+B31,B22,B24,G1,E1,B7,1,B34,B35,B36,FALSE,"ALL")</f>
        <v>-3.5017675100723622E-6</v>
      </c>
      <c r="C46" s="20"/>
      <c r="D46" s="24"/>
      <c r="E46" s="24"/>
      <c r="F46" s="24"/>
      <c r="G46" s="25"/>
    </row>
    <row r="47" spans="1:7" x14ac:dyDescent="0.3">
      <c r="A47" s="6" t="s">
        <v>48</v>
      </c>
      <c r="B47" s="17">
        <v>0.83075247745810765</v>
      </c>
      <c r="C47" s="20"/>
      <c r="D47" s="24"/>
      <c r="E47" s="24"/>
      <c r="F47" s="24"/>
      <c r="G47" s="25"/>
    </row>
    <row r="48" spans="1:7" x14ac:dyDescent="0.3">
      <c r="A48" s="6" t="s">
        <v>49</v>
      </c>
      <c r="B48" s="17">
        <v>-8.3980782824166766</v>
      </c>
      <c r="C48" s="20"/>
      <c r="D48" s="24"/>
      <c r="E48" s="24"/>
      <c r="F48" s="24"/>
      <c r="G48" s="25"/>
    </row>
    <row r="49" spans="1:7" x14ac:dyDescent="0.3">
      <c r="A49" s="6" t="s">
        <v>50</v>
      </c>
      <c r="B49" s="17">
        <v>-0.54005219832700124</v>
      </c>
      <c r="C49" s="20"/>
      <c r="D49" s="24"/>
      <c r="E49" s="24"/>
      <c r="F49" s="24"/>
      <c r="G49" s="25"/>
    </row>
    <row r="50" spans="1:7" x14ac:dyDescent="0.3">
      <c r="A50" s="6" t="s">
        <v>51</v>
      </c>
      <c r="B50" s="17">
        <v>0.21329032924718105</v>
      </c>
      <c r="C50" s="20"/>
      <c r="D50" s="24"/>
      <c r="E50" s="24"/>
      <c r="F50" s="24"/>
      <c r="G50" s="25"/>
    </row>
    <row r="51" spans="1:7" x14ac:dyDescent="0.3">
      <c r="A51" s="6" t="s">
        <v>52</v>
      </c>
      <c r="B51" s="17">
        <v>-0.68267518065830979</v>
      </c>
      <c r="C51" s="20"/>
      <c r="D51" s="24"/>
      <c r="E51" s="24"/>
      <c r="F51" s="24"/>
      <c r="G51" s="25"/>
    </row>
    <row r="52" spans="1:7" x14ac:dyDescent="0.3">
      <c r="A52" s="6" t="s">
        <v>53</v>
      </c>
      <c r="B52" s="17">
        <v>-0.85318703314464228</v>
      </c>
      <c r="C52" s="20"/>
      <c r="D52" s="24"/>
      <c r="E52" s="24"/>
      <c r="F52" s="24"/>
      <c r="G52" s="25"/>
    </row>
  </sheetData>
  <phoneticPr fontId="2" type="noConversion"/>
  <dataValidations count="3">
    <dataValidation type="list" showInputMessage="1" showErrorMessage="1" sqref="B5" xr:uid="{7AF96621-96BC-4BCC-981A-15154B3A0AB8}">
      <formula1>"000852.SH,000905.SH,000300.SH,000016.SH,513180.SH"</formula1>
    </dataValidation>
    <dataValidation type="list" showInputMessage="1" showErrorMessage="1" sqref="B15" xr:uid="{D47510B4-0FC7-4E2D-9AF2-5D98A7CD53B1}">
      <formula1>"每日观察,到期观察"</formula1>
    </dataValidation>
    <dataValidation type="list" showInputMessage="1" showErrorMessage="1" sqref="B25" xr:uid="{607E36AE-A171-47EF-9B73-0AF5A98EAFD0}">
      <formula1>"含头含尾,含头不含尾"</formula1>
    </dataValidation>
  </dataValidations>
  <pageMargins left="0.7" right="0.7" top="0.75" bottom="0.75" header="0.3" footer="0.3"/>
  <legacy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3529B4-FAF3-4B3E-959C-CFF19BE2BAA2}">
  <dimension ref="A1:J54"/>
  <sheetViews>
    <sheetView topLeftCell="A16" workbookViewId="0">
      <selection activeCell="J2" sqref="J2:J52"/>
    </sheetView>
  </sheetViews>
  <sheetFormatPr defaultColWidth="22.1328125" defaultRowHeight="13.5" x14ac:dyDescent="0.3"/>
  <cols>
    <col min="1" max="1" width="19.1328125" style="2" customWidth="1"/>
    <col min="2" max="2" width="22.1328125" style="1"/>
    <col min="3" max="3" width="22.1328125" style="21"/>
    <col min="4" max="6" width="22.1328125" style="3"/>
    <col min="7" max="7" width="22.1328125" style="2"/>
    <col min="8" max="8" width="11.59765625" bestFit="1" customWidth="1"/>
  </cols>
  <sheetData>
    <row r="1" spans="1:10" x14ac:dyDescent="0.3">
      <c r="A1" s="6" t="s">
        <v>6</v>
      </c>
      <c r="B1" s="9" t="s">
        <v>82</v>
      </c>
      <c r="C1" s="18" t="s">
        <v>55</v>
      </c>
      <c r="D1" s="22"/>
      <c r="E1" s="22" t="b">
        <f>(B15="每日观察")</f>
        <v>1</v>
      </c>
      <c r="F1" s="22"/>
      <c r="G1" s="7" t="b">
        <f>IF(B25="含头含尾",TRUE,FALSE)</f>
        <v>1</v>
      </c>
      <c r="I1" t="s">
        <v>69</v>
      </c>
    </row>
    <row r="2" spans="1:10" x14ac:dyDescent="0.3">
      <c r="A2" s="6" t="s">
        <v>5</v>
      </c>
      <c r="B2" s="10" t="str">
        <f>_xlfn.TEXTJOIN(,TRUE,IF(B13&gt;0,"增强型",""),IF(B15="每日观察","","欧式"),IF(AND(B21=B20,B20&lt;0.9),"不追保",""),IF(B16&lt;1,"OTM",""),"早利雪球")</f>
        <v>早利雪球</v>
      </c>
      <c r="C2" s="19" t="s">
        <v>1</v>
      </c>
      <c r="D2" s="23" t="s">
        <v>12</v>
      </c>
      <c r="E2" s="23" t="s">
        <v>54</v>
      </c>
      <c r="F2" s="23" t="s">
        <v>33</v>
      </c>
      <c r="G2" s="25"/>
      <c r="H2" s="29">
        <v>45975</v>
      </c>
      <c r="I2">
        <v>7235.4616999999998</v>
      </c>
      <c r="J2" cm="1">
        <f t="array" ref="J2">_xll.ValuateSnowball($C$1,$B$3,$B$7,_xlfn.ANCHORARRAY($C$3),_xlfn.ANCHORARRAY($D$3),_xlfn.ANCHORARRAY($F$3),$B$13,$B$19,$B$14,$B$16,$B$17,$B$20,$B$21,$B$23+$B$31,$B$22,$B$24,$G$1,$E$1,H2+0.625,I2,$B$34,$B$35,$B$36,FALSE,"NPV")*$B$6/$B$3</f>
        <v>-114.84025317527755</v>
      </c>
    </row>
    <row r="3" spans="1:10" x14ac:dyDescent="0.3">
      <c r="A3" s="6" t="s">
        <v>70</v>
      </c>
      <c r="B3" s="10">
        <v>7235.46</v>
      </c>
      <c r="C3" s="26" cm="1">
        <f t="array" ref="C3:C24">_xll.ScheduleDates(C1,B7,B8,"1M",B9,"MODIFIED_FOLLOWING")</f>
        <v>46077</v>
      </c>
      <c r="D3" s="27" cm="1">
        <f t="array" ref="D3:D24">_xll.GenerateBarriers(_xlfn.ANCHORARRAY(C3),B11,B12)</f>
        <v>1</v>
      </c>
      <c r="E3" s="27" cm="1">
        <f t="array" ref="E3:E24">_xll.GenerateBonusCoupons(C1,B7,_xlfn.ANCHORARRAY(C3),B10,-1,B18)</f>
        <v>-1</v>
      </c>
      <c r="F3" s="27" cm="1">
        <f t="array" ref="F3:F24">_xll.GenerateBonusCoupons(C1,B7,_xlfn.ANCHORARRAY(C3),B10,B29,B18)</f>
        <v>0.35360000000000003</v>
      </c>
      <c r="G3" s="25"/>
      <c r="H3" s="29">
        <v>45978</v>
      </c>
      <c r="I3">
        <v>7235.3512000000001</v>
      </c>
      <c r="J3">
        <v>7863.1804551117166</v>
      </c>
    </row>
    <row r="4" spans="1:10" x14ac:dyDescent="0.3">
      <c r="A4" s="6" t="s">
        <v>71</v>
      </c>
      <c r="B4" s="31">
        <v>46050</v>
      </c>
      <c r="C4" s="20">
        <v>46097</v>
      </c>
      <c r="D4" s="24">
        <v>1</v>
      </c>
      <c r="E4" s="24">
        <v>-1</v>
      </c>
      <c r="F4" s="24">
        <v>0.35360000000000003</v>
      </c>
      <c r="G4" s="25"/>
      <c r="H4" s="29">
        <v>45979</v>
      </c>
      <c r="I4">
        <v>7151.0176000000001</v>
      </c>
      <c r="J4">
        <v>-122821.56191767834</v>
      </c>
    </row>
    <row r="5" spans="1:10" x14ac:dyDescent="0.3">
      <c r="A5" s="6" t="s">
        <v>0</v>
      </c>
      <c r="B5" s="11" t="s">
        <v>4</v>
      </c>
      <c r="C5" s="20">
        <v>46126</v>
      </c>
      <c r="D5" s="24">
        <v>1</v>
      </c>
      <c r="E5" s="24">
        <v>-1</v>
      </c>
      <c r="F5" s="24">
        <v>0.35360000000000003</v>
      </c>
      <c r="G5" s="25"/>
      <c r="H5" s="29">
        <v>45980</v>
      </c>
      <c r="I5">
        <v>7122.7465000000002</v>
      </c>
      <c r="J5">
        <v>-163759.72915516872</v>
      </c>
    </row>
    <row r="6" spans="1:10" x14ac:dyDescent="0.3">
      <c r="A6" s="6" t="s">
        <v>7</v>
      </c>
      <c r="B6" s="12">
        <v>10000000</v>
      </c>
      <c r="C6" s="20">
        <v>46156</v>
      </c>
      <c r="D6" s="24">
        <v>1</v>
      </c>
      <c r="E6" s="24">
        <v>-1</v>
      </c>
      <c r="F6" s="24">
        <v>0.35360000000000003</v>
      </c>
      <c r="G6" s="25"/>
      <c r="H6" s="29">
        <v>45981</v>
      </c>
      <c r="I6">
        <v>7061.9497000000001</v>
      </c>
      <c r="J6">
        <v>-265057.90280760324</v>
      </c>
    </row>
    <row r="7" spans="1:10" x14ac:dyDescent="0.3">
      <c r="A7" s="6" t="s">
        <v>8</v>
      </c>
      <c r="B7" s="13">
        <v>45975.625</v>
      </c>
      <c r="C7" s="20">
        <v>46188</v>
      </c>
      <c r="D7" s="24">
        <v>1</v>
      </c>
      <c r="E7" s="24">
        <v>-1</v>
      </c>
      <c r="F7" s="24">
        <v>0.35360000000000003</v>
      </c>
      <c r="G7" s="25"/>
      <c r="H7" s="29">
        <v>45982</v>
      </c>
      <c r="I7">
        <v>6817.4102999999996</v>
      </c>
      <c r="J7">
        <v>-742550.67081850744</v>
      </c>
    </row>
    <row r="8" spans="1:10" x14ac:dyDescent="0.3">
      <c r="A8" s="6" t="s">
        <v>9</v>
      </c>
      <c r="B8" s="10" t="s">
        <v>10</v>
      </c>
      <c r="C8" s="20">
        <v>46217</v>
      </c>
      <c r="D8" s="24">
        <v>1</v>
      </c>
      <c r="E8" s="24">
        <v>-1</v>
      </c>
      <c r="F8" s="24">
        <v>0.35360000000000003</v>
      </c>
      <c r="G8" s="25"/>
      <c r="H8" s="29">
        <v>45985</v>
      </c>
      <c r="I8">
        <v>6868.9664000000002</v>
      </c>
      <c r="J8">
        <v>-628336.12552599073</v>
      </c>
    </row>
    <row r="9" spans="1:10" x14ac:dyDescent="0.3">
      <c r="A9" s="6" t="s">
        <v>11</v>
      </c>
      <c r="B9" s="10">
        <v>3</v>
      </c>
      <c r="C9" s="20">
        <v>46248</v>
      </c>
      <c r="D9" s="24">
        <v>1</v>
      </c>
      <c r="E9" s="24">
        <v>-1</v>
      </c>
      <c r="F9" s="24">
        <v>0.35360000000000003</v>
      </c>
      <c r="G9" s="25"/>
      <c r="H9" s="29">
        <v>45986</v>
      </c>
      <c r="I9">
        <v>6954.6034</v>
      </c>
      <c r="J9">
        <v>-447617.69294677419</v>
      </c>
    </row>
    <row r="10" spans="1:10" x14ac:dyDescent="0.3">
      <c r="A10" s="6" t="s">
        <v>56</v>
      </c>
      <c r="B10" s="10" t="s">
        <v>57</v>
      </c>
      <c r="C10" s="20">
        <v>46279</v>
      </c>
      <c r="D10" s="24">
        <v>1</v>
      </c>
      <c r="E10" s="24">
        <v>-1</v>
      </c>
      <c r="F10" s="24">
        <v>0.35360000000000003</v>
      </c>
      <c r="G10" s="25"/>
      <c r="H10" s="29">
        <v>45987</v>
      </c>
      <c r="I10">
        <v>6965.0452999999998</v>
      </c>
      <c r="J10">
        <v>-419475.88692545675</v>
      </c>
    </row>
    <row r="11" spans="1:10" x14ac:dyDescent="0.3">
      <c r="A11" s="6" t="s">
        <v>12</v>
      </c>
      <c r="B11" s="14">
        <v>1</v>
      </c>
      <c r="C11" s="20">
        <v>46309</v>
      </c>
      <c r="D11" s="24">
        <v>1</v>
      </c>
      <c r="E11" s="24">
        <v>-1</v>
      </c>
      <c r="F11" s="24">
        <v>0.35360000000000003</v>
      </c>
      <c r="G11" s="25"/>
      <c r="H11" s="29">
        <v>45988</v>
      </c>
      <c r="I11">
        <v>6951.2843999999996</v>
      </c>
      <c r="J11">
        <v>-439390.40208335797</v>
      </c>
    </row>
    <row r="12" spans="1:10" x14ac:dyDescent="0.3">
      <c r="A12" s="6" t="s">
        <v>13</v>
      </c>
      <c r="B12" s="14">
        <v>0</v>
      </c>
      <c r="C12" s="20">
        <v>46342</v>
      </c>
      <c r="D12" s="24">
        <v>1</v>
      </c>
      <c r="E12" s="24">
        <v>-1</v>
      </c>
      <c r="F12" s="24">
        <v>0.35360000000000003</v>
      </c>
      <c r="G12" s="25"/>
      <c r="H12" s="29">
        <v>45989</v>
      </c>
      <c r="I12">
        <v>7031.5505000000003</v>
      </c>
      <c r="J12">
        <v>-274792.64084380597</v>
      </c>
    </row>
    <row r="13" spans="1:10" x14ac:dyDescent="0.3">
      <c r="A13" s="6" t="s">
        <v>14</v>
      </c>
      <c r="B13" s="14">
        <v>0</v>
      </c>
      <c r="C13" s="20">
        <v>46370</v>
      </c>
      <c r="D13" s="24">
        <v>1</v>
      </c>
      <c r="E13" s="24">
        <v>0.05</v>
      </c>
      <c r="F13" s="24">
        <v>0.05</v>
      </c>
      <c r="G13" s="25"/>
      <c r="H13" s="29">
        <v>45992</v>
      </c>
      <c r="I13">
        <v>7101.8323</v>
      </c>
      <c r="J13">
        <v>-135914.07747239771</v>
      </c>
    </row>
    <row r="14" spans="1:10" x14ac:dyDescent="0.3">
      <c r="A14" s="6" t="s">
        <v>2</v>
      </c>
      <c r="B14" s="14">
        <v>0.75</v>
      </c>
      <c r="C14" s="20">
        <v>46401</v>
      </c>
      <c r="D14" s="24">
        <v>1</v>
      </c>
      <c r="E14" s="24">
        <v>0.05</v>
      </c>
      <c r="F14" s="24">
        <v>0.05</v>
      </c>
      <c r="G14" s="25"/>
      <c r="H14" s="29">
        <v>45993</v>
      </c>
      <c r="I14">
        <v>7040.3008</v>
      </c>
      <c r="J14">
        <v>-242162.21859680343</v>
      </c>
    </row>
    <row r="15" spans="1:10" x14ac:dyDescent="0.3">
      <c r="A15" s="6" t="s">
        <v>15</v>
      </c>
      <c r="B15" s="11" t="s">
        <v>16</v>
      </c>
      <c r="C15" s="20">
        <v>46433</v>
      </c>
      <c r="D15" s="24">
        <v>1</v>
      </c>
      <c r="E15" s="24">
        <v>0.05</v>
      </c>
      <c r="F15" s="24">
        <v>0.05</v>
      </c>
      <c r="G15" s="25"/>
      <c r="H15" s="29">
        <v>45994</v>
      </c>
      <c r="I15">
        <v>6996.3552</v>
      </c>
      <c r="J15">
        <v>-319344.30016823008</v>
      </c>
    </row>
    <row r="16" spans="1:10" x14ac:dyDescent="0.3">
      <c r="A16" s="6" t="s">
        <v>17</v>
      </c>
      <c r="B16" s="14">
        <v>1</v>
      </c>
      <c r="C16" s="20">
        <v>46461</v>
      </c>
      <c r="D16" s="24">
        <v>1</v>
      </c>
      <c r="E16" s="24">
        <v>0.05</v>
      </c>
      <c r="F16" s="24">
        <v>0.05</v>
      </c>
      <c r="G16" s="25"/>
      <c r="H16" s="29">
        <v>45995</v>
      </c>
      <c r="I16">
        <v>7012.8060999999998</v>
      </c>
      <c r="J16">
        <v>-279159.49076029623</v>
      </c>
    </row>
    <row r="17" spans="1:10" x14ac:dyDescent="0.3">
      <c r="A17" s="6" t="s">
        <v>18</v>
      </c>
      <c r="B17" s="14">
        <v>1</v>
      </c>
      <c r="C17" s="20">
        <v>46491</v>
      </c>
      <c r="D17" s="24">
        <v>1</v>
      </c>
      <c r="E17" s="24">
        <v>0.05</v>
      </c>
      <c r="F17" s="24">
        <v>0.05</v>
      </c>
      <c r="G17" s="25"/>
      <c r="H17" s="29">
        <v>45996</v>
      </c>
      <c r="I17">
        <v>7097.8388999999997</v>
      </c>
      <c r="J17">
        <v>-109704.7473920237</v>
      </c>
    </row>
    <row r="18" spans="1:10" x14ac:dyDescent="0.3">
      <c r="A18" s="6" t="s">
        <v>58</v>
      </c>
      <c r="B18" s="14">
        <v>0.05</v>
      </c>
      <c r="C18" s="20">
        <v>46521</v>
      </c>
      <c r="D18" s="24">
        <v>1</v>
      </c>
      <c r="E18" s="24">
        <v>0.05</v>
      </c>
      <c r="F18" s="24">
        <v>0.05</v>
      </c>
      <c r="G18" s="25"/>
      <c r="H18" s="29">
        <v>45999</v>
      </c>
      <c r="I18">
        <v>7172.3671000000004</v>
      </c>
      <c r="J18">
        <v>31533.358419412867</v>
      </c>
    </row>
    <row r="19" spans="1:10" x14ac:dyDescent="0.3">
      <c r="A19" s="6" t="s">
        <v>19</v>
      </c>
      <c r="B19" s="14">
        <v>0.05</v>
      </c>
      <c r="C19" s="20">
        <v>46552</v>
      </c>
      <c r="D19" s="24">
        <v>1</v>
      </c>
      <c r="E19" s="24">
        <v>0.05</v>
      </c>
      <c r="F19" s="24">
        <v>0.05</v>
      </c>
      <c r="G19" s="25"/>
      <c r="H19" s="29">
        <v>46000</v>
      </c>
      <c r="I19">
        <v>7121.3256000000001</v>
      </c>
      <c r="J19">
        <v>-49735.282559346721</v>
      </c>
    </row>
    <row r="20" spans="1:10" x14ac:dyDescent="0.3">
      <c r="A20" s="6" t="s">
        <v>20</v>
      </c>
      <c r="B20" s="14">
        <v>1</v>
      </c>
      <c r="C20" s="20">
        <v>46582</v>
      </c>
      <c r="D20" s="24">
        <v>1</v>
      </c>
      <c r="E20" s="24">
        <v>0.05</v>
      </c>
      <c r="F20" s="24">
        <v>0.05</v>
      </c>
      <c r="G20" s="25"/>
      <c r="H20" s="29">
        <v>46001</v>
      </c>
      <c r="I20">
        <v>7155.9943999999996</v>
      </c>
      <c r="J20">
        <v>20822.721502729153</v>
      </c>
    </row>
    <row r="21" spans="1:10" x14ac:dyDescent="0.3">
      <c r="A21" s="6" t="s">
        <v>21</v>
      </c>
      <c r="B21" s="14">
        <v>1</v>
      </c>
      <c r="C21" s="20">
        <v>46615</v>
      </c>
      <c r="D21" s="24">
        <v>1</v>
      </c>
      <c r="E21" s="24">
        <v>0.05</v>
      </c>
      <c r="F21" s="24">
        <v>0.05</v>
      </c>
      <c r="G21" s="25"/>
      <c r="H21" s="29">
        <v>46002</v>
      </c>
      <c r="I21">
        <v>7082.8932000000004</v>
      </c>
      <c r="J21">
        <v>-103255.5415982415</v>
      </c>
    </row>
    <row r="22" spans="1:10" x14ac:dyDescent="0.3">
      <c r="A22" s="6" t="s">
        <v>22</v>
      </c>
      <c r="B22" s="14">
        <v>0</v>
      </c>
      <c r="C22" s="20">
        <v>46644</v>
      </c>
      <c r="D22" s="24">
        <v>1</v>
      </c>
      <c r="E22" s="24">
        <v>0.05</v>
      </c>
      <c r="F22" s="24">
        <v>0.05</v>
      </c>
      <c r="G22" s="25"/>
      <c r="H22" s="29">
        <v>46003</v>
      </c>
      <c r="I22">
        <v>7169.7910000000002</v>
      </c>
      <c r="J22">
        <v>62877.534211632745</v>
      </c>
    </row>
    <row r="23" spans="1:10" x14ac:dyDescent="0.3">
      <c r="A23" s="6" t="s">
        <v>23</v>
      </c>
      <c r="B23" s="14">
        <v>0</v>
      </c>
      <c r="C23" s="20">
        <v>46674</v>
      </c>
      <c r="D23" s="24">
        <v>1</v>
      </c>
      <c r="E23" s="24">
        <v>0.05</v>
      </c>
      <c r="F23" s="24">
        <v>0.05</v>
      </c>
      <c r="G23" s="25"/>
      <c r="H23" s="29">
        <v>46006</v>
      </c>
      <c r="I23">
        <v>7113.9620000000004</v>
      </c>
      <c r="J23">
        <v>-27962.575069534341</v>
      </c>
    </row>
    <row r="24" spans="1:10" x14ac:dyDescent="0.3">
      <c r="A24" s="6" t="s">
        <v>24</v>
      </c>
      <c r="B24" s="10">
        <v>0</v>
      </c>
      <c r="C24" s="20">
        <v>46706</v>
      </c>
      <c r="D24" s="24">
        <v>1</v>
      </c>
      <c r="E24" s="24">
        <v>0.05</v>
      </c>
      <c r="F24" s="24">
        <v>0.05</v>
      </c>
      <c r="G24" s="25"/>
      <c r="H24" s="29">
        <v>46007</v>
      </c>
      <c r="I24">
        <v>7001.3188</v>
      </c>
      <c r="J24">
        <v>-236986.53721805417</v>
      </c>
    </row>
    <row r="25" spans="1:10" x14ac:dyDescent="0.3">
      <c r="A25" s="6" t="s">
        <v>25</v>
      </c>
      <c r="B25" s="11" t="s">
        <v>26</v>
      </c>
      <c r="C25" s="20"/>
      <c r="D25" s="24"/>
      <c r="E25" s="24"/>
      <c r="F25" s="24"/>
      <c r="G25" s="25"/>
      <c r="H25" s="29">
        <v>46008</v>
      </c>
      <c r="I25">
        <v>7137.8338999999996</v>
      </c>
      <c r="J25">
        <v>33612.110558983099</v>
      </c>
    </row>
    <row r="26" spans="1:10" x14ac:dyDescent="0.3">
      <c r="A26" s="6" t="s">
        <v>27</v>
      </c>
      <c r="B26" s="14">
        <v>0</v>
      </c>
      <c r="C26" s="20"/>
      <c r="D26" s="24"/>
      <c r="E26" s="24"/>
      <c r="F26" s="24"/>
      <c r="G26" s="25"/>
      <c r="H26" s="29">
        <v>46009</v>
      </c>
      <c r="I26">
        <v>7100.8359</v>
      </c>
      <c r="J26">
        <v>-25481.541400472346</v>
      </c>
    </row>
    <row r="27" spans="1:10" x14ac:dyDescent="0.3">
      <c r="A27" s="6" t="s">
        <v>28</v>
      </c>
      <c r="B27" s="14" t="s">
        <v>29</v>
      </c>
      <c r="C27" s="20"/>
      <c r="D27" s="24"/>
      <c r="E27" s="24"/>
      <c r="F27" s="24"/>
      <c r="G27" s="25"/>
      <c r="H27" s="29">
        <v>46010</v>
      </c>
      <c r="I27">
        <v>7169.5510999999997</v>
      </c>
      <c r="J27">
        <v>108780.42493801497</v>
      </c>
    </row>
    <row r="28" spans="1:10" x14ac:dyDescent="0.3">
      <c r="A28" s="7"/>
      <c r="B28" s="14"/>
      <c r="C28" s="20"/>
      <c r="D28" s="24"/>
      <c r="E28" s="24"/>
      <c r="F28" s="24"/>
      <c r="G28" s="25"/>
      <c r="H28" s="29">
        <v>46013</v>
      </c>
      <c r="I28">
        <v>7255.6607000000004</v>
      </c>
      <c r="J28">
        <v>262657.85619001702</v>
      </c>
    </row>
    <row r="29" spans="1:10" x14ac:dyDescent="0.3">
      <c r="A29" s="6" t="s">
        <v>59</v>
      </c>
      <c r="B29" s="34">
        <v>0.35360000000000003</v>
      </c>
      <c r="C29" s="20"/>
      <c r="D29" s="24"/>
      <c r="E29" s="24"/>
      <c r="F29" s="24"/>
      <c r="G29" s="25"/>
      <c r="H29" s="29">
        <v>46014</v>
      </c>
      <c r="I29">
        <v>7256.7864</v>
      </c>
      <c r="J29">
        <v>274326.5917554106</v>
      </c>
    </row>
    <row r="30" spans="1:10" x14ac:dyDescent="0.3">
      <c r="A30" s="7"/>
      <c r="B30" s="14"/>
      <c r="C30" s="20"/>
      <c r="D30" s="24"/>
      <c r="E30" s="24"/>
      <c r="F30" s="24"/>
      <c r="G30" s="25"/>
      <c r="H30" s="29">
        <v>46015</v>
      </c>
      <c r="I30">
        <v>7352.0396000000001</v>
      </c>
      <c r="J30">
        <v>425798.90537029173</v>
      </c>
    </row>
    <row r="31" spans="1:10" x14ac:dyDescent="0.3">
      <c r="A31" s="6" t="s">
        <v>34</v>
      </c>
      <c r="B31" s="14">
        <v>0</v>
      </c>
      <c r="C31" s="20"/>
      <c r="D31" s="24"/>
      <c r="E31" s="24"/>
      <c r="F31" s="24"/>
      <c r="G31" s="25"/>
      <c r="H31" s="29">
        <v>46016</v>
      </c>
      <c r="I31">
        <v>7410.7119000000002</v>
      </c>
      <c r="J31">
        <v>512845.289019736</v>
      </c>
    </row>
    <row r="32" spans="1:10" x14ac:dyDescent="0.3">
      <c r="A32" s="6" t="s">
        <v>35</v>
      </c>
      <c r="B32" s="14" t="s">
        <v>36</v>
      </c>
      <c r="C32" s="20"/>
      <c r="D32" s="24"/>
      <c r="E32" s="24"/>
      <c r="F32" s="24"/>
      <c r="G32" s="25"/>
      <c r="H32" s="29">
        <v>46017</v>
      </c>
      <c r="I32">
        <v>7458.8386</v>
      </c>
      <c r="J32">
        <v>579951.47283859004</v>
      </c>
    </row>
    <row r="33" spans="1:10" x14ac:dyDescent="0.3">
      <c r="A33" s="7"/>
      <c r="B33" s="14"/>
      <c r="C33" s="20"/>
      <c r="D33" s="24"/>
      <c r="E33" s="24"/>
      <c r="F33" s="24"/>
      <c r="G33" s="25"/>
      <c r="H33" s="29">
        <v>46020</v>
      </c>
      <c r="I33">
        <v>7430.6147000000001</v>
      </c>
      <c r="J33">
        <v>557236.89765193965</v>
      </c>
    </row>
    <row r="34" spans="1:10" x14ac:dyDescent="0.3">
      <c r="A34" s="6" t="s">
        <v>37</v>
      </c>
      <c r="B34" s="16">
        <v>2.1000000000000001E-2</v>
      </c>
      <c r="C34" s="20"/>
      <c r="D34" s="24"/>
      <c r="E34" s="24"/>
      <c r="F34" s="24"/>
      <c r="G34" s="25"/>
      <c r="H34" s="29">
        <v>46021</v>
      </c>
      <c r="I34">
        <v>7458.9359999999997</v>
      </c>
      <c r="J34">
        <v>600064.67600895429</v>
      </c>
    </row>
    <row r="35" spans="1:10" x14ac:dyDescent="0.3">
      <c r="A35" s="6" t="s">
        <v>38</v>
      </c>
      <c r="B35" s="14">
        <v>-6.5040000000000001E-2</v>
      </c>
      <c r="C35" s="20"/>
      <c r="D35" s="24"/>
      <c r="E35" s="24"/>
      <c r="F35" s="24"/>
      <c r="G35" s="25"/>
      <c r="H35" s="29">
        <v>46022</v>
      </c>
      <c r="I35">
        <v>7465.5742</v>
      </c>
      <c r="J35">
        <v>617557.9960200506</v>
      </c>
    </row>
    <row r="36" spans="1:10" x14ac:dyDescent="0.3">
      <c r="A36" s="6" t="s">
        <v>39</v>
      </c>
      <c r="B36" s="14">
        <v>0.16</v>
      </c>
      <c r="C36" s="20"/>
      <c r="D36" s="24"/>
      <c r="E36" s="24"/>
      <c r="F36" s="24"/>
      <c r="G36" s="25"/>
      <c r="H36" s="29">
        <v>46027</v>
      </c>
      <c r="I36">
        <v>7651.1980999999996</v>
      </c>
      <c r="J36">
        <v>790385.83038445725</v>
      </c>
    </row>
    <row r="37" spans="1:10" x14ac:dyDescent="0.3">
      <c r="A37" s="7"/>
      <c r="B37" s="10"/>
      <c r="C37" s="20"/>
      <c r="D37" s="24"/>
      <c r="E37" s="24"/>
      <c r="F37" s="24"/>
      <c r="G37" s="25"/>
      <c r="H37" s="29">
        <v>46028</v>
      </c>
      <c r="I37">
        <v>7814.1355999999996</v>
      </c>
      <c r="J37">
        <v>883033.20647649141</v>
      </c>
    </row>
    <row r="38" spans="1:10" x14ac:dyDescent="0.3">
      <c r="A38" s="8" t="s">
        <v>40</v>
      </c>
      <c r="B38" s="10"/>
      <c r="C38" s="20"/>
      <c r="D38" s="24"/>
      <c r="E38" s="24"/>
      <c r="F38" s="24"/>
      <c r="G38" s="25"/>
      <c r="H38" s="29">
        <v>46029</v>
      </c>
      <c r="I38">
        <v>7875.0821999999998</v>
      </c>
      <c r="J38">
        <v>909535.45555380813</v>
      </c>
    </row>
    <row r="39" spans="1:10" x14ac:dyDescent="0.3">
      <c r="A39" s="6" t="s">
        <v>41</v>
      </c>
      <c r="B39" s="17">
        <f>B47*100</f>
        <v>114.29651152621956</v>
      </c>
      <c r="C39" s="20"/>
      <c r="D39" s="24"/>
      <c r="E39" s="24"/>
      <c r="F39" s="24"/>
      <c r="G39" s="25"/>
      <c r="H39" s="29">
        <v>46030</v>
      </c>
      <c r="I39">
        <v>7894.5447000000004</v>
      </c>
      <c r="J39">
        <v>920172.99489580339</v>
      </c>
    </row>
    <row r="40" spans="1:10" x14ac:dyDescent="0.3">
      <c r="A40" s="6" t="s">
        <v>42</v>
      </c>
      <c r="B40" s="17">
        <f>B48*1%*100</f>
        <v>-7.9151804465826814</v>
      </c>
      <c r="C40" s="20"/>
      <c r="D40" s="24"/>
      <c r="E40" s="24"/>
      <c r="F40" s="24"/>
      <c r="G40" s="25"/>
      <c r="H40" s="29">
        <v>46031</v>
      </c>
      <c r="I40">
        <v>8056.6858000000002</v>
      </c>
      <c r="J40">
        <v>953282.83190394996</v>
      </c>
    </row>
    <row r="41" spans="1:10" x14ac:dyDescent="0.3">
      <c r="A41" s="6" t="s">
        <v>43</v>
      </c>
      <c r="B41" s="17">
        <f>B49*1%*100</f>
        <v>-0.38416216716496976</v>
      </c>
      <c r="C41" s="20"/>
      <c r="D41" s="24"/>
      <c r="E41" s="24"/>
      <c r="F41" s="24"/>
      <c r="G41" s="25"/>
      <c r="H41" s="29">
        <v>46034</v>
      </c>
      <c r="I41">
        <v>8249.1275000000005</v>
      </c>
      <c r="J41">
        <v>968810.81093315489</v>
      </c>
    </row>
    <row r="42" spans="1:10" x14ac:dyDescent="0.3">
      <c r="A42" s="6" t="s">
        <v>44</v>
      </c>
      <c r="B42" s="17">
        <f>B50*1/242*100</f>
        <v>8.153040647891352E-2</v>
      </c>
      <c r="C42" s="20"/>
      <c r="D42" s="24"/>
      <c r="E42" s="24"/>
      <c r="F42" s="24"/>
      <c r="G42" s="25"/>
      <c r="H42" s="29">
        <v>46035</v>
      </c>
      <c r="I42">
        <v>8143.28</v>
      </c>
      <c r="J42">
        <v>966000.65685730835</v>
      </c>
    </row>
    <row r="43" spans="1:10" x14ac:dyDescent="0.3">
      <c r="A43" s="6" t="s">
        <v>45</v>
      </c>
      <c r="B43" s="17">
        <f>1%*B51*100</f>
        <v>-0.8045772527996542</v>
      </c>
      <c r="C43" s="20"/>
      <c r="D43" s="24"/>
      <c r="E43" s="24"/>
      <c r="F43" s="24"/>
      <c r="G43" s="25"/>
      <c r="H43" s="29">
        <v>46036</v>
      </c>
      <c r="I43">
        <v>8227.6970000000001</v>
      </c>
      <c r="J43">
        <v>971646.11372928624</v>
      </c>
    </row>
    <row r="44" spans="1:10" x14ac:dyDescent="0.3">
      <c r="A44" s="6" t="s">
        <v>46</v>
      </c>
      <c r="B44" s="17">
        <f>1%*B52*100</f>
        <v>-1.0775532216063199</v>
      </c>
      <c r="C44" s="20"/>
      <c r="D44" s="24"/>
      <c r="E44" s="24"/>
      <c r="F44" s="24"/>
      <c r="G44" s="25"/>
      <c r="H44" s="29">
        <v>46037</v>
      </c>
      <c r="I44">
        <v>8223.2682999999997</v>
      </c>
      <c r="J44">
        <v>973220.30779116449</v>
      </c>
    </row>
    <row r="45" spans="1:10" x14ac:dyDescent="0.3">
      <c r="A45" s="7"/>
      <c r="B45" s="17">
        <f>B46*B6</f>
        <v>-117.52560118205579</v>
      </c>
      <c r="C45" s="20"/>
      <c r="D45" s="24"/>
      <c r="E45" s="24"/>
      <c r="F45" s="24"/>
      <c r="G45" s="25"/>
      <c r="H45" s="29">
        <v>46038</v>
      </c>
      <c r="I45">
        <v>8232.6740000000009</v>
      </c>
      <c r="J45">
        <v>975055.57849261456</v>
      </c>
    </row>
    <row r="46" spans="1:10" x14ac:dyDescent="0.3">
      <c r="A46" s="6" t="s">
        <v>47</v>
      </c>
      <c r="B46" s="28" cm="1">
        <f t="array" ref="B46:B52">_xll.ValuateSnowball(C1,1,B7,_xlfn.ANCHORARRAY(C3),_xlfn.ANCHORARRAY(D3),_xlfn.ANCHORARRAY(F3),B13,B19,B14,B16,B17,B20,B21,B23+B31,B22,B24,G1,E1,B7,1,B34,B35,B36,FALSE,"ALL")</f>
        <v>-1.1752560118205579E-5</v>
      </c>
      <c r="C46" s="20"/>
      <c r="D46" s="24"/>
      <c r="E46" s="24"/>
      <c r="F46" s="24"/>
      <c r="G46" s="25"/>
      <c r="H46" s="29">
        <v>46041</v>
      </c>
      <c r="I46">
        <v>8287.9470000000001</v>
      </c>
      <c r="J46">
        <v>977370.07941712497</v>
      </c>
    </row>
    <row r="47" spans="1:10" x14ac:dyDescent="0.3">
      <c r="A47" s="6" t="s">
        <v>48</v>
      </c>
      <c r="B47" s="17">
        <v>1.1429651152621956</v>
      </c>
      <c r="C47" s="20"/>
      <c r="D47" s="24"/>
      <c r="E47" s="24"/>
      <c r="F47" s="24"/>
      <c r="G47" s="25"/>
      <c r="H47" s="29">
        <v>46042</v>
      </c>
      <c r="I47">
        <v>8247.8048999999992</v>
      </c>
      <c r="J47">
        <v>978208.27306097141</v>
      </c>
    </row>
    <row r="48" spans="1:10" x14ac:dyDescent="0.3">
      <c r="A48" s="6" t="s">
        <v>49</v>
      </c>
      <c r="B48" s="17">
        <v>-7.9151804465826814</v>
      </c>
      <c r="C48" s="20"/>
      <c r="D48" s="24"/>
      <c r="E48" s="24"/>
      <c r="F48" s="24"/>
      <c r="G48" s="25"/>
      <c r="H48" s="29">
        <v>46043</v>
      </c>
      <c r="I48">
        <v>8340.1133000000009</v>
      </c>
      <c r="J48">
        <v>980180.13275176345</v>
      </c>
    </row>
    <row r="49" spans="1:10" x14ac:dyDescent="0.3">
      <c r="A49" s="6" t="s">
        <v>50</v>
      </c>
      <c r="B49" s="17">
        <v>-0.38416216716496976</v>
      </c>
      <c r="C49" s="20"/>
      <c r="D49" s="24"/>
      <c r="E49" s="24"/>
      <c r="F49" s="24"/>
      <c r="G49" s="25"/>
      <c r="H49" s="29">
        <v>46044</v>
      </c>
      <c r="I49">
        <v>8387.5949999999993</v>
      </c>
      <c r="J49">
        <v>981406.76856701542</v>
      </c>
    </row>
    <row r="50" spans="1:10" x14ac:dyDescent="0.3">
      <c r="A50" s="6" t="s">
        <v>51</v>
      </c>
      <c r="B50" s="17">
        <v>0.19730358367897072</v>
      </c>
      <c r="C50" s="20"/>
      <c r="D50" s="24"/>
      <c r="E50" s="24"/>
      <c r="F50" s="24"/>
      <c r="G50" s="25"/>
      <c r="H50" s="29">
        <v>46045</v>
      </c>
      <c r="I50">
        <v>8590.1659</v>
      </c>
      <c r="J50">
        <v>982552.13523863594</v>
      </c>
    </row>
    <row r="51" spans="1:10" x14ac:dyDescent="0.3">
      <c r="A51" s="6" t="s">
        <v>52</v>
      </c>
      <c r="B51" s="17">
        <v>-0.8045772527996542</v>
      </c>
      <c r="C51" s="20"/>
      <c r="D51" s="24"/>
      <c r="E51" s="24"/>
      <c r="F51" s="24"/>
      <c r="G51" s="25"/>
      <c r="H51" s="29">
        <v>46048</v>
      </c>
      <c r="I51">
        <v>8506.6931999999997</v>
      </c>
      <c r="J51">
        <v>983498.80810885224</v>
      </c>
    </row>
    <row r="52" spans="1:10" x14ac:dyDescent="0.3">
      <c r="A52" s="6" t="s">
        <v>53</v>
      </c>
      <c r="B52" s="17">
        <v>-1.0775532216063199</v>
      </c>
      <c r="C52" s="20"/>
      <c r="D52" s="24"/>
      <c r="E52" s="24"/>
      <c r="F52" s="24"/>
      <c r="G52" s="25"/>
      <c r="H52" s="29">
        <v>46049</v>
      </c>
      <c r="I52">
        <v>8548.9321</v>
      </c>
      <c r="J52">
        <v>984466.02408566175</v>
      </c>
    </row>
    <row r="54" spans="1:10" x14ac:dyDescent="0.3">
      <c r="H54" t="s">
        <v>66</v>
      </c>
    </row>
  </sheetData>
  <phoneticPr fontId="2" type="noConversion"/>
  <dataValidations count="3">
    <dataValidation type="list" showInputMessage="1" showErrorMessage="1" sqref="B5" xr:uid="{225929D7-C098-43FD-B9F3-323BAACFF917}">
      <formula1>"000852.SH,000905.SH,000300.SH,000016.SH,513180.SH"</formula1>
    </dataValidation>
    <dataValidation type="list" showInputMessage="1" showErrorMessage="1" sqref="B15" xr:uid="{6DF616A5-F3DB-4A96-8A2C-C1C590F21B96}">
      <formula1>"每日观察,到期观察"</formula1>
    </dataValidation>
    <dataValidation type="list" showInputMessage="1" showErrorMessage="1" sqref="B25" xr:uid="{E4DC040F-D717-404A-B19F-2FAC4E4E9F41}">
      <formula1>"含头含尾,含头不含尾"</formula1>
    </dataValidation>
  </dataValidations>
  <pageMargins left="0.7" right="0.7" top="0.75" bottom="0.75" header="0.3" footer="0.3"/>
  <legacy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D767B24-668A-4F0A-8015-301A8DFD35AD}">
  <dimension ref="A1:J63"/>
  <sheetViews>
    <sheetView topLeftCell="A25" workbookViewId="0">
      <selection activeCell="J2" sqref="J2:J61"/>
    </sheetView>
  </sheetViews>
  <sheetFormatPr defaultColWidth="22.1328125" defaultRowHeight="13.5" x14ac:dyDescent="0.3"/>
  <cols>
    <col min="1" max="1" width="19.1328125" style="2" customWidth="1"/>
    <col min="2" max="2" width="22.1328125" style="1"/>
    <col min="3" max="3" width="22.1328125" style="21"/>
    <col min="4" max="6" width="22.1328125" style="3"/>
    <col min="7" max="7" width="22.1328125" style="2"/>
    <col min="8" max="8" width="11.59765625" bestFit="1" customWidth="1"/>
  </cols>
  <sheetData>
    <row r="1" spans="1:10" x14ac:dyDescent="0.3">
      <c r="A1" s="6" t="s">
        <v>6</v>
      </c>
      <c r="B1" s="9" t="s">
        <v>81</v>
      </c>
      <c r="C1" s="18" t="s">
        <v>55</v>
      </c>
      <c r="D1" s="22"/>
      <c r="E1" s="22" t="b">
        <f>(B15="每日观察")</f>
        <v>1</v>
      </c>
      <c r="F1" s="22"/>
      <c r="G1" s="7" t="b">
        <f>IF(B25="含头含尾",TRUE,FALSE)</f>
        <v>1</v>
      </c>
      <c r="I1" t="s">
        <v>69</v>
      </c>
    </row>
    <row r="2" spans="1:10" x14ac:dyDescent="0.3">
      <c r="A2" s="6" t="s">
        <v>5</v>
      </c>
      <c r="B2" s="10" t="str">
        <f>_xlfn.TEXTJOIN(,TRUE,IF(B13&gt;0,"增强型",""),IF(B15="每日观察","","欧式"),IF(AND(B21=B20,B20&lt;0.9),"不追保",""),IF(B16&lt;1,"OTM",""),"早利雪球")</f>
        <v>早利雪球</v>
      </c>
      <c r="C2" s="19" t="s">
        <v>1</v>
      </c>
      <c r="D2" s="23" t="s">
        <v>12</v>
      </c>
      <c r="E2" s="23" t="s">
        <v>54</v>
      </c>
      <c r="F2" s="23" t="s">
        <v>33</v>
      </c>
      <c r="G2" s="25"/>
      <c r="H2" s="29">
        <v>45964</v>
      </c>
      <c r="I2">
        <v>7333.6013000000003</v>
      </c>
      <c r="J2" cm="1">
        <f t="array" ref="J2">_xll.ValuateSnowball($C$1,$B$3,$B$7,_xlfn.ANCHORARRAY($C$3),_xlfn.ANCHORARRAY($D$3),_xlfn.ANCHORARRAY($F$3),$B$13,$B$19,$B$14,$B$16,$B$17,$B$20,$B$21,$B$23+$B$31,$B$22,$B$24,$G$1,$E$1,H2+0.625,I2,$B$34,$B$35,$B$36,FALSE,"NPV")*$B$6/$B$3</f>
        <v>118337.41962342734</v>
      </c>
    </row>
    <row r="3" spans="1:10" x14ac:dyDescent="0.3">
      <c r="A3" s="6" t="s">
        <v>70</v>
      </c>
      <c r="B3" s="10">
        <v>7248.9</v>
      </c>
      <c r="C3" s="26" cm="1">
        <f t="array" ref="C3:C24">_xll.ScheduleDates(C1,B7,B8,"1M",B9,"MODIFIED_FOLLOWING")</f>
        <v>46056</v>
      </c>
      <c r="D3" s="27" cm="1">
        <f t="array" ref="D3:D24">_xll.GenerateBarriers(_xlfn.ANCHORARRAY(C3),B11,B12)</f>
        <v>1</v>
      </c>
      <c r="E3" s="27" cm="1">
        <f t="array" ref="E3:E24">_xll.GenerateBonusCoupons(C1,B7,_xlfn.ANCHORARRAY(C3),B10,-1,B18)</f>
        <v>-1</v>
      </c>
      <c r="F3" s="27" cm="1">
        <f t="array" ref="F3:F24">_xll.GenerateBonusCoupons(C1,B7,_xlfn.ANCHORARRAY(C3),B10,B29,B18)</f>
        <v>0.36299999999999999</v>
      </c>
      <c r="G3" s="25"/>
      <c r="H3" s="29">
        <v>45965</v>
      </c>
      <c r="I3">
        <v>7210.8253000000004</v>
      </c>
      <c r="J3" cm="1">
        <f t="array" ref="J3">_xll.ValuateSnowball($C$1,$B$3,$B$7,_xlfn.ANCHORARRAY($C$3),_xlfn.ANCHORARRAY($D$3),_xlfn.ANCHORARRAY($F$3),$B$13,$B$19,$B$14,$B$16,$B$17,$B$20,$B$21,$B$23+$B$31,$B$22,$B$24,$G$1,$E$1,H3+0.625,I3,$B$34,$B$35,$B$36,FALSE,"NPV")*$B$6/$B$3</f>
        <v>-48964.294989672824</v>
      </c>
    </row>
    <row r="4" spans="1:10" x14ac:dyDescent="0.3">
      <c r="A4" s="6" t="s">
        <v>71</v>
      </c>
      <c r="B4" s="31">
        <v>46050</v>
      </c>
      <c r="C4" s="20">
        <v>46084</v>
      </c>
      <c r="D4" s="24">
        <v>1</v>
      </c>
      <c r="E4" s="24">
        <v>-1</v>
      </c>
      <c r="F4" s="24">
        <v>0.36299999999999999</v>
      </c>
      <c r="G4" s="25"/>
      <c r="H4" s="29">
        <v>45966</v>
      </c>
      <c r="I4">
        <v>7229.3410000000003</v>
      </c>
      <c r="J4" cm="1">
        <f t="array" ref="J4">_xll.ValuateSnowball($C$1,$B$3,$B$7,_xlfn.ANCHORARRAY($C$3),_xlfn.ANCHORARRAY($D$3),_xlfn.ANCHORARRAY($F$3),$B$13,$B$19,$B$14,$B$16,$B$17,$B$20,$B$21,$B$23+$B$31,$B$22,$B$24,$G$1,$E$1,H4+0.625,I4,$B$34,$B$35,$B$36,FALSE,"NPV")*$B$6/$B$3</f>
        <v>-13174.375182695134</v>
      </c>
    </row>
    <row r="5" spans="1:10" x14ac:dyDescent="0.3">
      <c r="A5" s="6" t="s">
        <v>0</v>
      </c>
      <c r="B5" s="11" t="s">
        <v>4</v>
      </c>
      <c r="C5" s="20">
        <v>46115</v>
      </c>
      <c r="D5" s="24">
        <v>1</v>
      </c>
      <c r="E5" s="24">
        <v>-1</v>
      </c>
      <c r="F5" s="24">
        <v>0.36299999999999999</v>
      </c>
      <c r="G5" s="25"/>
      <c r="H5" s="29">
        <v>45967</v>
      </c>
      <c r="I5">
        <v>7345.723</v>
      </c>
      <c r="J5" cm="1">
        <f t="array" ref="J5">_xll.ValuateSnowball($C$1,$B$3,$B$7,_xlfn.ANCHORARRAY($C$3),_xlfn.ANCHORARRAY($D$3),_xlfn.ANCHORARRAY($F$3),$B$13,$B$19,$B$14,$B$16,$B$17,$B$20,$B$21,$B$23+$B$31,$B$22,$B$24,$G$1,$E$1,H5+0.625,I5,$B$34,$B$35,$B$36,FALSE,"NPV")*$B$6/$B$3</f>
        <v>158323.6047336701</v>
      </c>
    </row>
    <row r="6" spans="1:10" x14ac:dyDescent="0.3">
      <c r="A6" s="6" t="s">
        <v>7</v>
      </c>
      <c r="B6" s="12">
        <v>10000000</v>
      </c>
      <c r="C6" s="20">
        <v>46148</v>
      </c>
      <c r="D6" s="24">
        <v>1</v>
      </c>
      <c r="E6" s="24">
        <v>-1</v>
      </c>
      <c r="F6" s="24">
        <v>0.36299999999999999</v>
      </c>
      <c r="G6" s="25"/>
      <c r="H6" s="29">
        <v>45968</v>
      </c>
      <c r="I6">
        <v>7327.9107999999997</v>
      </c>
      <c r="J6" cm="1">
        <f t="array" ref="J6">_xll.ValuateSnowball($C$1,$B$3,$B$7,_xlfn.ANCHORARRAY($C$3),_xlfn.ANCHORARRAY($D$3),_xlfn.ANCHORARRAY($F$3),$B$13,$B$19,$B$14,$B$16,$B$17,$B$20,$B$21,$B$23+$B$31,$B$22,$B$24,$G$1,$E$1,H6+0.625,I6,$B$34,$B$35,$B$36,FALSE,"NPV")*$B$6/$B$3</f>
        <v>142723.1377550769</v>
      </c>
    </row>
    <row r="7" spans="1:10" x14ac:dyDescent="0.3">
      <c r="A7" s="6" t="s">
        <v>8</v>
      </c>
      <c r="B7" s="13">
        <v>45964.625</v>
      </c>
      <c r="C7" s="20">
        <v>46176</v>
      </c>
      <c r="D7" s="24">
        <v>1</v>
      </c>
      <c r="E7" s="24">
        <v>-1</v>
      </c>
      <c r="F7" s="24">
        <v>0.36299999999999999</v>
      </c>
      <c r="G7" s="25"/>
      <c r="H7" s="29">
        <v>45971</v>
      </c>
      <c r="I7">
        <v>7343.8017</v>
      </c>
      <c r="J7" cm="1">
        <f t="array" ref="J7">_xll.ValuateSnowball($C$1,$B$3,$B$7,_xlfn.ANCHORARRAY($C$3),_xlfn.ANCHORARRAY($D$3),_xlfn.ANCHORARRAY($F$3),$B$13,$B$19,$B$14,$B$16,$B$17,$B$20,$B$21,$B$23+$B$31,$B$22,$B$24,$G$1,$E$1,H7+0.625,I7,$B$34,$B$35,$B$36,FALSE,"NPV")*$B$6/$B$3</f>
        <v>171970.40637318359</v>
      </c>
    </row>
    <row r="8" spans="1:10" x14ac:dyDescent="0.3">
      <c r="A8" s="6" t="s">
        <v>9</v>
      </c>
      <c r="B8" s="10" t="s">
        <v>10</v>
      </c>
      <c r="C8" s="20">
        <v>46206</v>
      </c>
      <c r="D8" s="24">
        <v>1</v>
      </c>
      <c r="E8" s="24">
        <v>-1</v>
      </c>
      <c r="F8" s="24">
        <v>0.36299999999999999</v>
      </c>
      <c r="G8" s="25"/>
      <c r="H8" s="29">
        <v>45972</v>
      </c>
      <c r="I8">
        <v>7291.6084000000001</v>
      </c>
      <c r="J8" cm="1">
        <f t="array" ref="J8">_xll.ValuateSnowball($C$1,$B$3,$B$7,_xlfn.ANCHORARRAY($C$3),_xlfn.ANCHORARRAY($D$3),_xlfn.ANCHORARRAY($F$3),$B$13,$B$19,$B$14,$B$16,$B$17,$B$20,$B$21,$B$23+$B$31,$B$22,$B$24,$G$1,$E$1,H8+0.625,I8,$B$34,$B$35,$B$36,FALSE,"NPV")*$B$6/$B$3</f>
        <v>109235.4921899499</v>
      </c>
    </row>
    <row r="9" spans="1:10" x14ac:dyDescent="0.3">
      <c r="A9" s="6" t="s">
        <v>11</v>
      </c>
      <c r="B9" s="10">
        <v>3</v>
      </c>
      <c r="C9" s="20">
        <v>46237</v>
      </c>
      <c r="D9" s="24">
        <v>1</v>
      </c>
      <c r="E9" s="24">
        <v>-1</v>
      </c>
      <c r="F9" s="24">
        <v>0.36299999999999999</v>
      </c>
      <c r="G9" s="25"/>
      <c r="H9" s="29">
        <v>45973</v>
      </c>
      <c r="I9">
        <v>7243.2483000000002</v>
      </c>
      <c r="J9" cm="1">
        <f t="array" ref="J9">_xll.ValuateSnowball($C$1,$B$3,$B$7,_xlfn.ANCHORARRAY($C$3),_xlfn.ANCHORARRAY($D$3),_xlfn.ANCHORARRAY($F$3),$B$13,$B$19,$B$14,$B$16,$B$17,$B$20,$B$21,$B$23+$B$31,$B$22,$B$24,$G$1,$E$1,H9+0.625,I9,$B$34,$B$35,$B$36,FALSE,"NPV")*$B$6/$B$3</f>
        <v>47895.345956212906</v>
      </c>
    </row>
    <row r="10" spans="1:10" x14ac:dyDescent="0.3">
      <c r="A10" s="6" t="s">
        <v>56</v>
      </c>
      <c r="B10" s="10" t="s">
        <v>57</v>
      </c>
      <c r="C10" s="20">
        <v>46268</v>
      </c>
      <c r="D10" s="24">
        <v>1</v>
      </c>
      <c r="E10" s="24">
        <v>-1</v>
      </c>
      <c r="F10" s="24">
        <v>0.36299999999999999</v>
      </c>
      <c r="G10" s="25"/>
      <c r="H10" s="29">
        <v>45974</v>
      </c>
      <c r="I10">
        <v>7355.2911000000004</v>
      </c>
      <c r="J10" cm="1">
        <f t="array" ref="J10">_xll.ValuateSnowball($C$1,$B$3,$B$7,_xlfn.ANCHORARRAY($C$3),_xlfn.ANCHORARRAY($D$3),_xlfn.ANCHORARRAY($F$3),$B$13,$B$19,$B$14,$B$16,$B$17,$B$20,$B$21,$B$23+$B$31,$B$22,$B$24,$G$1,$E$1,H10+0.625,I10,$B$34,$B$35,$B$36,FALSE,"NPV")*$B$6/$B$3</f>
        <v>211598.49988084784</v>
      </c>
    </row>
    <row r="11" spans="1:10" x14ac:dyDescent="0.3">
      <c r="A11" s="6" t="s">
        <v>12</v>
      </c>
      <c r="B11" s="14">
        <v>1</v>
      </c>
      <c r="C11" s="20">
        <v>46303</v>
      </c>
      <c r="D11" s="24">
        <v>1</v>
      </c>
      <c r="E11" s="24">
        <v>-1</v>
      </c>
      <c r="F11" s="24">
        <v>0.36299999999999999</v>
      </c>
      <c r="G11" s="25"/>
      <c r="H11" s="29">
        <v>45975</v>
      </c>
      <c r="I11">
        <v>7235.4616999999998</v>
      </c>
      <c r="J11" cm="1">
        <f t="array" ref="J11">_xll.ValuateSnowball($C$1,$B$3,$B$7,_xlfn.ANCHORARRAY($C$3),_xlfn.ANCHORARRAY($D$3),_xlfn.ANCHORARRAY($F$3),$B$13,$B$19,$B$14,$B$16,$B$17,$B$20,$B$21,$B$23+$B$31,$B$22,$B$24,$G$1,$E$1,H11+0.625,I11,$B$34,$B$35,$B$36,FALSE,"NPV")*$B$6/$B$3</f>
        <v>52857.326433691764</v>
      </c>
    </row>
    <row r="12" spans="1:10" x14ac:dyDescent="0.3">
      <c r="A12" s="6" t="s">
        <v>13</v>
      </c>
      <c r="B12" s="14">
        <v>0</v>
      </c>
      <c r="C12" s="20">
        <v>46329</v>
      </c>
      <c r="D12" s="24">
        <v>1</v>
      </c>
      <c r="E12" s="24">
        <v>-1</v>
      </c>
      <c r="F12" s="24">
        <v>0.36299999999999999</v>
      </c>
      <c r="G12" s="25"/>
      <c r="H12" s="29">
        <v>45978</v>
      </c>
      <c r="I12">
        <v>7235.3512000000001</v>
      </c>
      <c r="J12" cm="1">
        <f t="array" ref="J12">_xll.ValuateSnowball($C$1,$B$3,$B$7,_xlfn.ANCHORARRAY($C$3),_xlfn.ANCHORARRAY($D$3),_xlfn.ANCHORARRAY($F$3),$B$13,$B$19,$B$14,$B$16,$B$17,$B$20,$B$21,$B$23+$B$31,$B$22,$B$24,$G$1,$E$1,H12+0.625,I12,$B$34,$B$35,$B$36,FALSE,"NPV")*$B$6/$B$3</f>
        <v>61012.848190316705</v>
      </c>
    </row>
    <row r="13" spans="1:10" x14ac:dyDescent="0.3">
      <c r="A13" s="6" t="s">
        <v>14</v>
      </c>
      <c r="B13" s="14">
        <v>0</v>
      </c>
      <c r="C13" s="20">
        <v>46359</v>
      </c>
      <c r="D13" s="24">
        <v>1</v>
      </c>
      <c r="E13" s="24">
        <v>0.05</v>
      </c>
      <c r="F13" s="24">
        <v>0.05</v>
      </c>
      <c r="G13" s="25"/>
      <c r="H13" s="29">
        <v>45979</v>
      </c>
      <c r="I13">
        <v>7151.0176000000001</v>
      </c>
      <c r="J13" cm="1">
        <f t="array" ref="J13">_xll.ValuateSnowball($C$1,$B$3,$B$7,_xlfn.ANCHORARRAY($C$3),_xlfn.ANCHORARRAY($D$3),_xlfn.ANCHORARRAY($F$3),$B$13,$B$19,$B$14,$B$16,$B$17,$B$20,$B$21,$B$23+$B$31,$B$22,$B$24,$G$1,$E$1,H13+0.625,I13,$B$34,$B$35,$B$36,FALSE,"NPV")*$B$6/$B$3</f>
        <v>-62343.275091445306</v>
      </c>
    </row>
    <row r="14" spans="1:10" x14ac:dyDescent="0.3">
      <c r="A14" s="6" t="s">
        <v>2</v>
      </c>
      <c r="B14" s="14">
        <v>0.75</v>
      </c>
      <c r="C14" s="20">
        <v>46391</v>
      </c>
      <c r="D14" s="24">
        <v>1</v>
      </c>
      <c r="E14" s="24">
        <v>0.05</v>
      </c>
      <c r="F14" s="24">
        <v>0.05</v>
      </c>
      <c r="G14" s="25"/>
      <c r="H14" s="29">
        <v>45980</v>
      </c>
      <c r="I14">
        <v>7122.7465000000002</v>
      </c>
      <c r="J14" cm="1">
        <f t="array" ref="J14">_xll.ValuateSnowball($C$1,$B$3,$B$7,_xlfn.ANCHORARRAY($C$3),_xlfn.ANCHORARRAY($D$3),_xlfn.ANCHORARRAY($F$3),$B$13,$B$19,$B$14,$B$16,$B$17,$B$20,$B$21,$B$23+$B$31,$B$22,$B$24,$G$1,$E$1,H14+0.625,I14,$B$34,$B$35,$B$36,FALSE,"NPV")*$B$6/$B$3</f>
        <v>-100809.10417598904</v>
      </c>
    </row>
    <row r="15" spans="1:10" x14ac:dyDescent="0.3">
      <c r="A15" s="6" t="s">
        <v>15</v>
      </c>
      <c r="B15" s="11" t="s">
        <v>16</v>
      </c>
      <c r="C15" s="20">
        <v>46421</v>
      </c>
      <c r="D15" s="24">
        <v>1</v>
      </c>
      <c r="E15" s="24">
        <v>0.05</v>
      </c>
      <c r="F15" s="24">
        <v>0.05</v>
      </c>
      <c r="G15" s="25"/>
      <c r="H15" s="29">
        <v>45981</v>
      </c>
      <c r="I15">
        <v>7061.9497000000001</v>
      </c>
      <c r="J15" cm="1">
        <f t="array" ref="J15">_xll.ValuateSnowball($C$1,$B$3,$B$7,_xlfn.ANCHORARRAY($C$3),_xlfn.ANCHORARRAY($D$3),_xlfn.ANCHORARRAY($F$3),$B$13,$B$19,$B$14,$B$16,$B$17,$B$20,$B$21,$B$23+$B$31,$B$22,$B$24,$G$1,$E$1,H15+0.625,I15,$B$34,$B$35,$B$36,FALSE,"NPV")*$B$6/$B$3</f>
        <v>-197416.84396136657</v>
      </c>
    </row>
    <row r="16" spans="1:10" x14ac:dyDescent="0.3">
      <c r="A16" s="6" t="s">
        <v>17</v>
      </c>
      <c r="B16" s="14">
        <v>1</v>
      </c>
      <c r="C16" s="20">
        <v>46449</v>
      </c>
      <c r="D16" s="24">
        <v>1</v>
      </c>
      <c r="E16" s="24">
        <v>0.05</v>
      </c>
      <c r="F16" s="24">
        <v>0.05</v>
      </c>
      <c r="G16" s="25"/>
      <c r="H16" s="29">
        <v>45982</v>
      </c>
      <c r="I16">
        <v>6817.4102999999996</v>
      </c>
      <c r="J16" cm="1">
        <f t="array" ref="J16">_xll.ValuateSnowball($C$1,$B$3,$B$7,_xlfn.ANCHORARRAY($C$3),_xlfn.ANCHORARRAY($D$3),_xlfn.ANCHORARRAY($F$3),$B$13,$B$19,$B$14,$B$16,$B$17,$B$20,$B$21,$B$23+$B$31,$B$22,$B$24,$G$1,$E$1,H16+0.625,I16,$B$34,$B$35,$B$36,FALSE,"NPV")*$B$6/$B$3</f>
        <v>-661540.95825906075</v>
      </c>
    </row>
    <row r="17" spans="1:10" x14ac:dyDescent="0.3">
      <c r="A17" s="6" t="s">
        <v>18</v>
      </c>
      <c r="B17" s="14">
        <v>1</v>
      </c>
      <c r="C17" s="20">
        <v>46483</v>
      </c>
      <c r="D17" s="24">
        <v>1</v>
      </c>
      <c r="E17" s="24">
        <v>0.05</v>
      </c>
      <c r="F17" s="24">
        <v>0.05</v>
      </c>
      <c r="G17" s="25"/>
      <c r="H17" s="29">
        <v>45985</v>
      </c>
      <c r="I17">
        <v>6868.9664000000002</v>
      </c>
      <c r="J17" cm="1">
        <f t="array" ref="J17">_xll.ValuateSnowball($C$1,$B$3,$B$7,_xlfn.ANCHORARRAY($C$3),_xlfn.ANCHORARRAY($D$3),_xlfn.ANCHORARRAY($F$3),$B$13,$B$19,$B$14,$B$16,$B$17,$B$20,$B$21,$B$23+$B$31,$B$22,$B$24,$G$1,$E$1,H17+0.625,I17,$B$34,$B$35,$B$36,FALSE,"NPV")*$B$6/$B$3</f>
        <v>-549308.95215881302</v>
      </c>
    </row>
    <row r="18" spans="1:10" x14ac:dyDescent="0.3">
      <c r="A18" s="6" t="s">
        <v>58</v>
      </c>
      <c r="B18" s="14">
        <v>0.05</v>
      </c>
      <c r="C18" s="20">
        <v>46513</v>
      </c>
      <c r="D18" s="24">
        <v>1</v>
      </c>
      <c r="E18" s="24">
        <v>0.05</v>
      </c>
      <c r="F18" s="24">
        <v>0.05</v>
      </c>
      <c r="G18" s="25"/>
      <c r="H18" s="29">
        <v>45986</v>
      </c>
      <c r="I18">
        <v>6954.6034</v>
      </c>
      <c r="J18" cm="1">
        <f t="array" ref="J18">_xll.ValuateSnowball($C$1,$B$3,$B$7,_xlfn.ANCHORARRAY($C$3),_xlfn.ANCHORARRAY($D$3),_xlfn.ANCHORARRAY($F$3),$B$13,$B$19,$B$14,$B$16,$B$17,$B$20,$B$21,$B$23+$B$31,$B$22,$B$24,$G$1,$E$1,H18+0.625,I18,$B$34,$B$35,$B$36,FALSE,"NPV")*$B$6/$B$3</f>
        <v>-372611.05390615691</v>
      </c>
    </row>
    <row r="19" spans="1:10" x14ac:dyDescent="0.3">
      <c r="A19" s="6" t="s">
        <v>19</v>
      </c>
      <c r="B19" s="14">
        <v>0.05</v>
      </c>
      <c r="C19" s="20">
        <v>46541</v>
      </c>
      <c r="D19" s="24">
        <v>1</v>
      </c>
      <c r="E19" s="24">
        <v>0.05</v>
      </c>
      <c r="F19" s="24">
        <v>0.05</v>
      </c>
      <c r="G19" s="25"/>
      <c r="H19" s="29">
        <v>45987</v>
      </c>
      <c r="I19">
        <v>6965.0452999999998</v>
      </c>
      <c r="J19" cm="1">
        <f t="array" ref="J19">_xll.ValuateSnowball($C$1,$B$3,$B$7,_xlfn.ANCHORARRAY($C$3),_xlfn.ANCHORARRAY($D$3),_xlfn.ANCHORARRAY($F$3),$B$13,$B$19,$B$14,$B$16,$B$17,$B$20,$B$21,$B$23+$B$31,$B$22,$B$24,$G$1,$E$1,H19+0.625,I19,$B$34,$B$35,$B$36,FALSE,"NPV")*$B$6/$B$3</f>
        <v>-344805.25008312729</v>
      </c>
    </row>
    <row r="20" spans="1:10" x14ac:dyDescent="0.3">
      <c r="A20" s="6" t="s">
        <v>20</v>
      </c>
      <c r="B20" s="14">
        <v>1</v>
      </c>
      <c r="C20" s="20">
        <v>46573</v>
      </c>
      <c r="D20" s="24">
        <v>1</v>
      </c>
      <c r="E20" s="24">
        <v>0.05</v>
      </c>
      <c r="F20" s="24">
        <v>0.05</v>
      </c>
      <c r="G20" s="25"/>
      <c r="H20" s="29">
        <v>45988</v>
      </c>
      <c r="I20">
        <v>6951.2843999999996</v>
      </c>
      <c r="J20" cm="1">
        <f t="array" ref="J20">_xll.ValuateSnowball($C$1,$B$3,$B$7,_xlfn.ANCHORARRAY($C$3),_xlfn.ANCHORARRAY($D$3),_xlfn.ANCHORARRAY($F$3),$B$13,$B$19,$B$14,$B$16,$B$17,$B$20,$B$21,$B$23+$B$31,$B$22,$B$24,$G$1,$E$1,H20+0.625,I20,$B$34,$B$35,$B$36,FALSE,"NPV")*$B$6/$B$3</f>
        <v>-363726.48125355266</v>
      </c>
    </row>
    <row r="21" spans="1:10" x14ac:dyDescent="0.3">
      <c r="A21" s="6" t="s">
        <v>21</v>
      </c>
      <c r="B21" s="14">
        <v>1</v>
      </c>
      <c r="C21" s="20">
        <v>46602</v>
      </c>
      <c r="D21" s="24">
        <v>1</v>
      </c>
      <c r="E21" s="24">
        <v>0.05</v>
      </c>
      <c r="F21" s="24">
        <v>0.05</v>
      </c>
      <c r="G21" s="25"/>
      <c r="H21" s="29">
        <v>45989</v>
      </c>
      <c r="I21">
        <v>7031.5505000000003</v>
      </c>
      <c r="J21" cm="1">
        <f t="array" ref="J21">_xll.ValuateSnowball($C$1,$B$3,$B$7,_xlfn.ANCHORARRAY($C$3),_xlfn.ANCHORARRAY($D$3),_xlfn.ANCHORARRAY($F$3),$B$13,$B$19,$B$14,$B$16,$B$17,$B$20,$B$21,$B$23+$B$31,$B$22,$B$24,$G$1,$E$1,H21+0.625,I21,$B$34,$B$35,$B$36,FALSE,"NPV")*$B$6/$B$3</f>
        <v>-203610.4712956486</v>
      </c>
    </row>
    <row r="22" spans="1:10" x14ac:dyDescent="0.3">
      <c r="A22" s="6" t="s">
        <v>22</v>
      </c>
      <c r="B22" s="14">
        <v>0</v>
      </c>
      <c r="C22" s="20">
        <v>46633</v>
      </c>
      <c r="D22" s="24">
        <v>1</v>
      </c>
      <c r="E22" s="24">
        <v>0.05</v>
      </c>
      <c r="F22" s="24">
        <v>0.05</v>
      </c>
      <c r="G22" s="25"/>
      <c r="H22" s="29">
        <v>45992</v>
      </c>
      <c r="I22">
        <v>7101.8323</v>
      </c>
      <c r="J22" cm="1">
        <f t="array" ref="J22">_xll.ValuateSnowball($C$1,$B$3,$B$7,_xlfn.ANCHORARRAY($C$3),_xlfn.ANCHORARRAY($D$3),_xlfn.ANCHORARRAY($F$3),$B$13,$B$19,$B$14,$B$16,$B$17,$B$20,$B$21,$B$23+$B$31,$B$22,$B$24,$G$1,$E$1,H22+0.625,I22,$B$34,$B$35,$B$36,FALSE,"NPV")*$B$6/$B$3</f>
        <v>-69307.506103003063</v>
      </c>
    </row>
    <row r="23" spans="1:10" x14ac:dyDescent="0.3">
      <c r="A23" s="6" t="s">
        <v>23</v>
      </c>
      <c r="B23" s="14">
        <v>0</v>
      </c>
      <c r="C23" s="20">
        <v>46668</v>
      </c>
      <c r="D23" s="24">
        <v>1</v>
      </c>
      <c r="E23" s="24">
        <v>0.05</v>
      </c>
      <c r="F23" s="24">
        <v>0.05</v>
      </c>
      <c r="G23" s="25"/>
      <c r="H23" s="29">
        <v>45993</v>
      </c>
      <c r="I23">
        <v>7040.3008</v>
      </c>
      <c r="J23" cm="1">
        <f t="array" ref="J23">_xll.ValuateSnowball($C$1,$B$3,$B$7,_xlfn.ANCHORARRAY($C$3),_xlfn.ANCHORARRAY($D$3),_xlfn.ANCHORARRAY($F$3),$B$13,$B$19,$B$14,$B$16,$B$17,$B$20,$B$21,$B$23+$B$31,$B$22,$B$24,$G$1,$E$1,H23+0.625,I23,$B$34,$B$35,$B$36,FALSE,"NPV")*$B$6/$B$3</f>
        <v>-170956.91822305255</v>
      </c>
    </row>
    <row r="24" spans="1:10" x14ac:dyDescent="0.3">
      <c r="A24" s="6" t="s">
        <v>24</v>
      </c>
      <c r="B24" s="10">
        <v>0</v>
      </c>
      <c r="C24" s="20">
        <v>46694</v>
      </c>
      <c r="D24" s="24">
        <v>1</v>
      </c>
      <c r="E24" s="24">
        <v>0.05</v>
      </c>
      <c r="F24" s="24">
        <v>0.05</v>
      </c>
      <c r="G24" s="25"/>
      <c r="H24" s="29">
        <v>45994</v>
      </c>
      <c r="I24">
        <v>6996.3552</v>
      </c>
      <c r="J24" cm="1">
        <f t="array" ref="J24">_xll.ValuateSnowball($C$1,$B$3,$B$7,_xlfn.ANCHORARRAY($C$3),_xlfn.ANCHORARRAY($D$3),_xlfn.ANCHORARRAY($F$3),$B$13,$B$19,$B$14,$B$16,$B$17,$B$20,$B$21,$B$23+$B$31,$B$22,$B$24,$G$1,$E$1,H24+0.625,I24,$B$34,$B$35,$B$36,FALSE,"NPV")*$B$6/$B$3</f>
        <v>-245151.62386088894</v>
      </c>
    </row>
    <row r="25" spans="1:10" x14ac:dyDescent="0.3">
      <c r="A25" s="6" t="s">
        <v>25</v>
      </c>
      <c r="B25" s="11" t="s">
        <v>26</v>
      </c>
      <c r="C25" s="20"/>
      <c r="D25" s="24"/>
      <c r="E25" s="24"/>
      <c r="F25" s="24"/>
      <c r="G25" s="25"/>
      <c r="H25" s="29">
        <v>45995</v>
      </c>
      <c r="I25">
        <v>7012.8060999999998</v>
      </c>
      <c r="J25" cm="1">
        <f t="array" ref="J25">_xll.ValuateSnowball($C$1,$B$3,$B$7,_xlfn.ANCHORARRAY($C$3),_xlfn.ANCHORARRAY($D$3),_xlfn.ANCHORARRAY($F$3),$B$13,$B$19,$B$14,$B$16,$B$17,$B$20,$B$21,$B$23+$B$31,$B$22,$B$24,$G$1,$E$1,H25+0.625,I25,$B$34,$B$35,$B$36,FALSE,"NPV")*$B$6/$B$3</f>
        <v>-205648.78203870475</v>
      </c>
    </row>
    <row r="26" spans="1:10" x14ac:dyDescent="0.3">
      <c r="A26" s="6" t="s">
        <v>27</v>
      </c>
      <c r="B26" s="14">
        <v>0</v>
      </c>
      <c r="C26" s="20"/>
      <c r="D26" s="24"/>
      <c r="E26" s="24"/>
      <c r="F26" s="24"/>
      <c r="G26" s="25"/>
      <c r="H26" s="29">
        <v>45996</v>
      </c>
      <c r="I26">
        <v>7097.8388999999997</v>
      </c>
      <c r="J26" cm="1">
        <f t="array" ref="J26">_xll.ValuateSnowball($C$1,$B$3,$B$7,_xlfn.ANCHORARRAY($C$3),_xlfn.ANCHORARRAY($D$3),_xlfn.ANCHORARRAY($F$3),$B$13,$B$19,$B$14,$B$16,$B$17,$B$20,$B$21,$B$23+$B$31,$B$22,$B$24,$G$1,$E$1,H26+0.625,I26,$B$34,$B$35,$B$36,FALSE,"NPV")*$B$6/$B$3</f>
        <v>-41426.475914953247</v>
      </c>
    </row>
    <row r="27" spans="1:10" x14ac:dyDescent="0.3">
      <c r="A27" s="6" t="s">
        <v>28</v>
      </c>
      <c r="B27" s="14" t="s">
        <v>29</v>
      </c>
      <c r="C27" s="20"/>
      <c r="D27" s="24"/>
      <c r="E27" s="24"/>
      <c r="F27" s="24"/>
      <c r="G27" s="25"/>
      <c r="H27" s="29">
        <v>45999</v>
      </c>
      <c r="I27">
        <v>7172.3671000000004</v>
      </c>
      <c r="J27" cm="1">
        <f t="array" ref="J27">_xll.ValuateSnowball($C$1,$B$3,$B$7,_xlfn.ANCHORARRAY($C$3),_xlfn.ANCHORARRAY($D$3),_xlfn.ANCHORARRAY($F$3),$B$13,$B$19,$B$14,$B$16,$B$17,$B$20,$B$21,$B$23+$B$31,$B$22,$B$24,$G$1,$E$1,H27+0.625,I27,$B$34,$B$35,$B$36,FALSE,"NPV")*$B$6/$B$3</f>
        <v>94311.90286798829</v>
      </c>
    </row>
    <row r="28" spans="1:10" x14ac:dyDescent="0.3">
      <c r="A28" s="7"/>
      <c r="B28" s="14"/>
      <c r="C28" s="20"/>
      <c r="D28" s="24"/>
      <c r="E28" s="24"/>
      <c r="F28" s="24"/>
      <c r="G28" s="25"/>
      <c r="H28" s="29">
        <v>46000</v>
      </c>
      <c r="I28">
        <v>7121.3256000000001</v>
      </c>
      <c r="J28" cm="1">
        <f t="array" ref="J28">_xll.ValuateSnowball($C$1,$B$3,$B$7,_xlfn.ANCHORARRAY($C$3),_xlfn.ANCHORARRAY($D$3),_xlfn.ANCHORARRAY($F$3),$B$13,$B$19,$B$14,$B$16,$B$17,$B$20,$B$21,$B$23+$B$31,$B$22,$B$24,$G$1,$E$1,H28+0.625,I28,$B$34,$B$35,$B$36,FALSE,"NPV")*$B$6/$B$3</f>
        <v>17549.668662319491</v>
      </c>
    </row>
    <row r="29" spans="1:10" x14ac:dyDescent="0.3">
      <c r="A29" s="6" t="s">
        <v>59</v>
      </c>
      <c r="B29" s="34">
        <v>0.36299999999999999</v>
      </c>
      <c r="C29" s="20"/>
      <c r="D29" s="24"/>
      <c r="E29" s="24"/>
      <c r="F29" s="24"/>
      <c r="G29" s="25"/>
      <c r="H29" s="29">
        <v>46001</v>
      </c>
      <c r="I29">
        <v>7155.9943999999996</v>
      </c>
      <c r="J29" cm="1">
        <f t="array" ref="J29">_xll.ValuateSnowball($C$1,$B$3,$B$7,_xlfn.ANCHORARRAY($C$3),_xlfn.ANCHORARRAY($D$3),_xlfn.ANCHORARRAY($F$3),$B$13,$B$19,$B$14,$B$16,$B$17,$B$20,$B$21,$B$23+$B$31,$B$22,$B$24,$G$1,$E$1,H29+0.625,I29,$B$34,$B$35,$B$36,FALSE,"NPV")*$B$6/$B$3</f>
        <v>85777.924069955814</v>
      </c>
    </row>
    <row r="30" spans="1:10" x14ac:dyDescent="0.3">
      <c r="A30" s="7"/>
      <c r="B30" s="14"/>
      <c r="C30" s="20"/>
      <c r="D30" s="24"/>
      <c r="E30" s="24"/>
      <c r="F30" s="24"/>
      <c r="G30" s="25"/>
      <c r="H30" s="29">
        <v>46002</v>
      </c>
      <c r="I30">
        <v>7082.8932000000004</v>
      </c>
      <c r="J30" cm="1">
        <f t="array" ref="J30">_xll.ValuateSnowball($C$1,$B$3,$B$7,_xlfn.ANCHORARRAY($C$3),_xlfn.ANCHORARRAY($D$3),_xlfn.ANCHORARRAY($F$3),$B$13,$B$19,$B$14,$B$16,$B$17,$B$20,$B$21,$B$23+$B$31,$B$22,$B$24,$G$1,$E$1,H30+0.625,I30,$B$34,$B$35,$B$36,FALSE,"NPV")*$B$6/$B$3</f>
        <v>-32423.314713847732</v>
      </c>
    </row>
    <row r="31" spans="1:10" x14ac:dyDescent="0.3">
      <c r="A31" s="6" t="s">
        <v>34</v>
      </c>
      <c r="B31" s="14">
        <v>0</v>
      </c>
      <c r="C31" s="20"/>
      <c r="D31" s="24"/>
      <c r="E31" s="24"/>
      <c r="F31" s="24"/>
      <c r="G31" s="25"/>
      <c r="H31" s="29">
        <v>46003</v>
      </c>
      <c r="I31">
        <v>7169.7910000000002</v>
      </c>
      <c r="J31" cm="1">
        <f t="array" ref="J31">_xll.ValuateSnowball($C$1,$B$3,$B$7,_xlfn.ANCHORARRAY($C$3),_xlfn.ANCHORARRAY($D$3),_xlfn.ANCHORARRAY($F$3),$B$13,$B$19,$B$14,$B$16,$B$17,$B$20,$B$21,$B$23+$B$31,$B$22,$B$24,$G$1,$E$1,H31+0.625,I31,$B$34,$B$35,$B$36,FALSE,"NPV")*$B$6/$B$3</f>
        <v>127631.24345837586</v>
      </c>
    </row>
    <row r="32" spans="1:10" x14ac:dyDescent="0.3">
      <c r="A32" s="6" t="s">
        <v>35</v>
      </c>
      <c r="B32" s="14" t="s">
        <v>36</v>
      </c>
      <c r="C32" s="20"/>
      <c r="D32" s="24"/>
      <c r="E32" s="24"/>
      <c r="F32" s="24"/>
      <c r="G32" s="25"/>
      <c r="H32" s="29">
        <v>46006</v>
      </c>
      <c r="I32">
        <v>7113.9620000000004</v>
      </c>
      <c r="J32" cm="1">
        <f t="array" ref="J32">_xll.ValuateSnowball($C$1,$B$3,$B$7,_xlfn.ANCHORARRAY($C$3),_xlfn.ANCHORARRAY($D$3),_xlfn.ANCHORARRAY($F$3),$B$13,$B$19,$B$14,$B$16,$B$17,$B$20,$B$21,$B$23+$B$31,$B$22,$B$24,$G$1,$E$1,H32+0.625,I32,$B$34,$B$35,$B$36,FALSE,"NPV")*$B$6/$B$3</f>
        <v>41534.698165662907</v>
      </c>
    </row>
    <row r="33" spans="1:10" x14ac:dyDescent="0.3">
      <c r="A33" s="7"/>
      <c r="B33" s="14"/>
      <c r="C33" s="20"/>
      <c r="D33" s="24"/>
      <c r="E33" s="24"/>
      <c r="F33" s="24"/>
      <c r="G33" s="25"/>
      <c r="H33" s="29">
        <v>46007</v>
      </c>
      <c r="I33">
        <v>7001.3188</v>
      </c>
      <c r="J33" cm="1">
        <f t="array" ref="J33">_xll.ValuateSnowball($C$1,$B$3,$B$7,_xlfn.ANCHORARRAY($C$3),_xlfn.ANCHORARRAY($D$3),_xlfn.ANCHORARRAY($F$3),$B$13,$B$19,$B$14,$B$16,$B$17,$B$20,$B$21,$B$23+$B$31,$B$22,$B$24,$G$1,$E$1,H33+0.625,I33,$B$34,$B$35,$B$36,FALSE,"NPV")*$B$6/$B$3</f>
        <v>-160048.38829485141</v>
      </c>
    </row>
    <row r="34" spans="1:10" x14ac:dyDescent="0.3">
      <c r="A34" s="6" t="s">
        <v>37</v>
      </c>
      <c r="B34" s="16">
        <v>2.1000000000000001E-2</v>
      </c>
      <c r="C34" s="20"/>
      <c r="D34" s="24"/>
      <c r="E34" s="24"/>
      <c r="F34" s="24"/>
      <c r="G34" s="25"/>
      <c r="H34" s="29">
        <v>46008</v>
      </c>
      <c r="I34">
        <v>7137.8338999999996</v>
      </c>
      <c r="J34" cm="1">
        <f t="array" ref="J34">_xll.ValuateSnowball($C$1,$B$3,$B$7,_xlfn.ANCHORARRAY($C$3),_xlfn.ANCHORARRAY($D$3),_xlfn.ANCHORARRAY($F$3),$B$13,$B$19,$B$14,$B$16,$B$17,$B$20,$B$21,$B$23+$B$31,$B$22,$B$24,$G$1,$E$1,H34+0.625,I34,$B$34,$B$35,$B$36,FALSE,"NPV")*$B$6/$B$3</f>
        <v>102359.58855034001</v>
      </c>
    </row>
    <row r="35" spans="1:10" x14ac:dyDescent="0.3">
      <c r="A35" s="6" t="s">
        <v>38</v>
      </c>
      <c r="B35" s="14">
        <v>-6.087E-2</v>
      </c>
      <c r="C35" s="20"/>
      <c r="D35" s="24"/>
      <c r="E35" s="24"/>
      <c r="F35" s="24"/>
      <c r="G35" s="25"/>
      <c r="H35" s="29">
        <v>46009</v>
      </c>
      <c r="I35">
        <v>7100.8359</v>
      </c>
      <c r="J35" cm="1">
        <f t="array" ref="J35">_xll.ValuateSnowball($C$1,$B$3,$B$7,_xlfn.ANCHORARRAY($C$3),_xlfn.ANCHORARRAY($D$3),_xlfn.ANCHORARRAY($F$3),$B$13,$B$19,$B$14,$B$16,$B$17,$B$20,$B$21,$B$23+$B$31,$B$22,$B$24,$G$1,$E$1,H35+0.625,I35,$B$34,$B$35,$B$36,FALSE,"NPV")*$B$6/$B$3</f>
        <v>46483.745823928119</v>
      </c>
    </row>
    <row r="36" spans="1:10" x14ac:dyDescent="0.3">
      <c r="A36" s="6" t="s">
        <v>39</v>
      </c>
      <c r="B36" s="14">
        <v>0.16500000000000001</v>
      </c>
      <c r="C36" s="20"/>
      <c r="D36" s="24"/>
      <c r="E36" s="24"/>
      <c r="F36" s="24"/>
      <c r="G36" s="25"/>
      <c r="H36" s="29">
        <v>46010</v>
      </c>
      <c r="I36">
        <v>7169.5510999999997</v>
      </c>
      <c r="J36" cm="1">
        <f t="array" ref="J36">_xll.ValuateSnowball($C$1,$B$3,$B$7,_xlfn.ANCHORARRAY($C$3),_xlfn.ANCHORARRAY($D$3),_xlfn.ANCHORARRAY($F$3),$B$13,$B$19,$B$14,$B$16,$B$17,$B$20,$B$21,$B$23+$B$31,$B$22,$B$24,$G$1,$E$1,H36+0.625,I36,$B$34,$B$35,$B$36,FALSE,"NPV")*$B$6/$B$3</f>
        <v>176115.13277607798</v>
      </c>
    </row>
    <row r="37" spans="1:10" x14ac:dyDescent="0.3">
      <c r="A37" s="7"/>
      <c r="B37" s="10"/>
      <c r="C37" s="20"/>
      <c r="D37" s="24"/>
      <c r="E37" s="24"/>
      <c r="F37" s="24"/>
      <c r="G37" s="25"/>
      <c r="H37" s="29">
        <v>46013</v>
      </c>
      <c r="I37">
        <v>7255.6607000000004</v>
      </c>
      <c r="J37" cm="1">
        <f t="array" ref="J37">_xll.ValuateSnowball($C$1,$B$3,$B$7,_xlfn.ANCHORARRAY($C$3),_xlfn.ANCHORARRAY($D$3),_xlfn.ANCHORARRAY($F$3),$B$13,$B$19,$B$14,$B$16,$B$17,$B$20,$B$21,$B$23+$B$31,$B$22,$B$24,$G$1,$E$1,H37+0.625,I37,$B$34,$B$35,$B$36,FALSE,"NPV")*$B$6/$B$3</f>
        <v>322794.91960571602</v>
      </c>
    </row>
    <row r="38" spans="1:10" x14ac:dyDescent="0.3">
      <c r="A38" s="8" t="s">
        <v>40</v>
      </c>
      <c r="B38" s="10"/>
      <c r="C38" s="20"/>
      <c r="D38" s="24"/>
      <c r="E38" s="24"/>
      <c r="F38" s="24"/>
      <c r="G38" s="25"/>
      <c r="H38" s="29">
        <v>46014</v>
      </c>
      <c r="I38">
        <v>7256.7864</v>
      </c>
      <c r="J38" cm="1">
        <f t="array" ref="J38">_xll.ValuateSnowball($C$1,$B$3,$B$7,_xlfn.ANCHORARRAY($C$3),_xlfn.ANCHORARRAY($D$3),_xlfn.ANCHORARRAY($F$3),$B$13,$B$19,$B$14,$B$16,$B$17,$B$20,$B$21,$B$23+$B$31,$B$22,$B$24,$G$1,$E$1,H38+0.625,I38,$B$34,$B$35,$B$36,FALSE,"NPV")*$B$6/$B$3</f>
        <v>334994.72351887007</v>
      </c>
    </row>
    <row r="39" spans="1:10" x14ac:dyDescent="0.3">
      <c r="A39" s="6" t="s">
        <v>41</v>
      </c>
      <c r="B39" s="17">
        <f>B47*100</f>
        <v>105.92871279055616</v>
      </c>
      <c r="C39" s="20"/>
      <c r="D39" s="24"/>
      <c r="E39" s="24"/>
      <c r="F39" s="24"/>
      <c r="G39" s="25"/>
      <c r="H39" s="29">
        <v>46015</v>
      </c>
      <c r="I39">
        <v>7352.0396000000001</v>
      </c>
      <c r="J39" cm="1">
        <f t="array" ref="J39">_xll.ValuateSnowball($C$1,$B$3,$B$7,_xlfn.ANCHORARRAY($C$3),_xlfn.ANCHORARRAY($D$3),_xlfn.ANCHORARRAY($F$3),$B$13,$B$19,$B$14,$B$16,$B$17,$B$20,$B$21,$B$23+$B$31,$B$22,$B$24,$G$1,$E$1,H39+0.625,I39,$B$34,$B$35,$B$36,FALSE,"NPV")*$B$6/$B$3</f>
        <v>476498.82074835978</v>
      </c>
    </row>
    <row r="40" spans="1:10" x14ac:dyDescent="0.3">
      <c r="A40" s="6" t="s">
        <v>42</v>
      </c>
      <c r="B40" s="17">
        <f>B48*1%*100</f>
        <v>-7.7355553753566397</v>
      </c>
      <c r="C40" s="20"/>
      <c r="D40" s="24"/>
      <c r="E40" s="24"/>
      <c r="F40" s="24"/>
      <c r="G40" s="25"/>
      <c r="H40" s="29">
        <v>46016</v>
      </c>
      <c r="I40">
        <v>7410.7119000000002</v>
      </c>
      <c r="J40" cm="1">
        <f t="array" ref="J40">_xll.ValuateSnowball($C$1,$B$3,$B$7,_xlfn.ANCHORARRAY($C$3),_xlfn.ANCHORARRAY($D$3),_xlfn.ANCHORARRAY($F$3),$B$13,$B$19,$B$14,$B$16,$B$17,$B$20,$B$21,$B$23+$B$31,$B$22,$B$24,$G$1,$E$1,H40+0.625,I40,$B$34,$B$35,$B$36,FALSE,"NPV")*$B$6/$B$3</f>
        <v>556581.62605507916</v>
      </c>
    </row>
    <row r="41" spans="1:10" x14ac:dyDescent="0.3">
      <c r="A41" s="6" t="s">
        <v>43</v>
      </c>
      <c r="B41" s="17">
        <f>B49*1%*100</f>
        <v>-0.38066892944341735</v>
      </c>
      <c r="C41" s="20"/>
      <c r="D41" s="24"/>
      <c r="E41" s="24"/>
      <c r="F41" s="24"/>
      <c r="G41" s="25"/>
      <c r="H41" s="29">
        <v>46017</v>
      </c>
      <c r="I41">
        <v>7458.8386</v>
      </c>
      <c r="J41" cm="1">
        <f t="array" ref="J41">_xll.ValuateSnowball($C$1,$B$3,$B$7,_xlfn.ANCHORARRAY($C$3),_xlfn.ANCHORARRAY($D$3),_xlfn.ANCHORARRAY($F$3),$B$13,$B$19,$B$14,$B$16,$B$17,$B$20,$B$21,$B$23+$B$31,$B$22,$B$24,$G$1,$E$1,H41+0.625,I41,$B$34,$B$35,$B$36,FALSE,"NPV")*$B$6/$B$3</f>
        <v>617493.30172278616</v>
      </c>
    </row>
    <row r="42" spans="1:10" x14ac:dyDescent="0.3">
      <c r="A42" s="6" t="s">
        <v>44</v>
      </c>
      <c r="B42" s="17">
        <f>B50*1/242*100</f>
        <v>7.9076098812558282E-2</v>
      </c>
      <c r="C42" s="20"/>
      <c r="D42" s="24"/>
      <c r="E42" s="24"/>
      <c r="F42" s="24"/>
      <c r="G42" s="25"/>
      <c r="H42" s="29">
        <v>46020</v>
      </c>
      <c r="I42">
        <v>7430.6147000000001</v>
      </c>
      <c r="J42" cm="1">
        <f t="array" ref="J42">_xll.ValuateSnowball($C$1,$B$3,$B$7,_xlfn.ANCHORARRAY($C$3),_xlfn.ANCHORARRAY($D$3),_xlfn.ANCHORARRAY($F$3),$B$13,$B$19,$B$14,$B$16,$B$17,$B$20,$B$21,$B$23+$B$31,$B$22,$B$24,$G$1,$E$1,H42+0.625,I42,$B$34,$B$35,$B$36,FALSE,"NPV")*$B$6/$B$3</f>
        <v>599365.83408856927</v>
      </c>
    </row>
    <row r="43" spans="1:10" x14ac:dyDescent="0.3">
      <c r="A43" s="6" t="s">
        <v>45</v>
      </c>
      <c r="B43" s="17">
        <f>1%*B51*100</f>
        <v>-0.79190448483243969</v>
      </c>
      <c r="C43" s="20"/>
      <c r="D43" s="24"/>
      <c r="E43" s="24"/>
      <c r="F43" s="24"/>
      <c r="G43" s="25"/>
      <c r="H43" s="29">
        <v>46021</v>
      </c>
      <c r="I43">
        <v>7458.9359999999997</v>
      </c>
      <c r="J43" cm="1">
        <f t="array" ref="J43">_xll.ValuateSnowball($C$1,$B$3,$B$7,_xlfn.ANCHORARRAY($C$3),_xlfn.ANCHORARRAY($D$3),_xlfn.ANCHORARRAY($F$3),$B$13,$B$19,$B$14,$B$16,$B$17,$B$20,$B$21,$B$23+$B$31,$B$22,$B$24,$G$1,$E$1,H43+0.625,I43,$B$34,$B$35,$B$36,FALSE,"NPV")*$B$6/$B$3</f>
        <v>638567.79843469604</v>
      </c>
    </row>
    <row r="44" spans="1:10" x14ac:dyDescent="0.3">
      <c r="A44" s="6" t="s">
        <v>46</v>
      </c>
      <c r="B44" s="17">
        <f>1%*B52*100</f>
        <v>-1.0295316796738008</v>
      </c>
      <c r="C44" s="20"/>
      <c r="D44" s="24"/>
      <c r="E44" s="24"/>
      <c r="F44" s="24"/>
      <c r="G44" s="25"/>
      <c r="H44" s="29">
        <v>46022</v>
      </c>
      <c r="I44">
        <v>7465.5742</v>
      </c>
      <c r="J44" cm="1">
        <f t="array" ref="J44">_xll.ValuateSnowball($C$1,$B$3,$B$7,_xlfn.ANCHORARRAY($C$3),_xlfn.ANCHORARRAY($D$3),_xlfn.ANCHORARRAY($F$3),$B$13,$B$19,$B$14,$B$16,$B$17,$B$20,$B$21,$B$23+$B$31,$B$22,$B$24,$G$1,$E$1,H44+0.625,I44,$B$34,$B$35,$B$36,FALSE,"NPV")*$B$6/$B$3</f>
        <v>655565.69549465633</v>
      </c>
    </row>
    <row r="45" spans="1:10" x14ac:dyDescent="0.3">
      <c r="A45" s="7"/>
      <c r="B45" s="17">
        <f>B46*B6</f>
        <v>-114.11611349987361</v>
      </c>
      <c r="C45" s="20"/>
      <c r="D45" s="24"/>
      <c r="E45" s="24"/>
      <c r="F45" s="24"/>
      <c r="G45" s="25"/>
      <c r="H45" s="29">
        <v>46027</v>
      </c>
      <c r="I45">
        <v>7651.1980999999996</v>
      </c>
      <c r="J45" cm="1">
        <f t="array" ref="J45">_xll.ValuateSnowball($C$1,$B$3,$B$7,_xlfn.ANCHORARRAY($C$3),_xlfn.ANCHORARRAY($D$3),_xlfn.ANCHORARRAY($F$3),$B$13,$B$19,$B$14,$B$16,$B$17,$B$20,$B$21,$B$23+$B$31,$B$22,$B$24,$G$1,$E$1,H45+0.625,I45,$B$34,$B$35,$B$36,FALSE,"NPV")*$B$6/$B$3</f>
        <v>797664.68305358535</v>
      </c>
    </row>
    <row r="46" spans="1:10" x14ac:dyDescent="0.3">
      <c r="A46" s="6" t="s">
        <v>47</v>
      </c>
      <c r="B46" s="28" cm="1">
        <f t="array" ref="B46:B52">_xll.ValuateSnowball(C1,1,B7,_xlfn.ANCHORARRAY(C3),_xlfn.ANCHORARRAY(D3),_xlfn.ANCHORARRAY(F3),B13,B19,B14,B16,B17,B20,B21,B23+B31,B22,B24,G1,E1,B7,1,B34,B35,B36,FALSE,"ALL")</f>
        <v>-1.1411611349987361E-5</v>
      </c>
      <c r="C46" s="20"/>
      <c r="D46" s="24"/>
      <c r="E46" s="24"/>
      <c r="F46" s="24"/>
      <c r="G46" s="25"/>
      <c r="H46" s="29">
        <v>46028</v>
      </c>
      <c r="I46">
        <v>7814.1355999999996</v>
      </c>
      <c r="J46" cm="1">
        <f t="array" ref="J46">_xll.ValuateSnowball($C$1,$B$3,$B$7,_xlfn.ANCHORARRAY($C$3),_xlfn.ANCHORARRAY($D$3),_xlfn.ANCHORARRAY($F$3),$B$13,$B$19,$B$14,$B$16,$B$17,$B$20,$B$21,$B$23+$B$31,$B$22,$B$24,$G$1,$E$1,H46+0.625,I46,$B$34,$B$35,$B$36,FALSE,"NPV")*$B$6/$B$3</f>
        <v>863607.36855371017</v>
      </c>
    </row>
    <row r="47" spans="1:10" x14ac:dyDescent="0.3">
      <c r="A47" s="6" t="s">
        <v>48</v>
      </c>
      <c r="B47" s="17">
        <v>1.0592871279055616</v>
      </c>
      <c r="C47" s="20"/>
      <c r="D47" s="24"/>
      <c r="E47" s="24"/>
      <c r="F47" s="24"/>
      <c r="G47" s="25"/>
      <c r="H47" s="29">
        <v>46029</v>
      </c>
      <c r="I47">
        <v>7875.0821999999998</v>
      </c>
      <c r="J47" cm="1">
        <f t="array" ref="J47">_xll.ValuateSnowball($C$1,$B$3,$B$7,_xlfn.ANCHORARRAY($C$3),_xlfn.ANCHORARRAY($D$3),_xlfn.ANCHORARRAY($F$3),$B$13,$B$19,$B$14,$B$16,$B$17,$B$20,$B$21,$B$23+$B$31,$B$22,$B$24,$G$1,$E$1,H47+0.625,I47,$B$34,$B$35,$B$36,FALSE,"NPV")*$B$6/$B$3</f>
        <v>880677.7848744496</v>
      </c>
    </row>
    <row r="48" spans="1:10" x14ac:dyDescent="0.3">
      <c r="A48" s="6" t="s">
        <v>49</v>
      </c>
      <c r="B48" s="17">
        <v>-7.7355553753566397</v>
      </c>
      <c r="C48" s="20"/>
      <c r="D48" s="24"/>
      <c r="E48" s="24"/>
      <c r="F48" s="24"/>
      <c r="G48" s="25"/>
      <c r="H48" s="29">
        <v>46030</v>
      </c>
      <c r="I48">
        <v>7894.5447000000004</v>
      </c>
      <c r="J48" cm="1">
        <f t="array" ref="J48">_xll.ValuateSnowball($C$1,$B$3,$B$7,_xlfn.ANCHORARRAY($C$3),_xlfn.ANCHORARRAY($D$3),_xlfn.ANCHORARRAY($F$3),$B$13,$B$19,$B$14,$B$16,$B$17,$B$20,$B$21,$B$23+$B$31,$B$22,$B$24,$G$1,$E$1,H48+0.625,I48,$B$34,$B$35,$B$36,FALSE,"NPV")*$B$6/$B$3</f>
        <v>887687.10191994195</v>
      </c>
    </row>
    <row r="49" spans="1:10" x14ac:dyDescent="0.3">
      <c r="A49" s="6" t="s">
        <v>50</v>
      </c>
      <c r="B49" s="17">
        <v>-0.38066892944341735</v>
      </c>
      <c r="C49" s="20"/>
      <c r="D49" s="24"/>
      <c r="E49" s="24"/>
      <c r="F49" s="24"/>
      <c r="G49" s="25"/>
      <c r="H49" s="29">
        <v>46031</v>
      </c>
      <c r="I49">
        <v>8056.6858000000002</v>
      </c>
      <c r="J49" cm="1">
        <f t="array" ref="J49">_xll.ValuateSnowball($C$1,$B$3,$B$7,_xlfn.ANCHORARRAY($C$3),_xlfn.ANCHORARRAY($D$3),_xlfn.ANCHORARRAY($F$3),$B$13,$B$19,$B$14,$B$16,$B$17,$B$20,$B$21,$B$23+$B$31,$B$22,$B$24,$G$1,$E$1,H49+0.625,I49,$B$34,$B$35,$B$36,FALSE,"NPV")*$B$6/$B$3</f>
        <v>903601.73928595986</v>
      </c>
    </row>
    <row r="50" spans="1:10" x14ac:dyDescent="0.3">
      <c r="A50" s="6" t="s">
        <v>51</v>
      </c>
      <c r="B50" s="17">
        <v>0.19136415912639104</v>
      </c>
      <c r="C50" s="20"/>
      <c r="D50" s="24"/>
      <c r="E50" s="24"/>
      <c r="F50" s="24"/>
      <c r="G50" s="25"/>
      <c r="H50" s="29">
        <v>46034</v>
      </c>
      <c r="I50">
        <v>8249.1275000000005</v>
      </c>
      <c r="J50" cm="1">
        <f t="array" ref="J50">_xll.ValuateSnowball($C$1,$B$3,$B$7,_xlfn.ANCHORARRAY($C$3),_xlfn.ANCHORARRAY($D$3),_xlfn.ANCHORARRAY($F$3),$B$13,$B$19,$B$14,$B$16,$B$17,$B$20,$B$21,$B$23+$B$31,$B$22,$B$24,$G$1,$E$1,H50+0.625,I50,$B$34,$B$35,$B$36,FALSE,"NPV")*$B$6/$B$3</f>
        <v>909001.73174846324</v>
      </c>
    </row>
    <row r="51" spans="1:10" x14ac:dyDescent="0.3">
      <c r="A51" s="6" t="s">
        <v>52</v>
      </c>
      <c r="B51" s="17">
        <v>-0.79190448483243969</v>
      </c>
      <c r="C51" s="20"/>
      <c r="D51" s="24"/>
      <c r="E51" s="24"/>
      <c r="F51" s="24"/>
      <c r="G51" s="25"/>
      <c r="H51" s="29">
        <v>46035</v>
      </c>
      <c r="I51">
        <v>8143.28</v>
      </c>
      <c r="J51" cm="1">
        <f t="array" ref="J51">_xll.ValuateSnowball($C$1,$B$3,$B$7,_xlfn.ANCHORARRAY($C$3),_xlfn.ANCHORARRAY($D$3),_xlfn.ANCHORARRAY($F$3),$B$13,$B$19,$B$14,$B$16,$B$17,$B$20,$B$21,$B$23+$B$31,$B$22,$B$24,$G$1,$E$1,H51+0.625,I51,$B$34,$B$35,$B$36,FALSE,"NPV")*$B$6/$B$3</f>
        <v>909248.06116061984</v>
      </c>
    </row>
    <row r="52" spans="1:10" x14ac:dyDescent="0.3">
      <c r="A52" s="6" t="s">
        <v>53</v>
      </c>
      <c r="B52" s="17">
        <v>-1.0295316796738008</v>
      </c>
      <c r="C52" s="20"/>
      <c r="D52" s="24"/>
      <c r="E52" s="24"/>
      <c r="F52" s="24"/>
      <c r="G52" s="25"/>
      <c r="H52" s="29">
        <v>46036</v>
      </c>
      <c r="I52">
        <v>8227.6970000000001</v>
      </c>
      <c r="J52" cm="1">
        <f t="array" ref="J52">_xll.ValuateSnowball($C$1,$B$3,$B$7,_xlfn.ANCHORARRAY($C$3),_xlfn.ANCHORARRAY($D$3),_xlfn.ANCHORARRAY($F$3),$B$13,$B$19,$B$14,$B$16,$B$17,$B$20,$B$21,$B$23+$B$31,$B$22,$B$24,$G$1,$E$1,H52+0.625,I52,$B$34,$B$35,$B$36,FALSE,"NPV")*$B$6/$B$3</f>
        <v>911206.7147905794</v>
      </c>
    </row>
    <row r="53" spans="1:10" x14ac:dyDescent="0.3">
      <c r="H53" s="29">
        <v>46037</v>
      </c>
      <c r="I53">
        <v>8223.2682999999997</v>
      </c>
      <c r="J53" cm="1">
        <f t="array" ref="J53">_xll.ValuateSnowball($C$1,$B$3,$B$7,_xlfn.ANCHORARRAY($C$3),_xlfn.ANCHORARRAY($D$3),_xlfn.ANCHORARRAY($F$3),$B$13,$B$19,$B$14,$B$16,$B$17,$B$20,$B$21,$B$23+$B$31,$B$22,$B$24,$G$1,$E$1,H53+0.625,I53,$B$34,$B$35,$B$36,FALSE,"NPV")*$B$6/$B$3</f>
        <v>912294.3369864939</v>
      </c>
    </row>
    <row r="54" spans="1:10" x14ac:dyDescent="0.3">
      <c r="H54" s="29">
        <v>46038</v>
      </c>
      <c r="I54">
        <v>8232.6740000000009</v>
      </c>
      <c r="J54" cm="1">
        <f t="array" ref="J54">_xll.ValuateSnowball($C$1,$B$3,$B$7,_xlfn.ANCHORARRAY($C$3),_xlfn.ANCHORARRAY($D$3),_xlfn.ANCHORARRAY($F$3),$B$13,$B$19,$B$14,$B$16,$B$17,$B$20,$B$21,$B$23+$B$31,$B$22,$B$24,$G$1,$E$1,H54+0.625,I54,$B$34,$B$35,$B$36,FALSE,"NPV")*$B$6/$B$3</f>
        <v>913376.06730286137</v>
      </c>
    </row>
    <row r="55" spans="1:10" x14ac:dyDescent="0.3">
      <c r="H55" s="29">
        <v>46041</v>
      </c>
      <c r="I55">
        <v>8287.9470000000001</v>
      </c>
      <c r="J55" cm="1">
        <f t="array" ref="J55">_xll.ValuateSnowball($C$1,$B$3,$B$7,_xlfn.ANCHORARRAY($C$3),_xlfn.ANCHORARRAY($D$3),_xlfn.ANCHORARRAY($F$3),$B$13,$B$19,$B$14,$B$16,$B$17,$B$20,$B$21,$B$23+$B$31,$B$22,$B$24,$G$1,$E$1,H55+0.625,I55,$B$34,$B$35,$B$36,FALSE,"NPV")*$B$6/$B$3</f>
        <v>914435.72266338638</v>
      </c>
    </row>
    <row r="56" spans="1:10" x14ac:dyDescent="0.3">
      <c r="H56" s="29">
        <v>46042</v>
      </c>
      <c r="I56">
        <v>8247.8048999999992</v>
      </c>
      <c r="J56" cm="1">
        <f t="array" ref="J56">_xll.ValuateSnowball($C$1,$B$3,$B$7,_xlfn.ANCHORARRAY($C$3),_xlfn.ANCHORARRAY($D$3),_xlfn.ANCHORARRAY($F$3),$B$13,$B$19,$B$14,$B$16,$B$17,$B$20,$B$21,$B$23+$B$31,$B$22,$B$24,$G$1,$E$1,H56+0.625,I56,$B$34,$B$35,$B$36,FALSE,"NPV")*$B$6/$B$3</f>
        <v>915390.76871281362</v>
      </c>
    </row>
    <row r="57" spans="1:10" x14ac:dyDescent="0.3">
      <c r="H57" s="29">
        <v>46043</v>
      </c>
      <c r="I57">
        <v>8340.1133000000009</v>
      </c>
      <c r="J57" cm="1">
        <f t="array" ref="J57">_xll.ValuateSnowball($C$1,$B$3,$B$7,_xlfn.ANCHORARRAY($C$3),_xlfn.ANCHORARRAY($D$3),_xlfn.ANCHORARRAY($F$3),$B$13,$B$19,$B$14,$B$16,$B$17,$B$20,$B$21,$B$23+$B$31,$B$22,$B$24,$G$1,$E$1,H57+0.625,I57,$B$34,$B$35,$B$36,FALSE,"NPV")*$B$6/$B$3</f>
        <v>916366.36885187274</v>
      </c>
    </row>
    <row r="58" spans="1:10" x14ac:dyDescent="0.3">
      <c r="H58" s="29">
        <v>46044</v>
      </c>
      <c r="I58">
        <v>8387.5949999999993</v>
      </c>
      <c r="J58" cm="1">
        <f t="array" ref="J58">_xll.ValuateSnowball($C$1,$B$3,$B$7,_xlfn.ANCHORARRAY($C$3),_xlfn.ANCHORARRAY($D$3),_xlfn.ANCHORARRAY($F$3),$B$13,$B$19,$B$14,$B$16,$B$17,$B$20,$B$21,$B$23+$B$31,$B$22,$B$24,$G$1,$E$1,H58+0.625,I58,$B$34,$B$35,$B$36,FALSE,"NPV")*$B$6/$B$3</f>
        <v>917316.05433964834</v>
      </c>
    </row>
    <row r="59" spans="1:10" x14ac:dyDescent="0.3">
      <c r="H59" s="29">
        <v>46045</v>
      </c>
      <c r="I59">
        <v>8590.1659</v>
      </c>
      <c r="J59" cm="1">
        <f t="array" ref="J59">_xll.ValuateSnowball($C$1,$B$3,$B$7,_xlfn.ANCHORARRAY($C$3),_xlfn.ANCHORARRAY($D$3),_xlfn.ANCHORARRAY($F$3),$B$13,$B$19,$B$14,$B$16,$B$17,$B$20,$B$21,$B$23+$B$31,$B$22,$B$24,$G$1,$E$1,H59+0.625,I59,$B$34,$B$35,$B$36,FALSE,"NPV")*$B$6/$B$3</f>
        <v>918263.2982439925</v>
      </c>
    </row>
    <row r="60" spans="1:10" x14ac:dyDescent="0.3">
      <c r="H60" s="29">
        <v>46048</v>
      </c>
      <c r="I60">
        <v>8506.6931999999997</v>
      </c>
      <c r="J60" cm="1">
        <f t="array" ref="J60">_xll.ValuateSnowball($C$1,$B$3,$B$7,_xlfn.ANCHORARRAY($C$3),_xlfn.ANCHORARRAY($D$3),_xlfn.ANCHORARRAY($F$3),$B$13,$B$19,$B$14,$B$16,$B$17,$B$20,$B$21,$B$23+$B$31,$B$22,$B$24,$G$1,$E$1,H60+0.625,I60,$B$34,$B$35,$B$36,FALSE,"NPV")*$B$6/$B$3</f>
        <v>919210.9497421392</v>
      </c>
    </row>
    <row r="61" spans="1:10" x14ac:dyDescent="0.3">
      <c r="H61" s="29">
        <v>46049</v>
      </c>
      <c r="I61">
        <v>8548.9321</v>
      </c>
      <c r="J61" cm="1">
        <f t="array" ref="J61">_xll.ValuateSnowball($C$1,$B$3,$B$7,_xlfn.ANCHORARRAY($C$3),_xlfn.ANCHORARRAY($D$3),_xlfn.ANCHORARRAY($F$3),$B$13,$B$19,$B$14,$B$16,$B$17,$B$20,$B$21,$B$23+$B$31,$B$22,$B$24,$G$1,$E$1,H61+0.625,I61,$B$34,$B$35,$B$36,FALSE,"NPV")*$B$6/$B$3</f>
        <v>920159.49616048613</v>
      </c>
    </row>
    <row r="63" spans="1:10" x14ac:dyDescent="0.3">
      <c r="H63" t="s">
        <v>66</v>
      </c>
    </row>
  </sheetData>
  <phoneticPr fontId="2" type="noConversion"/>
  <dataValidations count="3">
    <dataValidation type="list" showInputMessage="1" showErrorMessage="1" sqref="B5" xr:uid="{669F0FAA-B389-4BCD-A273-69C1980245D3}">
      <formula1>"000852.SH,000905.SH,000300.SH,000016.SH,513180.SH"</formula1>
    </dataValidation>
    <dataValidation type="list" showInputMessage="1" showErrorMessage="1" sqref="B15" xr:uid="{F68132CD-7DB2-4A1C-87D5-CDE1DC7B52AD}">
      <formula1>"每日观察,到期观察"</formula1>
    </dataValidation>
    <dataValidation type="list" showInputMessage="1" showErrorMessage="1" sqref="B25" xr:uid="{6704B022-1D80-41D2-AB00-CFE4DB5F7283}">
      <formula1>"含头含尾,含头不含尾"</formula1>
    </dataValidation>
  </dataValidations>
  <pageMargins left="0.7" right="0.7" top="0.75" bottom="0.75" header="0.3" footer="0.3"/>
  <legacy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BF0EEBB-51EA-4C64-9FBB-53607E71DD6A}">
  <dimension ref="A1:J65"/>
  <sheetViews>
    <sheetView workbookViewId="0">
      <selection activeCell="J2" sqref="J2:J63"/>
    </sheetView>
  </sheetViews>
  <sheetFormatPr defaultColWidth="22.1328125" defaultRowHeight="13.5" x14ac:dyDescent="0.3"/>
  <cols>
    <col min="1" max="1" width="19.1328125" style="2" customWidth="1"/>
    <col min="2" max="2" width="22.1328125" style="1"/>
    <col min="3" max="3" width="22.1328125" style="21"/>
    <col min="4" max="6" width="22.1328125" style="3"/>
    <col min="7" max="7" width="22.1328125" style="2"/>
    <col min="8" max="8" width="11.59765625" bestFit="1" customWidth="1"/>
  </cols>
  <sheetData>
    <row r="1" spans="1:10" x14ac:dyDescent="0.3">
      <c r="A1" s="6" t="s">
        <v>6</v>
      </c>
      <c r="B1" s="9" t="s">
        <v>80</v>
      </c>
      <c r="C1" s="18" t="s">
        <v>55</v>
      </c>
      <c r="D1" s="22"/>
      <c r="E1" s="22" t="b">
        <f>(B15="每日观察")</f>
        <v>1</v>
      </c>
      <c r="F1" s="22"/>
      <c r="G1" s="7" t="b">
        <f>IF(B25="含头含尾",TRUE,FALSE)</f>
        <v>1</v>
      </c>
      <c r="I1" t="s">
        <v>30</v>
      </c>
    </row>
    <row r="2" spans="1:10" x14ac:dyDescent="0.3">
      <c r="A2" s="6" t="s">
        <v>5</v>
      </c>
      <c r="B2" s="10" t="str">
        <f>_xlfn.TEXTJOIN(,TRUE,IF(B13&gt;0,"增强型",""),IF(B15="每日观察","","欧式"),IF(AND(B21=B20,B20&lt;0.9),"不追保",""),IF(B16&lt;1,"OTM",""),"早利雪球")</f>
        <v>早利雪球</v>
      </c>
      <c r="C2" s="19" t="s">
        <v>1</v>
      </c>
      <c r="D2" s="23" t="s">
        <v>12</v>
      </c>
      <c r="E2" s="23" t="s">
        <v>54</v>
      </c>
      <c r="F2" s="23" t="s">
        <v>33</v>
      </c>
      <c r="G2" s="25"/>
      <c r="H2" s="29">
        <v>45960</v>
      </c>
      <c r="I2">
        <v>7485.0847999999996</v>
      </c>
      <c r="J2" cm="1">
        <f t="array" ref="J2">_xll.ValuateSnowball($C$1,$B$3,$B$7,_xlfn.ANCHORARRAY($C$3),_xlfn.ANCHORARRAY($D$3),_xlfn.ANCHORARRAY($F$3),$B$13,$B$19,$B$14,$B$16,$B$17,$B$20,$B$21,$B$23+$B$31,$B$22,$B$24,$G$1,$E$1,H2+0.625,I2,$B$34,$B$35,$B$36,FALSE,"NPV")*$B$6/$B$3</f>
        <v>-88882.624459381623</v>
      </c>
    </row>
    <row r="3" spans="1:10" x14ac:dyDescent="0.3">
      <c r="A3" s="6" t="s">
        <v>70</v>
      </c>
      <c r="B3" s="10">
        <v>7550.41</v>
      </c>
      <c r="C3" s="26" cm="1">
        <f t="array" ref="C3:C24">_xll.ScheduleDates(C1,B7,B8,"1M",B9,"MODIFIED_FOLLOWING")</f>
        <v>46052</v>
      </c>
      <c r="D3" s="27" cm="1">
        <f t="array" ref="D3:D24">_xll.GenerateBarriers(_xlfn.ANCHORARRAY(C3),B11,B12)</f>
        <v>1</v>
      </c>
      <c r="E3" s="27" cm="1">
        <f t="array" ref="E3:E24">_xll.GenerateBonusCoupons(C1,B7,_xlfn.ANCHORARRAY(C3),B10,-1,B18)</f>
        <v>-1</v>
      </c>
      <c r="F3" s="27" cm="1">
        <f t="array" ref="F3:F24">_xll.GenerateBonusCoupons(C1,B7,_xlfn.ANCHORARRAY(C3),B10,B29,B18)</f>
        <v>0.36499999999999999</v>
      </c>
      <c r="G3" s="25"/>
      <c r="H3" s="29">
        <v>45961</v>
      </c>
      <c r="I3">
        <v>7506.6746000000003</v>
      </c>
      <c r="J3">
        <v>-49768.047104361001</v>
      </c>
    </row>
    <row r="4" spans="1:10" x14ac:dyDescent="0.3">
      <c r="A4" s="6" t="s">
        <v>71</v>
      </c>
      <c r="B4" s="31">
        <v>46050</v>
      </c>
      <c r="C4" s="20">
        <v>46080</v>
      </c>
      <c r="D4" s="24">
        <v>0.995</v>
      </c>
      <c r="E4" s="24">
        <v>-1</v>
      </c>
      <c r="F4" s="24">
        <v>0.36499999999999999</v>
      </c>
      <c r="G4" s="25"/>
      <c r="H4" s="29">
        <v>45964</v>
      </c>
      <c r="I4">
        <v>7538.1178</v>
      </c>
      <c r="J4">
        <v>2016.4686202906255</v>
      </c>
    </row>
    <row r="5" spans="1:10" x14ac:dyDescent="0.3">
      <c r="A5" s="6" t="s">
        <v>0</v>
      </c>
      <c r="B5" s="11" t="s">
        <v>3</v>
      </c>
      <c r="C5" s="20">
        <v>46111</v>
      </c>
      <c r="D5" s="24">
        <v>0.99</v>
      </c>
      <c r="E5" s="24">
        <v>-1</v>
      </c>
      <c r="F5" s="24">
        <v>0.36499999999999999</v>
      </c>
      <c r="G5" s="25"/>
      <c r="H5" s="29">
        <v>45965</v>
      </c>
      <c r="I5">
        <v>7435.7308000000003</v>
      </c>
      <c r="J5">
        <v>-131854.74210998786</v>
      </c>
    </row>
    <row r="6" spans="1:10" x14ac:dyDescent="0.3">
      <c r="A6" s="6" t="s">
        <v>7</v>
      </c>
      <c r="B6" s="12">
        <v>10000000</v>
      </c>
      <c r="C6" s="20">
        <v>46142</v>
      </c>
      <c r="D6" s="24">
        <v>0.98499999999999999</v>
      </c>
      <c r="E6" s="24">
        <v>-1</v>
      </c>
      <c r="F6" s="24">
        <v>0.36499999999999999</v>
      </c>
      <c r="G6" s="25"/>
      <c r="H6" s="29">
        <v>45966</v>
      </c>
      <c r="I6">
        <v>7464.8631999999998</v>
      </c>
      <c r="J6">
        <v>-80475.626231257702</v>
      </c>
    </row>
    <row r="7" spans="1:10" x14ac:dyDescent="0.3">
      <c r="A7" s="6" t="s">
        <v>8</v>
      </c>
      <c r="B7" s="13">
        <v>45960.625</v>
      </c>
      <c r="C7" s="20">
        <v>46171</v>
      </c>
      <c r="D7" s="24">
        <v>0.98</v>
      </c>
      <c r="E7" s="24">
        <v>-1</v>
      </c>
      <c r="F7" s="24">
        <v>0.36499999999999999</v>
      </c>
      <c r="G7" s="25"/>
      <c r="H7" s="29">
        <v>45967</v>
      </c>
      <c r="I7">
        <v>7551.8298999999997</v>
      </c>
      <c r="J7">
        <v>48060.27375129873</v>
      </c>
    </row>
    <row r="8" spans="1:10" x14ac:dyDescent="0.3">
      <c r="A8" s="6" t="s">
        <v>9</v>
      </c>
      <c r="B8" s="10" t="s">
        <v>10</v>
      </c>
      <c r="C8" s="20">
        <v>46203</v>
      </c>
      <c r="D8" s="24">
        <v>0.97499999999999998</v>
      </c>
      <c r="E8" s="24">
        <v>-1</v>
      </c>
      <c r="F8" s="24">
        <v>0.36499999999999999</v>
      </c>
      <c r="G8" s="25"/>
      <c r="H8" s="29">
        <v>45968</v>
      </c>
      <c r="I8">
        <v>7541.8779999999997</v>
      </c>
      <c r="J8">
        <v>44324.874670327474</v>
      </c>
    </row>
    <row r="9" spans="1:10" x14ac:dyDescent="0.3">
      <c r="A9" s="6" t="s">
        <v>11</v>
      </c>
      <c r="B9" s="10">
        <v>3</v>
      </c>
      <c r="C9" s="20">
        <v>46233</v>
      </c>
      <c r="D9" s="24">
        <v>0.97</v>
      </c>
      <c r="E9" s="24">
        <v>-1</v>
      </c>
      <c r="F9" s="24">
        <v>0.36499999999999999</v>
      </c>
      <c r="G9" s="25"/>
      <c r="H9" s="29">
        <v>45971</v>
      </c>
      <c r="I9">
        <v>7563.2534999999998</v>
      </c>
      <c r="J9">
        <v>81792.209917330794</v>
      </c>
    </row>
    <row r="10" spans="1:10" x14ac:dyDescent="0.3">
      <c r="A10" s="6" t="s">
        <v>56</v>
      </c>
      <c r="B10" s="10" t="s">
        <v>57</v>
      </c>
      <c r="C10" s="20">
        <v>46265</v>
      </c>
      <c r="D10" s="24">
        <v>0.96499999999999997</v>
      </c>
      <c r="E10" s="24">
        <v>-1</v>
      </c>
      <c r="F10" s="24">
        <v>0.36499999999999999</v>
      </c>
      <c r="G10" s="25"/>
      <c r="H10" s="29">
        <v>45972</v>
      </c>
      <c r="I10">
        <v>7540.7910000000002</v>
      </c>
      <c r="J10">
        <v>61826.52268549188</v>
      </c>
    </row>
    <row r="11" spans="1:10" x14ac:dyDescent="0.3">
      <c r="A11" s="6" t="s">
        <v>12</v>
      </c>
      <c r="B11" s="14">
        <v>1</v>
      </c>
      <c r="C11" s="20">
        <v>46295</v>
      </c>
      <c r="D11" s="24">
        <v>0.96</v>
      </c>
      <c r="E11" s="24">
        <v>-1</v>
      </c>
      <c r="F11" s="24">
        <v>0.36499999999999999</v>
      </c>
      <c r="G11" s="25"/>
      <c r="H11" s="29">
        <v>45973</v>
      </c>
      <c r="I11">
        <v>7486.3765999999996</v>
      </c>
      <c r="J11">
        <v>-2746.2050428104876</v>
      </c>
    </row>
    <row r="12" spans="1:10" x14ac:dyDescent="0.3">
      <c r="A12" s="6" t="s">
        <v>13</v>
      </c>
      <c r="B12" s="14">
        <v>-5.0000000000000001E-3</v>
      </c>
      <c r="C12" s="20">
        <v>46325</v>
      </c>
      <c r="D12" s="24">
        <v>0.95499999999999996</v>
      </c>
      <c r="E12" s="24">
        <v>-1</v>
      </c>
      <c r="F12" s="24">
        <v>0.36499999999999999</v>
      </c>
      <c r="G12" s="25"/>
      <c r="H12" s="29">
        <v>45974</v>
      </c>
      <c r="I12">
        <v>7590.5762999999997</v>
      </c>
      <c r="J12">
        <v>145224.27922374627</v>
      </c>
    </row>
    <row r="13" spans="1:10" x14ac:dyDescent="0.3">
      <c r="A13" s="6" t="s">
        <v>14</v>
      </c>
      <c r="B13" s="14">
        <v>0</v>
      </c>
      <c r="C13" s="20">
        <v>46356</v>
      </c>
      <c r="D13" s="24">
        <v>0.95</v>
      </c>
      <c r="E13" s="24">
        <v>0.05</v>
      </c>
      <c r="F13" s="24">
        <v>0.05</v>
      </c>
      <c r="G13" s="25"/>
      <c r="H13" s="29">
        <v>45975</v>
      </c>
      <c r="I13">
        <v>7502.7566999999999</v>
      </c>
      <c r="J13">
        <v>39262.40621323404</v>
      </c>
    </row>
    <row r="14" spans="1:10" x14ac:dyDescent="0.3">
      <c r="A14" s="6" t="s">
        <v>2</v>
      </c>
      <c r="B14" s="14">
        <v>0.7</v>
      </c>
      <c r="C14" s="20">
        <v>46386</v>
      </c>
      <c r="D14" s="24">
        <v>0.94499999999999995</v>
      </c>
      <c r="E14" s="24">
        <v>0.05</v>
      </c>
      <c r="F14" s="24">
        <v>0.05</v>
      </c>
      <c r="G14" s="25"/>
      <c r="H14" s="29">
        <v>45978</v>
      </c>
      <c r="I14">
        <v>7523.0757999999996</v>
      </c>
      <c r="J14">
        <v>76679.118196727097</v>
      </c>
    </row>
    <row r="15" spans="1:10" x14ac:dyDescent="0.3">
      <c r="A15" s="6" t="s">
        <v>15</v>
      </c>
      <c r="B15" s="11" t="s">
        <v>16</v>
      </c>
      <c r="C15" s="20">
        <v>46416</v>
      </c>
      <c r="D15" s="24">
        <v>0.94</v>
      </c>
      <c r="E15" s="24">
        <v>0.05</v>
      </c>
      <c r="F15" s="24">
        <v>0.05</v>
      </c>
      <c r="G15" s="25"/>
      <c r="H15" s="29">
        <v>45979</v>
      </c>
      <c r="I15">
        <v>7448.1007</v>
      </c>
      <c r="J15">
        <v>-18549.411711082757</v>
      </c>
    </row>
    <row r="16" spans="1:10" x14ac:dyDescent="0.3">
      <c r="A16" s="6" t="s">
        <v>17</v>
      </c>
      <c r="B16" s="14">
        <v>1</v>
      </c>
      <c r="C16" s="20">
        <v>46444</v>
      </c>
      <c r="D16" s="24">
        <v>0.93500000000000005</v>
      </c>
      <c r="E16" s="24">
        <v>0.05</v>
      </c>
      <c r="F16" s="24">
        <v>0.05</v>
      </c>
      <c r="G16" s="25"/>
      <c r="H16" s="29">
        <v>45980</v>
      </c>
      <c r="I16">
        <v>7387.2084000000004</v>
      </c>
      <c r="J16">
        <v>-99788.281405347778</v>
      </c>
    </row>
    <row r="17" spans="1:10" x14ac:dyDescent="0.3">
      <c r="A17" s="6" t="s">
        <v>18</v>
      </c>
      <c r="B17" s="14">
        <v>1</v>
      </c>
      <c r="C17" s="20">
        <v>46476</v>
      </c>
      <c r="D17" s="24">
        <v>0.92999999999999994</v>
      </c>
      <c r="E17" s="24">
        <v>0.05</v>
      </c>
      <c r="F17" s="24">
        <v>0.05</v>
      </c>
      <c r="G17" s="25"/>
      <c r="H17" s="29">
        <v>45981</v>
      </c>
      <c r="I17">
        <v>7340.4117999999999</v>
      </c>
      <c r="J17">
        <v>-163451.34253321923</v>
      </c>
    </row>
    <row r="18" spans="1:10" x14ac:dyDescent="0.3">
      <c r="A18" s="6" t="s">
        <v>58</v>
      </c>
      <c r="B18" s="14">
        <v>0.05</v>
      </c>
      <c r="C18" s="20">
        <v>46507</v>
      </c>
      <c r="D18" s="24">
        <v>0.92500000000000004</v>
      </c>
      <c r="E18" s="24">
        <v>0.05</v>
      </c>
      <c r="F18" s="24">
        <v>0.05</v>
      </c>
      <c r="G18" s="25"/>
      <c r="H18" s="29">
        <v>45982</v>
      </c>
      <c r="I18">
        <v>7067.7030000000004</v>
      </c>
      <c r="J18">
        <v>-636650.46297531528</v>
      </c>
    </row>
    <row r="19" spans="1:10" x14ac:dyDescent="0.3">
      <c r="A19" s="6" t="s">
        <v>19</v>
      </c>
      <c r="B19" s="14">
        <v>0.05</v>
      </c>
      <c r="C19" s="20">
        <v>46538</v>
      </c>
      <c r="D19" s="24">
        <v>0.92</v>
      </c>
      <c r="E19" s="24">
        <v>0.05</v>
      </c>
      <c r="F19" s="24">
        <v>0.05</v>
      </c>
      <c r="G19" s="25"/>
      <c r="H19" s="29">
        <v>45985</v>
      </c>
      <c r="I19">
        <v>7156.4084999999995</v>
      </c>
      <c r="J19">
        <v>-461072.44119896158</v>
      </c>
    </row>
    <row r="20" spans="1:10" x14ac:dyDescent="0.3">
      <c r="A20" s="6" t="s">
        <v>20</v>
      </c>
      <c r="B20" s="14">
        <v>1</v>
      </c>
      <c r="C20" s="20">
        <v>46568</v>
      </c>
      <c r="D20" s="24">
        <v>0.91500000000000004</v>
      </c>
      <c r="E20" s="24">
        <v>0.05</v>
      </c>
      <c r="F20" s="24">
        <v>0.05</v>
      </c>
      <c r="G20" s="25"/>
      <c r="H20" s="29">
        <v>45986</v>
      </c>
      <c r="I20">
        <v>7249.9471000000003</v>
      </c>
      <c r="J20">
        <v>-284906.18135787308</v>
      </c>
    </row>
    <row r="21" spans="1:10" x14ac:dyDescent="0.3">
      <c r="A21" s="6" t="s">
        <v>21</v>
      </c>
      <c r="B21" s="14">
        <v>1</v>
      </c>
      <c r="C21" s="20">
        <v>46598</v>
      </c>
      <c r="D21" s="24">
        <v>0.91</v>
      </c>
      <c r="E21" s="24">
        <v>0.05</v>
      </c>
      <c r="F21" s="24">
        <v>0.05</v>
      </c>
      <c r="G21" s="25"/>
      <c r="H21" s="29">
        <v>45987</v>
      </c>
      <c r="I21">
        <v>7248.4489000000003</v>
      </c>
      <c r="J21">
        <v>-277810.42885971419</v>
      </c>
    </row>
    <row r="22" spans="1:10" x14ac:dyDescent="0.3">
      <c r="A22" s="6" t="s">
        <v>22</v>
      </c>
      <c r="B22" s="14">
        <v>0</v>
      </c>
      <c r="C22" s="20">
        <v>46629</v>
      </c>
      <c r="D22" s="24">
        <v>0.90500000000000003</v>
      </c>
      <c r="E22" s="24">
        <v>0.05</v>
      </c>
      <c r="F22" s="24">
        <v>0.05</v>
      </c>
      <c r="G22" s="25"/>
      <c r="H22" s="29">
        <v>45988</v>
      </c>
      <c r="I22">
        <v>7257.4539999999997</v>
      </c>
      <c r="J22">
        <v>-252484.74943296649</v>
      </c>
    </row>
    <row r="23" spans="1:10" x14ac:dyDescent="0.3">
      <c r="A23" s="6" t="s">
        <v>23</v>
      </c>
      <c r="B23" s="14">
        <v>0</v>
      </c>
      <c r="C23" s="20">
        <v>46660</v>
      </c>
      <c r="D23" s="24">
        <v>0.9</v>
      </c>
      <c r="E23" s="24">
        <v>0.05</v>
      </c>
      <c r="F23" s="24">
        <v>0.05</v>
      </c>
      <c r="G23" s="25"/>
      <c r="H23" s="29">
        <v>45989</v>
      </c>
      <c r="I23">
        <v>7334.2097000000003</v>
      </c>
      <c r="J23">
        <v>-113887.26740686862</v>
      </c>
    </row>
    <row r="24" spans="1:10" x14ac:dyDescent="0.3">
      <c r="A24" s="6" t="s">
        <v>24</v>
      </c>
      <c r="B24" s="10">
        <v>0</v>
      </c>
      <c r="C24" s="20">
        <v>46689</v>
      </c>
      <c r="D24" s="24">
        <v>0.89500000000000002</v>
      </c>
      <c r="E24" s="24">
        <v>0.05</v>
      </c>
      <c r="F24" s="24">
        <v>0.05</v>
      </c>
      <c r="G24" s="25"/>
      <c r="H24" s="29">
        <v>45992</v>
      </c>
      <c r="I24">
        <v>7386.6810999999998</v>
      </c>
      <c r="J24">
        <v>-20322.439282415788</v>
      </c>
    </row>
    <row r="25" spans="1:10" x14ac:dyDescent="0.3">
      <c r="A25" s="6" t="s">
        <v>25</v>
      </c>
      <c r="B25" s="11" t="s">
        <v>26</v>
      </c>
      <c r="C25" s="20"/>
      <c r="D25" s="24"/>
      <c r="E25" s="24"/>
      <c r="F25" s="24"/>
      <c r="G25" s="25"/>
      <c r="H25" s="29">
        <v>45993</v>
      </c>
      <c r="I25">
        <v>7313.1779999999999</v>
      </c>
      <c r="J25">
        <v>-128131.36057593237</v>
      </c>
    </row>
    <row r="26" spans="1:10" x14ac:dyDescent="0.3">
      <c r="A26" s="6" t="s">
        <v>27</v>
      </c>
      <c r="B26" s="14">
        <v>0</v>
      </c>
      <c r="C26" s="20"/>
      <c r="D26" s="24"/>
      <c r="E26" s="24"/>
      <c r="F26" s="24"/>
      <c r="G26" s="25"/>
      <c r="H26" s="29">
        <v>45994</v>
      </c>
      <c r="I26">
        <v>7248.2740000000003</v>
      </c>
      <c r="J26">
        <v>-228849.66667235634</v>
      </c>
    </row>
    <row r="27" spans="1:10" x14ac:dyDescent="0.3">
      <c r="A27" s="6" t="s">
        <v>28</v>
      </c>
      <c r="B27" s="14" t="s">
        <v>29</v>
      </c>
      <c r="C27" s="20"/>
      <c r="D27" s="24"/>
      <c r="E27" s="24"/>
      <c r="F27" s="24"/>
      <c r="G27" s="25"/>
      <c r="H27" s="29">
        <v>45995</v>
      </c>
      <c r="I27">
        <v>7248.6572999999999</v>
      </c>
      <c r="J27">
        <v>-218154.81658071428</v>
      </c>
    </row>
    <row r="28" spans="1:10" x14ac:dyDescent="0.3">
      <c r="A28" s="7"/>
      <c r="B28" s="14"/>
      <c r="C28" s="20"/>
      <c r="D28" s="24"/>
      <c r="E28" s="24"/>
      <c r="F28" s="24"/>
      <c r="G28" s="25"/>
      <c r="H28" s="29">
        <v>45996</v>
      </c>
      <c r="I28">
        <v>7342.4924000000001</v>
      </c>
      <c r="J28">
        <v>-48932.887279898037</v>
      </c>
    </row>
    <row r="29" spans="1:10" x14ac:dyDescent="0.3">
      <c r="A29" s="6" t="s">
        <v>59</v>
      </c>
      <c r="B29" s="32">
        <v>0.36499999999999999</v>
      </c>
      <c r="C29" s="20"/>
      <c r="D29" s="24"/>
      <c r="E29" s="24"/>
      <c r="F29" s="24"/>
      <c r="G29" s="25"/>
      <c r="H29" s="29">
        <v>45999</v>
      </c>
      <c r="I29">
        <v>7423.0461999999998</v>
      </c>
      <c r="J29">
        <v>87822.581296198114</v>
      </c>
    </row>
    <row r="30" spans="1:10" x14ac:dyDescent="0.3">
      <c r="A30" s="7"/>
      <c r="B30" s="14"/>
      <c r="C30" s="20"/>
      <c r="D30" s="24"/>
      <c r="E30" s="24"/>
      <c r="F30" s="24"/>
      <c r="G30" s="25"/>
      <c r="H30" s="29">
        <v>46000</v>
      </c>
      <c r="I30">
        <v>7380.5834999999997</v>
      </c>
      <c r="J30">
        <v>33250.39693532118</v>
      </c>
    </row>
    <row r="31" spans="1:10" x14ac:dyDescent="0.3">
      <c r="A31" s="6" t="s">
        <v>34</v>
      </c>
      <c r="B31" s="14">
        <v>0</v>
      </c>
      <c r="C31" s="20"/>
      <c r="D31" s="24"/>
      <c r="E31" s="24"/>
      <c r="F31" s="24"/>
      <c r="G31" s="25"/>
      <c r="H31" s="29">
        <v>46001</v>
      </c>
      <c r="I31">
        <v>7408.2440999999999</v>
      </c>
      <c r="J31">
        <v>86988.483134792041</v>
      </c>
    </row>
    <row r="32" spans="1:10" x14ac:dyDescent="0.3">
      <c r="A32" s="6" t="s">
        <v>35</v>
      </c>
      <c r="B32" s="14" t="s">
        <v>36</v>
      </c>
      <c r="C32" s="20"/>
      <c r="D32" s="24"/>
      <c r="E32" s="24"/>
      <c r="F32" s="24"/>
      <c r="G32" s="25"/>
      <c r="H32" s="29">
        <v>46002</v>
      </c>
      <c r="I32">
        <v>7311.9952000000003</v>
      </c>
      <c r="J32">
        <v>-57128.554675682426</v>
      </c>
    </row>
    <row r="33" spans="1:10" x14ac:dyDescent="0.3">
      <c r="A33" s="7"/>
      <c r="B33" s="14"/>
      <c r="C33" s="20"/>
      <c r="D33" s="24"/>
      <c r="E33" s="24"/>
      <c r="F33" s="24"/>
      <c r="G33" s="25"/>
      <c r="H33" s="29">
        <v>46003</v>
      </c>
      <c r="I33">
        <v>7370.9416000000001</v>
      </c>
      <c r="J33">
        <v>50515.538201896772</v>
      </c>
    </row>
    <row r="34" spans="1:10" x14ac:dyDescent="0.3">
      <c r="A34" s="6" t="s">
        <v>37</v>
      </c>
      <c r="B34" s="16">
        <v>2.1000000000000001E-2</v>
      </c>
      <c r="C34" s="20"/>
      <c r="D34" s="24"/>
      <c r="E34" s="24"/>
      <c r="F34" s="24"/>
      <c r="G34" s="25"/>
      <c r="H34" s="29">
        <v>46006</v>
      </c>
      <c r="I34">
        <v>7309.0775000000003</v>
      </c>
      <c r="J34">
        <v>-40557.86988461866</v>
      </c>
    </row>
    <row r="35" spans="1:10" x14ac:dyDescent="0.3">
      <c r="A35" s="6" t="s">
        <v>38</v>
      </c>
      <c r="B35" s="14">
        <v>-8.4970000000000004E-2</v>
      </c>
      <c r="C35" s="20"/>
      <c r="D35" s="24"/>
      <c r="E35" s="24"/>
      <c r="F35" s="24"/>
      <c r="G35" s="25"/>
      <c r="H35" s="29">
        <v>46007</v>
      </c>
      <c r="I35">
        <v>7181.62</v>
      </c>
      <c r="J35">
        <v>-259135.36609378181</v>
      </c>
    </row>
    <row r="36" spans="1:10" x14ac:dyDescent="0.3">
      <c r="A36" s="6" t="s">
        <v>39</v>
      </c>
      <c r="B36" s="14">
        <v>0.18</v>
      </c>
      <c r="C36" s="20"/>
      <c r="D36" s="24"/>
      <c r="E36" s="24"/>
      <c r="F36" s="24"/>
      <c r="G36" s="25"/>
      <c r="H36" s="29">
        <v>46008</v>
      </c>
      <c r="I36">
        <v>7288.7384000000002</v>
      </c>
      <c r="J36">
        <v>-53805.363936183094</v>
      </c>
    </row>
    <row r="37" spans="1:10" x14ac:dyDescent="0.3">
      <c r="A37" s="7"/>
      <c r="B37" s="10"/>
      <c r="C37" s="20"/>
      <c r="D37" s="24"/>
      <c r="E37" s="24"/>
      <c r="F37" s="24"/>
      <c r="G37" s="25"/>
      <c r="H37" s="29">
        <v>46009</v>
      </c>
      <c r="I37">
        <v>7272.4023999999999</v>
      </c>
      <c r="J37">
        <v>-71581.600572105104</v>
      </c>
    </row>
    <row r="38" spans="1:10" x14ac:dyDescent="0.3">
      <c r="A38" s="8" t="s">
        <v>40</v>
      </c>
      <c r="B38" s="10"/>
      <c r="C38" s="20"/>
      <c r="D38" s="24"/>
      <c r="E38" s="24"/>
      <c r="F38" s="24"/>
      <c r="G38" s="25"/>
      <c r="H38" s="29">
        <v>46010</v>
      </c>
      <c r="I38">
        <v>7329.8056999999999</v>
      </c>
      <c r="J38">
        <v>38722.014487967739</v>
      </c>
    </row>
    <row r="39" spans="1:10" x14ac:dyDescent="0.3">
      <c r="A39" s="6" t="s">
        <v>41</v>
      </c>
      <c r="B39" s="17">
        <f>B47*100</f>
        <v>99.550351989557967</v>
      </c>
      <c r="C39" s="20"/>
      <c r="D39" s="24"/>
      <c r="E39" s="24"/>
      <c r="F39" s="24"/>
      <c r="G39" s="25"/>
      <c r="H39" s="29">
        <v>46013</v>
      </c>
      <c r="I39">
        <v>7408.3487999999998</v>
      </c>
      <c r="J39">
        <v>177265.18193412366</v>
      </c>
    </row>
    <row r="40" spans="1:10" x14ac:dyDescent="0.3">
      <c r="A40" s="6" t="s">
        <v>42</v>
      </c>
      <c r="B40" s="17">
        <f>B48*1%*100</f>
        <v>-7.1452789579318221</v>
      </c>
      <c r="C40" s="20"/>
      <c r="D40" s="24"/>
      <c r="E40" s="24"/>
      <c r="F40" s="24"/>
      <c r="G40" s="25"/>
      <c r="H40" s="29">
        <v>46014</v>
      </c>
      <c r="I40">
        <v>7392.4204</v>
      </c>
      <c r="J40">
        <v>164051.52888978642</v>
      </c>
    </row>
    <row r="41" spans="1:10" x14ac:dyDescent="0.3">
      <c r="A41" s="6" t="s">
        <v>43</v>
      </c>
      <c r="B41" s="17">
        <f>B49*1%*100</f>
        <v>-0.40013869544643921</v>
      </c>
      <c r="C41" s="20"/>
      <c r="D41" s="24"/>
      <c r="E41" s="24"/>
      <c r="F41" s="24"/>
      <c r="G41" s="25"/>
      <c r="H41" s="29">
        <v>46015</v>
      </c>
      <c r="I41">
        <v>7506.3814000000002</v>
      </c>
      <c r="J41">
        <v>343906.05270861037</v>
      </c>
    </row>
    <row r="42" spans="1:10" x14ac:dyDescent="0.3">
      <c r="A42" s="6" t="s">
        <v>44</v>
      </c>
      <c r="B42" s="17">
        <f>B50*1/242*100</f>
        <v>9.1822427300680687E-2</v>
      </c>
      <c r="C42" s="20"/>
      <c r="D42" s="24"/>
      <c r="E42" s="24"/>
      <c r="F42" s="24"/>
      <c r="G42" s="25"/>
      <c r="H42" s="29">
        <v>46016</v>
      </c>
      <c r="I42">
        <v>7579.3791000000001</v>
      </c>
      <c r="J42">
        <v>449997.39125508565</v>
      </c>
    </row>
    <row r="43" spans="1:10" x14ac:dyDescent="0.3">
      <c r="A43" s="6" t="s">
        <v>45</v>
      </c>
      <c r="B43" s="17">
        <f>1%*B51*100</f>
        <v>-0.75498483350595613</v>
      </c>
      <c r="C43" s="20"/>
      <c r="D43" s="24"/>
      <c r="E43" s="24"/>
      <c r="F43" s="24"/>
      <c r="G43" s="25"/>
      <c r="H43" s="29">
        <v>46017</v>
      </c>
      <c r="I43">
        <v>7605.5299000000005</v>
      </c>
      <c r="J43">
        <v>493034.93828145589</v>
      </c>
    </row>
    <row r="44" spans="1:10" x14ac:dyDescent="0.3">
      <c r="A44" s="6" t="s">
        <v>46</v>
      </c>
      <c r="B44" s="17">
        <f>1%*B52*100</f>
        <v>-1.0188862948604438</v>
      </c>
      <c r="C44" s="20"/>
      <c r="D44" s="24"/>
      <c r="E44" s="24"/>
      <c r="F44" s="24"/>
      <c r="G44" s="25"/>
      <c r="H44" s="29">
        <v>46020</v>
      </c>
      <c r="I44">
        <v>7594.1575000000003</v>
      </c>
      <c r="J44">
        <v>492054.56434413162</v>
      </c>
    </row>
    <row r="45" spans="1:10" x14ac:dyDescent="0.3">
      <c r="A45" s="7"/>
      <c r="B45" s="17">
        <f>B46*B6</f>
        <v>-99.791313887820365</v>
      </c>
      <c r="C45" s="20"/>
      <c r="D45" s="24"/>
      <c r="E45" s="24"/>
      <c r="F45" s="24"/>
      <c r="G45" s="25"/>
      <c r="H45" s="29">
        <v>46021</v>
      </c>
      <c r="I45">
        <v>7597.299</v>
      </c>
      <c r="J45">
        <v>508142.37163741025</v>
      </c>
    </row>
    <row r="46" spans="1:10" x14ac:dyDescent="0.3">
      <c r="A46" s="6" t="s">
        <v>47</v>
      </c>
      <c r="B46" s="28" cm="1">
        <f t="array" ref="B46:B52">_xll.ValuateSnowball(C1,1,B7,_xlfn.ANCHORARRAY(C3),_xlfn.ANCHORARRAY(D3),_xlfn.ANCHORARRAY(F3),B13,B19,B14,B16,B17,B20,B21,B23+B31,B22,B24,G1,E1,B7,1,B34,B35,B36,FALSE,"ALL")</f>
        <v>-9.9791313887820365E-6</v>
      </c>
      <c r="C46" s="20"/>
      <c r="D46" s="24"/>
      <c r="E46" s="24"/>
      <c r="F46" s="24"/>
      <c r="G46" s="25"/>
      <c r="H46" s="29">
        <v>46022</v>
      </c>
      <c r="I46">
        <v>7595.2844999999998</v>
      </c>
      <c r="J46">
        <v>518413.36438275897</v>
      </c>
    </row>
    <row r="47" spans="1:10" x14ac:dyDescent="0.3">
      <c r="A47" s="6" t="s">
        <v>48</v>
      </c>
      <c r="B47" s="17">
        <v>0.99550351989557972</v>
      </c>
      <c r="C47" s="20"/>
      <c r="D47" s="24"/>
      <c r="E47" s="24"/>
      <c r="F47" s="24"/>
      <c r="G47" s="25"/>
      <c r="H47" s="29">
        <v>46027</v>
      </c>
      <c r="I47">
        <v>7753.88</v>
      </c>
      <c r="J47">
        <v>686574.01216898486</v>
      </c>
    </row>
    <row r="48" spans="1:10" x14ac:dyDescent="0.3">
      <c r="A48" s="6" t="s">
        <v>49</v>
      </c>
      <c r="B48" s="17">
        <v>-7.1452789579318221</v>
      </c>
      <c r="C48" s="20"/>
      <c r="D48" s="24"/>
      <c r="E48" s="24"/>
      <c r="F48" s="24"/>
      <c r="G48" s="25"/>
      <c r="H48" s="29">
        <v>46028</v>
      </c>
      <c r="I48">
        <v>7864.9034000000001</v>
      </c>
      <c r="J48">
        <v>773795.22876477416</v>
      </c>
    </row>
    <row r="49" spans="1:10" x14ac:dyDescent="0.3">
      <c r="A49" s="6" t="s">
        <v>50</v>
      </c>
      <c r="B49" s="17">
        <v>-0.40013869544643921</v>
      </c>
      <c r="C49" s="20"/>
      <c r="D49" s="24"/>
      <c r="E49" s="24"/>
      <c r="F49" s="24"/>
      <c r="G49" s="25"/>
      <c r="H49" s="29">
        <v>46029</v>
      </c>
      <c r="I49">
        <v>7906.4197000000004</v>
      </c>
      <c r="J49">
        <v>805441.17420893814</v>
      </c>
    </row>
    <row r="50" spans="1:10" x14ac:dyDescent="0.3">
      <c r="A50" s="6" t="s">
        <v>51</v>
      </c>
      <c r="B50" s="17">
        <v>0.22221027406764726</v>
      </c>
      <c r="C50" s="20"/>
      <c r="D50" s="24"/>
      <c r="E50" s="24"/>
      <c r="F50" s="24"/>
      <c r="G50" s="25"/>
      <c r="H50" s="29">
        <v>46030</v>
      </c>
      <c r="I50">
        <v>7971.5887000000002</v>
      </c>
      <c r="J50">
        <v>841659.70051801263</v>
      </c>
    </row>
    <row r="51" spans="1:10" x14ac:dyDescent="0.3">
      <c r="A51" s="6" t="s">
        <v>52</v>
      </c>
      <c r="B51" s="17">
        <v>-0.75498483350595613</v>
      </c>
      <c r="C51" s="20"/>
      <c r="D51" s="24"/>
      <c r="E51" s="24"/>
      <c r="F51" s="24"/>
      <c r="G51" s="25"/>
      <c r="H51" s="29">
        <v>46031</v>
      </c>
      <c r="I51">
        <v>8129.1831000000002</v>
      </c>
      <c r="J51">
        <v>888338.6971510282</v>
      </c>
    </row>
    <row r="52" spans="1:10" x14ac:dyDescent="0.3">
      <c r="A52" s="6" t="s">
        <v>53</v>
      </c>
      <c r="B52" s="17">
        <v>-1.0188862948604438</v>
      </c>
      <c r="C52" s="20"/>
      <c r="D52" s="24"/>
      <c r="E52" s="24"/>
      <c r="F52" s="24"/>
      <c r="G52" s="25"/>
      <c r="H52" s="29">
        <v>46034</v>
      </c>
      <c r="I52">
        <v>8357.0107000000007</v>
      </c>
      <c r="J52">
        <v>911903.62662545126</v>
      </c>
    </row>
    <row r="53" spans="1:10" x14ac:dyDescent="0.3">
      <c r="H53" s="29">
        <v>46035</v>
      </c>
      <c r="I53">
        <v>8203.1327000000001</v>
      </c>
      <c r="J53">
        <v>905956.25043810613</v>
      </c>
    </row>
    <row r="54" spans="1:10" x14ac:dyDescent="0.3">
      <c r="H54" s="29">
        <v>46036</v>
      </c>
      <c r="I54">
        <v>8257.1715999999997</v>
      </c>
      <c r="J54">
        <v>912560.08576224104</v>
      </c>
    </row>
    <row r="55" spans="1:10" x14ac:dyDescent="0.3">
      <c r="H55" s="29">
        <v>46037</v>
      </c>
      <c r="I55">
        <v>8240.7751000000007</v>
      </c>
      <c r="J55">
        <v>914430.43592652224</v>
      </c>
    </row>
    <row r="56" spans="1:10" x14ac:dyDescent="0.3">
      <c r="H56" s="29">
        <v>46038</v>
      </c>
      <c r="I56">
        <v>8232.7293000000009</v>
      </c>
      <c r="J56">
        <v>916598.13043705642</v>
      </c>
    </row>
    <row r="57" spans="1:10" x14ac:dyDescent="0.3">
      <c r="H57" s="29">
        <v>46041</v>
      </c>
      <c r="I57">
        <v>8265.6461999999992</v>
      </c>
      <c r="J57">
        <v>919588.22216819727</v>
      </c>
    </row>
    <row r="58" spans="1:10" x14ac:dyDescent="0.3">
      <c r="H58" s="29">
        <v>46042</v>
      </c>
      <c r="I58">
        <v>8182.7521999999999</v>
      </c>
      <c r="J58">
        <v>919651.63044976862</v>
      </c>
    </row>
    <row r="59" spans="1:10" x14ac:dyDescent="0.3">
      <c r="H59" s="29">
        <v>46043</v>
      </c>
      <c r="I59">
        <v>8247.6797999999999</v>
      </c>
      <c r="J59">
        <v>922634.74472992402</v>
      </c>
    </row>
    <row r="60" spans="1:10" x14ac:dyDescent="0.3">
      <c r="H60" s="29">
        <v>46044</v>
      </c>
      <c r="I60">
        <v>8309.3456000000006</v>
      </c>
      <c r="J60">
        <v>924178.48070209567</v>
      </c>
    </row>
    <row r="61" spans="1:10" x14ac:dyDescent="0.3">
      <c r="H61" s="29">
        <v>46045</v>
      </c>
      <c r="I61">
        <v>8470.7438000000002</v>
      </c>
      <c r="J61">
        <v>925251.87927610916</v>
      </c>
    </row>
    <row r="62" spans="1:10" x14ac:dyDescent="0.3">
      <c r="H62" s="29">
        <v>46048</v>
      </c>
      <c r="I62">
        <v>8365.4344999999994</v>
      </c>
      <c r="J62">
        <v>926199.94548462145</v>
      </c>
    </row>
    <row r="63" spans="1:10" x14ac:dyDescent="0.3">
      <c r="H63" s="29">
        <v>46049</v>
      </c>
      <c r="I63">
        <v>8382.1532999999999</v>
      </c>
      <c r="J63">
        <v>927149.42057078646</v>
      </c>
    </row>
    <row r="65" spans="8:8" x14ac:dyDescent="0.3">
      <c r="H65" t="s">
        <v>66</v>
      </c>
    </row>
  </sheetData>
  <phoneticPr fontId="2" type="noConversion"/>
  <dataValidations count="3">
    <dataValidation type="list" showInputMessage="1" showErrorMessage="1" sqref="B25" xr:uid="{815D7871-601B-4093-A819-49728E1099BD}">
      <formula1>"含头含尾,含头不含尾"</formula1>
    </dataValidation>
    <dataValidation type="list" showInputMessage="1" showErrorMessage="1" sqref="B15" xr:uid="{98834141-75D5-459E-974A-2E5832B0C7D9}">
      <formula1>"每日观察,到期观察"</formula1>
    </dataValidation>
    <dataValidation type="list" showInputMessage="1" showErrorMessage="1" sqref="B5" xr:uid="{4A14C110-6175-4D96-BC00-A84BFAF7EBBE}">
      <formula1>"000852.SH,000905.SH,000300.SH,000016.SH,513180.SH"</formula1>
    </dataValidation>
  </dataValidations>
  <pageMargins left="0.7" right="0.7" top="0.75" bottom="0.75" header="0.3" footer="0.3"/>
  <legacy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8509A47-38E8-45BD-A2CB-DBA66C2E67FE}">
  <dimension ref="A1:J70"/>
  <sheetViews>
    <sheetView topLeftCell="A32" workbookViewId="0">
      <selection activeCell="J2" sqref="J2:J68"/>
    </sheetView>
  </sheetViews>
  <sheetFormatPr defaultColWidth="22.1328125" defaultRowHeight="13.5" x14ac:dyDescent="0.3"/>
  <cols>
    <col min="1" max="1" width="19.1328125" style="2" customWidth="1"/>
    <col min="2" max="2" width="22.1328125" style="1"/>
    <col min="3" max="3" width="22.1328125" style="21"/>
    <col min="4" max="6" width="22.1328125" style="3"/>
    <col min="7" max="7" width="22.1328125" style="2"/>
    <col min="8" max="8" width="11.59765625" bestFit="1" customWidth="1"/>
    <col min="10" max="10" width="22.1328125" style="30"/>
  </cols>
  <sheetData>
    <row r="1" spans="1:10" x14ac:dyDescent="0.3">
      <c r="A1" s="6" t="s">
        <v>6</v>
      </c>
      <c r="B1" s="9" t="s">
        <v>79</v>
      </c>
      <c r="C1" s="18" t="s">
        <v>55</v>
      </c>
      <c r="D1" s="22"/>
      <c r="E1" s="22" t="b">
        <f>(B15="每日观察")</f>
        <v>1</v>
      </c>
      <c r="F1" s="22"/>
      <c r="G1" s="7" t="b">
        <f>IF(B25="含头含尾",TRUE,FALSE)</f>
        <v>1</v>
      </c>
      <c r="I1" t="s">
        <v>30</v>
      </c>
    </row>
    <row r="2" spans="1:10" x14ac:dyDescent="0.3">
      <c r="A2" s="6" t="s">
        <v>5</v>
      </c>
      <c r="B2" s="10" t="str">
        <f>_xlfn.TEXTJOIN(,TRUE,IF(B13&gt;0,"增强型",""),IF(B15="每日观察","","欧式"),IF(AND(B21=B20,B20&lt;0.9),"不追保",""),IF(B16&lt;1,"OTM",""),"早利雪球")</f>
        <v>早利雪球</v>
      </c>
      <c r="C2" s="19" t="s">
        <v>1</v>
      </c>
      <c r="D2" s="23" t="s">
        <v>12</v>
      </c>
      <c r="E2" s="23" t="s">
        <v>54</v>
      </c>
      <c r="F2" s="23" t="s">
        <v>33</v>
      </c>
      <c r="G2" s="25"/>
      <c r="H2" s="29">
        <v>45953</v>
      </c>
      <c r="I2">
        <v>7308.0991999999997</v>
      </c>
      <c r="J2" s="30" cm="1">
        <f t="array" ref="J2">_xll.ValuateSnowball($C$1,$B$3,$B$7,_xlfn.ANCHORARRAY($C$3),_xlfn.ANCHORARRAY($D$3),_xlfn.ANCHORARRAY($F$3),$B$13,$B$19,$B$14,$B$16,$B$17,$B$20,$B$21,$B$23+$B$31,$B$22,$B$24,$G$1,$E$1,H2+0.625,I2,$B$34,$B$35,$B$36,FALSE,"NPV")*$B$6/$B$3</f>
        <v>110559.53021537112</v>
      </c>
    </row>
    <row r="3" spans="1:10" x14ac:dyDescent="0.3">
      <c r="A3" s="6" t="s">
        <v>70</v>
      </c>
      <c r="B3" s="10">
        <v>7209.67</v>
      </c>
      <c r="C3" s="26" cm="1">
        <f t="array" ref="C3:C24">_xll.ScheduleDates(C1,B7,B8,"1M",B9,"MODIFIED_FOLLOWING")</f>
        <v>46045</v>
      </c>
      <c r="D3" s="27" cm="1">
        <f t="array" ref="D3:D24">_xll.GenerateBarriers(_xlfn.ANCHORARRAY(C3),B11,B12)</f>
        <v>1</v>
      </c>
      <c r="E3" s="27" cm="1">
        <f t="array" ref="E3:E24">_xll.GenerateBonusCoupons(C1,B7,_xlfn.ANCHORARRAY(C3),B10,-1,B18)</f>
        <v>-1</v>
      </c>
      <c r="F3" s="27" cm="1">
        <f t="array" ref="F3:F24">_xll.GenerateBonusCoupons(C1,B7,_xlfn.ANCHORARRAY(C3),B10,B29,B18)</f>
        <v>0.29480000000000001</v>
      </c>
      <c r="G3" s="25"/>
      <c r="H3" s="29">
        <v>45954</v>
      </c>
      <c r="I3">
        <v>7419.2352000000001</v>
      </c>
      <c r="J3" s="30">
        <v>228872.94335982698</v>
      </c>
    </row>
    <row r="4" spans="1:10" x14ac:dyDescent="0.3">
      <c r="A4" s="6" t="s">
        <v>71</v>
      </c>
      <c r="B4" s="31">
        <v>46050</v>
      </c>
      <c r="C4" s="20">
        <v>46077</v>
      </c>
      <c r="D4" s="24">
        <v>0.995</v>
      </c>
      <c r="E4" s="24">
        <v>-1</v>
      </c>
      <c r="F4" s="24">
        <v>0.29480000000000001</v>
      </c>
      <c r="G4" s="25"/>
      <c r="H4" s="29">
        <v>45957</v>
      </c>
      <c r="I4">
        <v>7495.3831</v>
      </c>
      <c r="J4" s="30">
        <v>302310.91359084763</v>
      </c>
    </row>
    <row r="5" spans="1:10" x14ac:dyDescent="0.3">
      <c r="A5" s="6" t="s">
        <v>0</v>
      </c>
      <c r="B5" s="11" t="s">
        <v>30</v>
      </c>
      <c r="C5" s="20">
        <v>46104</v>
      </c>
      <c r="D5" s="24">
        <v>0.99</v>
      </c>
      <c r="E5" s="24">
        <v>-1</v>
      </c>
      <c r="F5" s="24">
        <v>0.29480000000000001</v>
      </c>
      <c r="G5" s="25"/>
      <c r="H5" s="29">
        <v>45958</v>
      </c>
      <c r="I5">
        <v>7479.2209999999995</v>
      </c>
      <c r="J5" s="30">
        <v>295966.00045325886</v>
      </c>
    </row>
    <row r="6" spans="1:10" x14ac:dyDescent="0.3">
      <c r="A6" s="6" t="s">
        <v>7</v>
      </c>
      <c r="B6" s="12">
        <v>10000000</v>
      </c>
      <c r="C6" s="20">
        <v>46135</v>
      </c>
      <c r="D6" s="24">
        <v>0.98499999999999999</v>
      </c>
      <c r="E6" s="24">
        <v>-1</v>
      </c>
      <c r="F6" s="24">
        <v>0.29480000000000001</v>
      </c>
      <c r="G6" s="25"/>
      <c r="H6" s="29">
        <v>45959</v>
      </c>
      <c r="I6">
        <v>7569.1170000000002</v>
      </c>
      <c r="J6" s="30">
        <v>372712.96254267439</v>
      </c>
    </row>
    <row r="7" spans="1:10" x14ac:dyDescent="0.3">
      <c r="A7" s="6" t="s">
        <v>8</v>
      </c>
      <c r="B7" s="13">
        <v>45953.625</v>
      </c>
      <c r="C7" s="20">
        <v>46167</v>
      </c>
      <c r="D7" s="24">
        <v>0.98</v>
      </c>
      <c r="E7" s="24">
        <v>-1</v>
      </c>
      <c r="F7" s="24">
        <v>0.29480000000000001</v>
      </c>
      <c r="G7" s="25"/>
      <c r="H7" s="29">
        <v>45960</v>
      </c>
      <c r="I7">
        <v>7485.0847999999996</v>
      </c>
      <c r="J7" s="30">
        <v>314997.32925598015</v>
      </c>
    </row>
    <row r="8" spans="1:10" x14ac:dyDescent="0.3">
      <c r="A8" s="6" t="s">
        <v>9</v>
      </c>
      <c r="B8" s="10" t="s">
        <v>10</v>
      </c>
      <c r="C8" s="20">
        <v>46196</v>
      </c>
      <c r="D8" s="24">
        <v>0.97499999999999998</v>
      </c>
      <c r="E8" s="24">
        <v>-1</v>
      </c>
      <c r="F8" s="24">
        <v>0.29480000000000001</v>
      </c>
      <c r="G8" s="25"/>
      <c r="H8" s="29">
        <v>45961</v>
      </c>
      <c r="I8">
        <v>7506.6746000000003</v>
      </c>
      <c r="J8" s="30">
        <v>339413.37740401318</v>
      </c>
    </row>
    <row r="9" spans="1:10" x14ac:dyDescent="0.3">
      <c r="A9" s="6" t="s">
        <v>11</v>
      </c>
      <c r="B9" s="10">
        <v>3</v>
      </c>
      <c r="C9" s="20">
        <v>46226</v>
      </c>
      <c r="D9" s="24">
        <v>0.97</v>
      </c>
      <c r="E9" s="24">
        <v>-1</v>
      </c>
      <c r="F9" s="24">
        <v>0.29480000000000001</v>
      </c>
      <c r="G9" s="25"/>
      <c r="H9" s="29">
        <v>45964</v>
      </c>
      <c r="I9">
        <v>7538.1178</v>
      </c>
      <c r="J9" s="30">
        <v>370424.37195178267</v>
      </c>
    </row>
    <row r="10" spans="1:10" x14ac:dyDescent="0.3">
      <c r="A10" s="6" t="s">
        <v>56</v>
      </c>
      <c r="B10" s="10" t="s">
        <v>57</v>
      </c>
      <c r="C10" s="20">
        <v>46258</v>
      </c>
      <c r="D10" s="24">
        <v>0.96499999999999997</v>
      </c>
      <c r="E10" s="24">
        <v>-1</v>
      </c>
      <c r="F10" s="24">
        <v>0.29480000000000001</v>
      </c>
      <c r="G10" s="25"/>
      <c r="H10" s="29">
        <v>45965</v>
      </c>
      <c r="I10">
        <v>7435.7308000000003</v>
      </c>
      <c r="J10" s="30">
        <v>294915.33614118717</v>
      </c>
    </row>
    <row r="11" spans="1:10" x14ac:dyDescent="0.3">
      <c r="A11" s="6" t="s">
        <v>12</v>
      </c>
      <c r="B11" s="14">
        <v>1</v>
      </c>
      <c r="C11" s="20">
        <v>46288</v>
      </c>
      <c r="D11" s="24">
        <v>0.96</v>
      </c>
      <c r="E11" s="24">
        <v>-1</v>
      </c>
      <c r="F11" s="24">
        <v>0.29480000000000001</v>
      </c>
      <c r="G11" s="25"/>
      <c r="H11" s="29">
        <v>45966</v>
      </c>
      <c r="I11">
        <v>7464.8631999999998</v>
      </c>
      <c r="J11" s="30">
        <v>327029.22504197579</v>
      </c>
    </row>
    <row r="12" spans="1:10" x14ac:dyDescent="0.3">
      <c r="A12" s="6" t="s">
        <v>13</v>
      </c>
      <c r="B12" s="14">
        <v>-5.0000000000000001E-3</v>
      </c>
      <c r="C12" s="20">
        <v>46318</v>
      </c>
      <c r="D12" s="24">
        <v>0.95499999999999996</v>
      </c>
      <c r="E12" s="24">
        <v>-1</v>
      </c>
      <c r="F12" s="24">
        <v>0.29480000000000001</v>
      </c>
      <c r="G12" s="25"/>
      <c r="H12" s="29">
        <v>45967</v>
      </c>
      <c r="I12">
        <v>7551.8298999999997</v>
      </c>
      <c r="J12" s="30">
        <v>400968.80134418677</v>
      </c>
    </row>
    <row r="13" spans="1:10" x14ac:dyDescent="0.3">
      <c r="A13" s="6" t="s">
        <v>14</v>
      </c>
      <c r="B13" s="14">
        <v>0</v>
      </c>
      <c r="C13" s="20">
        <v>46349</v>
      </c>
      <c r="D13" s="24">
        <v>0.95</v>
      </c>
      <c r="E13" s="24">
        <v>0.05</v>
      </c>
      <c r="F13" s="24">
        <v>0.05</v>
      </c>
      <c r="G13" s="25"/>
      <c r="H13" s="29">
        <v>45968</v>
      </c>
      <c r="I13">
        <v>7541.8779999999997</v>
      </c>
      <c r="J13" s="30">
        <v>400754.63890791091</v>
      </c>
    </row>
    <row r="14" spans="1:10" x14ac:dyDescent="0.3">
      <c r="A14" s="6" t="s">
        <v>2</v>
      </c>
      <c r="B14" s="14">
        <v>0.7</v>
      </c>
      <c r="C14" s="20">
        <v>46379</v>
      </c>
      <c r="D14" s="24">
        <v>0.94499999999999995</v>
      </c>
      <c r="E14" s="24">
        <v>0.05</v>
      </c>
      <c r="F14" s="24">
        <v>0.05</v>
      </c>
      <c r="G14" s="25"/>
      <c r="H14" s="29">
        <v>45971</v>
      </c>
      <c r="I14">
        <v>7563.2534999999998</v>
      </c>
      <c r="J14" s="30">
        <v>422597.80462716939</v>
      </c>
    </row>
    <row r="15" spans="1:10" x14ac:dyDescent="0.3">
      <c r="A15" s="6" t="s">
        <v>15</v>
      </c>
      <c r="B15" s="11" t="s">
        <v>16</v>
      </c>
      <c r="C15" s="20">
        <v>46412</v>
      </c>
      <c r="D15" s="24">
        <v>0.94</v>
      </c>
      <c r="E15" s="24">
        <v>0.05</v>
      </c>
      <c r="F15" s="24">
        <v>0.05</v>
      </c>
      <c r="G15" s="25"/>
      <c r="H15" s="29">
        <v>45972</v>
      </c>
      <c r="I15">
        <v>7540.7910000000002</v>
      </c>
      <c r="J15" s="30">
        <v>413850.48710392386</v>
      </c>
    </row>
    <row r="16" spans="1:10" x14ac:dyDescent="0.3">
      <c r="A16" s="6" t="s">
        <v>17</v>
      </c>
      <c r="B16" s="14">
        <v>1</v>
      </c>
      <c r="C16" s="20">
        <v>46441</v>
      </c>
      <c r="D16" s="24">
        <v>0.93500000000000005</v>
      </c>
      <c r="E16" s="24">
        <v>0.05</v>
      </c>
      <c r="F16" s="24">
        <v>0.05</v>
      </c>
      <c r="G16" s="25"/>
      <c r="H16" s="29">
        <v>45973</v>
      </c>
      <c r="I16">
        <v>7486.3765999999996</v>
      </c>
      <c r="J16" s="30">
        <v>380621.70601267694</v>
      </c>
    </row>
    <row r="17" spans="1:10" x14ac:dyDescent="0.3">
      <c r="A17" s="6" t="s">
        <v>18</v>
      </c>
      <c r="B17" s="14">
        <v>1</v>
      </c>
      <c r="C17" s="20">
        <v>46469</v>
      </c>
      <c r="D17" s="24">
        <v>0.92999999999999994</v>
      </c>
      <c r="E17" s="24">
        <v>0.05</v>
      </c>
      <c r="F17" s="24">
        <v>0.05</v>
      </c>
      <c r="G17" s="25"/>
      <c r="H17" s="29">
        <v>45974</v>
      </c>
      <c r="I17">
        <v>7590.5762999999997</v>
      </c>
      <c r="J17" s="30">
        <v>460847.61332234513</v>
      </c>
    </row>
    <row r="18" spans="1:10" x14ac:dyDescent="0.3">
      <c r="A18" s="6" t="s">
        <v>58</v>
      </c>
      <c r="B18" s="14">
        <v>0.05</v>
      </c>
      <c r="C18" s="20">
        <v>46500</v>
      </c>
      <c r="D18" s="24">
        <v>0.92500000000000004</v>
      </c>
      <c r="E18" s="24">
        <v>0.05</v>
      </c>
      <c r="F18" s="24">
        <v>0.05</v>
      </c>
      <c r="G18" s="25"/>
      <c r="H18" s="29">
        <v>45975</v>
      </c>
      <c r="I18">
        <v>7502.7566999999999</v>
      </c>
      <c r="J18" s="30">
        <v>407530.92535756045</v>
      </c>
    </row>
    <row r="19" spans="1:10" x14ac:dyDescent="0.3">
      <c r="A19" s="6" t="s">
        <v>19</v>
      </c>
      <c r="B19" s="14">
        <v>0.05</v>
      </c>
      <c r="C19" s="20">
        <v>46531</v>
      </c>
      <c r="D19" s="24">
        <v>0.92</v>
      </c>
      <c r="E19" s="24">
        <v>0.05</v>
      </c>
      <c r="F19" s="24">
        <v>0.05</v>
      </c>
      <c r="G19" s="25"/>
      <c r="H19" s="29">
        <v>45978</v>
      </c>
      <c r="I19">
        <v>7523.0757999999996</v>
      </c>
      <c r="J19" s="30">
        <v>429450.47179843654</v>
      </c>
    </row>
    <row r="20" spans="1:10" x14ac:dyDescent="0.3">
      <c r="A20" s="6" t="s">
        <v>20</v>
      </c>
      <c r="B20" s="14">
        <v>1</v>
      </c>
      <c r="C20" s="20">
        <v>46561</v>
      </c>
      <c r="D20" s="24">
        <v>0.91500000000000004</v>
      </c>
      <c r="E20" s="24">
        <v>0.05</v>
      </c>
      <c r="F20" s="24">
        <v>0.05</v>
      </c>
      <c r="G20" s="25"/>
      <c r="H20" s="29">
        <v>45979</v>
      </c>
      <c r="I20">
        <v>7448.1007</v>
      </c>
      <c r="J20" s="30">
        <v>379949.81513261184</v>
      </c>
    </row>
    <row r="21" spans="1:10" x14ac:dyDescent="0.3">
      <c r="A21" s="6" t="s">
        <v>21</v>
      </c>
      <c r="B21" s="14">
        <v>1</v>
      </c>
      <c r="C21" s="20">
        <v>46591</v>
      </c>
      <c r="D21" s="24">
        <v>0.91</v>
      </c>
      <c r="E21" s="24">
        <v>0.05</v>
      </c>
      <c r="F21" s="24">
        <v>0.05</v>
      </c>
      <c r="G21" s="25"/>
      <c r="H21" s="29">
        <v>45980</v>
      </c>
      <c r="I21">
        <v>7387.2084000000004</v>
      </c>
      <c r="J21" s="30">
        <v>335823.15937531588</v>
      </c>
    </row>
    <row r="22" spans="1:10" x14ac:dyDescent="0.3">
      <c r="A22" s="6" t="s">
        <v>22</v>
      </c>
      <c r="B22" s="14">
        <v>0</v>
      </c>
      <c r="C22" s="20">
        <v>46622</v>
      </c>
      <c r="D22" s="24">
        <v>0.90500000000000003</v>
      </c>
      <c r="E22" s="24">
        <v>0.05</v>
      </c>
      <c r="F22" s="24">
        <v>0.05</v>
      </c>
      <c r="G22" s="25"/>
      <c r="H22" s="29">
        <v>45981</v>
      </c>
      <c r="I22">
        <v>7340.4117999999999</v>
      </c>
      <c r="J22" s="30">
        <v>300327.43463948852</v>
      </c>
    </row>
    <row r="23" spans="1:10" x14ac:dyDescent="0.3">
      <c r="A23" s="6" t="s">
        <v>23</v>
      </c>
      <c r="B23" s="14">
        <v>0</v>
      </c>
      <c r="C23" s="20">
        <v>46653</v>
      </c>
      <c r="D23" s="24">
        <v>0.9</v>
      </c>
      <c r="E23" s="24">
        <v>0.05</v>
      </c>
      <c r="F23" s="24">
        <v>0.05</v>
      </c>
      <c r="G23" s="25"/>
      <c r="H23" s="29">
        <v>45982</v>
      </c>
      <c r="I23">
        <v>7067.7030000000004</v>
      </c>
      <c r="J23" s="30">
        <v>-14629.507066432496</v>
      </c>
    </row>
    <row r="24" spans="1:10" x14ac:dyDescent="0.3">
      <c r="A24" s="6" t="s">
        <v>24</v>
      </c>
      <c r="B24" s="10">
        <v>0</v>
      </c>
      <c r="C24" s="20">
        <v>46685</v>
      </c>
      <c r="D24" s="24">
        <v>0.89500000000000002</v>
      </c>
      <c r="E24" s="24">
        <v>0.05</v>
      </c>
      <c r="F24" s="24">
        <v>0.05</v>
      </c>
      <c r="G24" s="25"/>
      <c r="H24" s="29">
        <v>45985</v>
      </c>
      <c r="I24">
        <v>7156.4084999999995</v>
      </c>
      <c r="J24" s="30">
        <v>112704.90548579083</v>
      </c>
    </row>
    <row r="25" spans="1:10" x14ac:dyDescent="0.3">
      <c r="A25" s="6" t="s">
        <v>25</v>
      </c>
      <c r="B25" s="11" t="s">
        <v>26</v>
      </c>
      <c r="C25" s="20"/>
      <c r="D25" s="24"/>
      <c r="E25" s="24"/>
      <c r="F25" s="24"/>
      <c r="G25" s="25"/>
      <c r="H25" s="29">
        <v>45986</v>
      </c>
      <c r="I25">
        <v>7249.9471000000003</v>
      </c>
      <c r="J25" s="30">
        <v>232053.81226581399</v>
      </c>
    </row>
    <row r="26" spans="1:10" x14ac:dyDescent="0.3">
      <c r="A26" s="6" t="s">
        <v>27</v>
      </c>
      <c r="B26" s="14">
        <v>0</v>
      </c>
      <c r="C26" s="20"/>
      <c r="D26" s="24"/>
      <c r="E26" s="24"/>
      <c r="F26" s="24"/>
      <c r="G26" s="25"/>
      <c r="H26" s="29">
        <v>45987</v>
      </c>
      <c r="I26">
        <v>7248.4489000000003</v>
      </c>
      <c r="J26" s="30">
        <v>239021.2905120402</v>
      </c>
    </row>
    <row r="27" spans="1:10" x14ac:dyDescent="0.3">
      <c r="A27" s="6" t="s">
        <v>28</v>
      </c>
      <c r="B27" s="14" t="s">
        <v>29</v>
      </c>
      <c r="C27" s="20"/>
      <c r="D27" s="24"/>
      <c r="E27" s="24"/>
      <c r="F27" s="24"/>
      <c r="G27" s="25"/>
      <c r="H27" s="29">
        <v>45988</v>
      </c>
      <c r="I27">
        <v>7257.4539999999997</v>
      </c>
      <c r="J27" s="30">
        <v>257538.0934438768</v>
      </c>
    </row>
    <row r="28" spans="1:10" x14ac:dyDescent="0.3">
      <c r="A28" s="7"/>
      <c r="B28" s="14"/>
      <c r="C28" s="20"/>
      <c r="D28" s="24"/>
      <c r="E28" s="24"/>
      <c r="F28" s="24"/>
      <c r="G28" s="25"/>
      <c r="H28" s="29">
        <v>45989</v>
      </c>
      <c r="I28">
        <v>7334.2097000000003</v>
      </c>
      <c r="J28" s="30">
        <v>344134.61898104119</v>
      </c>
    </row>
    <row r="29" spans="1:10" x14ac:dyDescent="0.3">
      <c r="A29" s="6" t="s">
        <v>59</v>
      </c>
      <c r="B29" s="36">
        <v>0.29480000000000001</v>
      </c>
      <c r="C29" s="20"/>
      <c r="D29" s="24"/>
      <c r="E29" s="24"/>
      <c r="F29" s="24"/>
      <c r="G29" s="25"/>
      <c r="H29" s="29">
        <v>45992</v>
      </c>
      <c r="I29">
        <v>7386.6810999999998</v>
      </c>
      <c r="J29" s="30">
        <v>399779.06309535954</v>
      </c>
    </row>
    <row r="30" spans="1:10" x14ac:dyDescent="0.3">
      <c r="A30" s="7"/>
      <c r="B30" s="14"/>
      <c r="C30" s="20"/>
      <c r="D30" s="24"/>
      <c r="E30" s="24"/>
      <c r="F30" s="24"/>
      <c r="G30" s="25"/>
      <c r="H30" s="29">
        <v>45993</v>
      </c>
      <c r="I30">
        <v>7313.1779999999999</v>
      </c>
      <c r="J30" s="30">
        <v>340989.31080674671</v>
      </c>
    </row>
    <row r="31" spans="1:10" x14ac:dyDescent="0.3">
      <c r="A31" s="6" t="s">
        <v>34</v>
      </c>
      <c r="B31" s="14">
        <v>0</v>
      </c>
      <c r="C31" s="20"/>
      <c r="D31" s="24"/>
      <c r="E31" s="24"/>
      <c r="F31" s="24"/>
      <c r="G31" s="25"/>
      <c r="H31" s="29">
        <v>45994</v>
      </c>
      <c r="I31">
        <v>7248.2740000000003</v>
      </c>
      <c r="J31" s="30">
        <v>282867.36552734853</v>
      </c>
    </row>
    <row r="32" spans="1:10" x14ac:dyDescent="0.3">
      <c r="A32" s="6" t="s">
        <v>35</v>
      </c>
      <c r="B32" s="14" t="s">
        <v>36</v>
      </c>
      <c r="C32" s="20"/>
      <c r="D32" s="24"/>
      <c r="E32" s="24"/>
      <c r="F32" s="24"/>
      <c r="G32" s="25"/>
      <c r="H32" s="29">
        <v>45995</v>
      </c>
      <c r="I32">
        <v>7248.6572999999999</v>
      </c>
      <c r="J32" s="30">
        <v>292280.83613352152</v>
      </c>
    </row>
    <row r="33" spans="1:10" x14ac:dyDescent="0.3">
      <c r="A33" s="7"/>
      <c r="B33" s="14"/>
      <c r="C33" s="20"/>
      <c r="D33" s="24"/>
      <c r="E33" s="24"/>
      <c r="F33" s="24"/>
      <c r="G33" s="25"/>
      <c r="H33" s="29">
        <v>45996</v>
      </c>
      <c r="I33">
        <v>7342.4924000000001</v>
      </c>
      <c r="J33" s="30">
        <v>394589.37670091056</v>
      </c>
    </row>
    <row r="34" spans="1:10" x14ac:dyDescent="0.3">
      <c r="A34" s="6" t="s">
        <v>37</v>
      </c>
      <c r="B34" s="16">
        <v>2.1000000000000001E-2</v>
      </c>
      <c r="C34" s="20"/>
      <c r="D34" s="24"/>
      <c r="E34" s="24"/>
      <c r="F34" s="24"/>
      <c r="G34" s="25"/>
      <c r="H34" s="29">
        <v>45999</v>
      </c>
      <c r="I34">
        <v>7423.0461999999998</v>
      </c>
      <c r="J34" s="30">
        <v>470216.20028393972</v>
      </c>
    </row>
    <row r="35" spans="1:10" x14ac:dyDescent="0.3">
      <c r="A35" s="6" t="s">
        <v>38</v>
      </c>
      <c r="B35" s="14">
        <v>-7.2499999999999995E-2</v>
      </c>
      <c r="C35" s="20"/>
      <c r="D35" s="24"/>
      <c r="E35" s="24"/>
      <c r="F35" s="24"/>
      <c r="G35" s="25"/>
      <c r="H35" s="29">
        <v>46000</v>
      </c>
      <c r="I35">
        <v>7380.5834999999997</v>
      </c>
      <c r="J35" s="30">
        <v>444876.51817566995</v>
      </c>
    </row>
    <row r="36" spans="1:10" x14ac:dyDescent="0.3">
      <c r="A36" s="6" t="s">
        <v>39</v>
      </c>
      <c r="B36" s="14">
        <v>0.17</v>
      </c>
      <c r="C36" s="20"/>
      <c r="D36" s="24"/>
      <c r="E36" s="24"/>
      <c r="F36" s="24"/>
      <c r="G36" s="25"/>
      <c r="H36" s="29">
        <v>46001</v>
      </c>
      <c r="I36">
        <v>7408.2440999999999</v>
      </c>
      <c r="J36" s="30">
        <v>475469.8429383834</v>
      </c>
    </row>
    <row r="37" spans="1:10" x14ac:dyDescent="0.3">
      <c r="A37" s="7"/>
      <c r="B37" s="10"/>
      <c r="C37" s="20"/>
      <c r="D37" s="24"/>
      <c r="E37" s="24"/>
      <c r="F37" s="24"/>
      <c r="G37" s="25"/>
      <c r="H37" s="29">
        <v>46002</v>
      </c>
      <c r="I37">
        <v>7311.9952000000003</v>
      </c>
      <c r="J37" s="30">
        <v>401878.70191188762</v>
      </c>
    </row>
    <row r="38" spans="1:10" x14ac:dyDescent="0.3">
      <c r="A38" s="8" t="s">
        <v>40</v>
      </c>
      <c r="B38" s="10"/>
      <c r="C38" s="20"/>
      <c r="D38" s="24"/>
      <c r="E38" s="24"/>
      <c r="F38" s="24"/>
      <c r="G38" s="25"/>
      <c r="H38" s="29">
        <v>46003</v>
      </c>
      <c r="I38">
        <v>7370.9416000000001</v>
      </c>
      <c r="J38" s="30">
        <v>462891.12896500836</v>
      </c>
    </row>
    <row r="39" spans="1:10" x14ac:dyDescent="0.3">
      <c r="A39" s="6" t="s">
        <v>41</v>
      </c>
      <c r="B39" s="17">
        <f>B47*100</f>
        <v>87.14169508612035</v>
      </c>
      <c r="C39" s="20"/>
      <c r="D39" s="24"/>
      <c r="E39" s="24"/>
      <c r="F39" s="24"/>
      <c r="G39" s="25"/>
      <c r="H39" s="29">
        <v>46006</v>
      </c>
      <c r="I39">
        <v>7309.0775000000003</v>
      </c>
      <c r="J39" s="30">
        <v>417492.39269919554</v>
      </c>
    </row>
    <row r="40" spans="1:10" x14ac:dyDescent="0.3">
      <c r="A40" s="6" t="s">
        <v>42</v>
      </c>
      <c r="B40" s="17">
        <f>B48*1%*100</f>
        <v>-7.1313606848644184</v>
      </c>
      <c r="C40" s="20"/>
      <c r="D40" s="24"/>
      <c r="E40" s="24"/>
      <c r="F40" s="24"/>
      <c r="G40" s="25"/>
      <c r="H40" s="29">
        <v>46007</v>
      </c>
      <c r="I40">
        <v>7181.62</v>
      </c>
      <c r="J40" s="30">
        <v>291543.08328979026</v>
      </c>
    </row>
    <row r="41" spans="1:10" x14ac:dyDescent="0.3">
      <c r="A41" s="6" t="s">
        <v>43</v>
      </c>
      <c r="B41" s="17">
        <f>B49*1%*100</f>
        <v>-0.48736390299632948</v>
      </c>
      <c r="C41" s="20"/>
      <c r="D41" s="24"/>
      <c r="E41" s="24"/>
      <c r="F41" s="24"/>
      <c r="G41" s="25"/>
      <c r="H41" s="29">
        <v>46008</v>
      </c>
      <c r="I41">
        <v>7288.7384000000002</v>
      </c>
      <c r="J41" s="30">
        <v>416955.67808492592</v>
      </c>
    </row>
    <row r="42" spans="1:10" x14ac:dyDescent="0.3">
      <c r="A42" s="6" t="s">
        <v>44</v>
      </c>
      <c r="B42" s="17">
        <f>B50*1/242*100</f>
        <v>7.7525745062734241E-2</v>
      </c>
      <c r="C42" s="20"/>
      <c r="D42" s="24"/>
      <c r="E42" s="24"/>
      <c r="F42" s="24"/>
      <c r="G42" s="25"/>
      <c r="H42" s="29">
        <v>46009</v>
      </c>
      <c r="I42">
        <v>7272.4023999999999</v>
      </c>
      <c r="J42" s="30">
        <v>410609.36132370483</v>
      </c>
    </row>
    <row r="43" spans="1:10" x14ac:dyDescent="0.3">
      <c r="A43" s="6" t="s">
        <v>45</v>
      </c>
      <c r="B43" s="17">
        <f>1%*B51*100</f>
        <v>-0.74913380578836009</v>
      </c>
      <c r="C43" s="20"/>
      <c r="D43" s="24"/>
      <c r="E43" s="24"/>
      <c r="F43" s="24"/>
      <c r="G43" s="25"/>
      <c r="H43" s="29">
        <v>46010</v>
      </c>
      <c r="I43">
        <v>7329.8056999999999</v>
      </c>
      <c r="J43" s="30">
        <v>473718.29093475745</v>
      </c>
    </row>
    <row r="44" spans="1:10" x14ac:dyDescent="0.3">
      <c r="A44" s="6" t="s">
        <v>46</v>
      </c>
      <c r="B44" s="17">
        <f>1%*B52*100</f>
        <v>-0.93342012465879032</v>
      </c>
      <c r="C44" s="20"/>
      <c r="D44" s="24"/>
      <c r="E44" s="24"/>
      <c r="F44" s="24"/>
      <c r="G44" s="25"/>
      <c r="H44" s="29">
        <v>46013</v>
      </c>
      <c r="I44">
        <v>7408.3487999999998</v>
      </c>
      <c r="J44" s="30">
        <v>544473.88165830413</v>
      </c>
    </row>
    <row r="45" spans="1:10" x14ac:dyDescent="0.3">
      <c r="A45" s="7"/>
      <c r="B45" s="17">
        <f>B46*B6</f>
        <v>-1772.5906677779069</v>
      </c>
      <c r="C45" s="20"/>
      <c r="D45" s="24"/>
      <c r="E45" s="24"/>
      <c r="F45" s="24"/>
      <c r="G45" s="25"/>
      <c r="H45" s="29">
        <v>46014</v>
      </c>
      <c r="I45">
        <v>7392.4204</v>
      </c>
      <c r="J45" s="30">
        <v>542133.63620767626</v>
      </c>
    </row>
    <row r="46" spans="1:10" x14ac:dyDescent="0.3">
      <c r="A46" s="6" t="s">
        <v>47</v>
      </c>
      <c r="B46" s="28" cm="1">
        <f t="array" ref="B46:B52">_xll.ValuateSnowball(C1,1,B7,_xlfn.ANCHORARRAY(C3),_xlfn.ANCHORARRAY(D3),_xlfn.ANCHORARRAY(F3),B13,B19,B14,B16,B17,B20,B21,B23+B31,B22,B24,G1,E1,B7,1,B34,B35,B36,FALSE,"ALL")</f>
        <v>-1.7725906677779069E-4</v>
      </c>
      <c r="C46" s="20"/>
      <c r="D46" s="24"/>
      <c r="E46" s="24"/>
      <c r="F46" s="24"/>
      <c r="G46" s="25"/>
      <c r="H46" s="29">
        <v>46015</v>
      </c>
      <c r="I46">
        <v>7506.3814000000002</v>
      </c>
      <c r="J46" s="30">
        <v>619691.76655435399</v>
      </c>
    </row>
    <row r="47" spans="1:10" x14ac:dyDescent="0.3">
      <c r="A47" s="6" t="s">
        <v>48</v>
      </c>
      <c r="B47" s="17">
        <v>0.87141695086120352</v>
      </c>
      <c r="C47" s="20"/>
      <c r="D47" s="24"/>
      <c r="E47" s="24"/>
      <c r="F47" s="24"/>
      <c r="G47" s="25"/>
      <c r="H47" s="29">
        <v>46016</v>
      </c>
      <c r="I47">
        <v>7579.3791000000001</v>
      </c>
      <c r="J47" s="30">
        <v>658349.70601845381</v>
      </c>
    </row>
    <row r="48" spans="1:10" x14ac:dyDescent="0.3">
      <c r="A48" s="6" t="s">
        <v>49</v>
      </c>
      <c r="B48" s="17">
        <v>-7.1313606848644184</v>
      </c>
      <c r="C48" s="20"/>
      <c r="D48" s="24"/>
      <c r="E48" s="24"/>
      <c r="F48" s="24"/>
      <c r="G48" s="25"/>
      <c r="H48" s="29">
        <v>46017</v>
      </c>
      <c r="I48">
        <v>7605.5299000000005</v>
      </c>
      <c r="J48" s="30">
        <v>673762.13396409305</v>
      </c>
    </row>
    <row r="49" spans="1:10" x14ac:dyDescent="0.3">
      <c r="A49" s="6" t="s">
        <v>50</v>
      </c>
      <c r="B49" s="17">
        <v>-0.48736390299632948</v>
      </c>
      <c r="C49" s="20"/>
      <c r="D49" s="24"/>
      <c r="E49" s="24"/>
      <c r="F49" s="24"/>
      <c r="G49" s="25"/>
      <c r="H49" s="29">
        <v>46020</v>
      </c>
      <c r="I49">
        <v>7594.1575000000003</v>
      </c>
      <c r="J49" s="30">
        <v>676510.67270312237</v>
      </c>
    </row>
    <row r="50" spans="1:10" x14ac:dyDescent="0.3">
      <c r="A50" s="6" t="s">
        <v>51</v>
      </c>
      <c r="B50" s="17">
        <v>0.18761230305181686</v>
      </c>
      <c r="C50" s="20"/>
      <c r="D50" s="24"/>
      <c r="E50" s="24"/>
      <c r="F50" s="24"/>
      <c r="G50" s="25"/>
      <c r="H50" s="29">
        <v>46021</v>
      </c>
      <c r="I50">
        <v>7597.299</v>
      </c>
      <c r="J50" s="30">
        <v>683796.39158036979</v>
      </c>
    </row>
    <row r="51" spans="1:10" x14ac:dyDescent="0.3">
      <c r="A51" s="6" t="s">
        <v>52</v>
      </c>
      <c r="B51" s="17">
        <v>-0.74913380578836009</v>
      </c>
      <c r="C51" s="20"/>
      <c r="D51" s="24"/>
      <c r="E51" s="24"/>
      <c r="F51" s="24"/>
      <c r="G51" s="25"/>
      <c r="H51" s="29">
        <v>46022</v>
      </c>
      <c r="I51">
        <v>7595.2844999999998</v>
      </c>
      <c r="J51" s="30">
        <v>689473.95890797721</v>
      </c>
    </row>
    <row r="52" spans="1:10" x14ac:dyDescent="0.3">
      <c r="A52" s="6" t="s">
        <v>53</v>
      </c>
      <c r="B52" s="17">
        <v>-0.93342012465879032</v>
      </c>
      <c r="C52" s="20"/>
      <c r="D52" s="24"/>
      <c r="E52" s="24"/>
      <c r="F52" s="24"/>
      <c r="G52" s="25"/>
      <c r="H52" s="29">
        <v>46027</v>
      </c>
      <c r="I52">
        <v>7753.88</v>
      </c>
      <c r="J52" s="30">
        <v>723449.71530364163</v>
      </c>
    </row>
    <row r="53" spans="1:10" x14ac:dyDescent="0.3">
      <c r="H53" s="29">
        <v>46028</v>
      </c>
      <c r="I53">
        <v>7864.9034000000001</v>
      </c>
      <c r="J53" s="30">
        <v>734102.49434740609</v>
      </c>
    </row>
    <row r="54" spans="1:10" x14ac:dyDescent="0.3">
      <c r="H54" s="29">
        <v>46029</v>
      </c>
      <c r="I54">
        <v>7906.4197000000004</v>
      </c>
      <c r="J54" s="30">
        <v>737415.35623041773</v>
      </c>
    </row>
    <row r="55" spans="1:10" x14ac:dyDescent="0.3">
      <c r="H55" s="29">
        <v>46030</v>
      </c>
      <c r="I55">
        <v>7971.5887000000002</v>
      </c>
      <c r="J55" s="30">
        <v>739974.49047521909</v>
      </c>
    </row>
    <row r="56" spans="1:10" x14ac:dyDescent="0.3">
      <c r="H56" s="29">
        <v>46031</v>
      </c>
      <c r="I56">
        <v>8129.1831000000002</v>
      </c>
      <c r="J56" s="30">
        <v>741726.05839648517</v>
      </c>
    </row>
    <row r="57" spans="1:10" x14ac:dyDescent="0.3">
      <c r="H57" s="29">
        <v>46034</v>
      </c>
      <c r="I57">
        <v>8357.0107000000007</v>
      </c>
      <c r="J57" s="30">
        <v>742733.9642956208</v>
      </c>
    </row>
    <row r="58" spans="1:10" x14ac:dyDescent="0.3">
      <c r="H58" s="29">
        <v>46035</v>
      </c>
      <c r="I58">
        <v>8203.1327000000001</v>
      </c>
      <c r="J58" s="30">
        <v>743663.12243954104</v>
      </c>
    </row>
    <row r="59" spans="1:10" x14ac:dyDescent="0.3">
      <c r="H59" s="29">
        <v>46036</v>
      </c>
      <c r="I59">
        <v>8257.1715999999997</v>
      </c>
      <c r="J59" s="30">
        <v>744599.67278024741</v>
      </c>
    </row>
    <row r="60" spans="1:10" x14ac:dyDescent="0.3">
      <c r="H60" s="29">
        <v>46037</v>
      </c>
      <c r="I60">
        <v>8240.7751000000007</v>
      </c>
      <c r="J60" s="30">
        <v>745531.82570999477</v>
      </c>
    </row>
    <row r="61" spans="1:10" x14ac:dyDescent="0.3">
      <c r="H61" s="29">
        <v>46038</v>
      </c>
      <c r="I61">
        <v>8232.7293000000009</v>
      </c>
      <c r="J61" s="30">
        <v>746464.26170615887</v>
      </c>
    </row>
    <row r="62" spans="1:10" x14ac:dyDescent="0.3">
      <c r="H62" s="29">
        <v>46041</v>
      </c>
      <c r="I62">
        <v>8265.6461999999992</v>
      </c>
      <c r="J62" s="30">
        <v>747396.63938588242</v>
      </c>
    </row>
    <row r="63" spans="1:10" x14ac:dyDescent="0.3">
      <c r="H63" s="29">
        <v>46042</v>
      </c>
      <c r="I63">
        <v>8182.7521999999999</v>
      </c>
      <c r="J63" s="30">
        <v>748329.30981838133</v>
      </c>
    </row>
    <row r="64" spans="1:10" x14ac:dyDescent="0.3">
      <c r="H64" s="29">
        <v>46043</v>
      </c>
      <c r="I64">
        <v>8247.6797999999999</v>
      </c>
      <c r="J64" s="30">
        <v>749262.05243910477</v>
      </c>
    </row>
    <row r="65" spans="8:10" x14ac:dyDescent="0.3">
      <c r="H65" s="29">
        <v>46044</v>
      </c>
      <c r="I65">
        <v>8309.3456000000006</v>
      </c>
      <c r="J65" s="30">
        <v>750194.87198198761</v>
      </c>
    </row>
    <row r="66" spans="8:10" x14ac:dyDescent="0.3">
      <c r="H66" s="29">
        <v>46045</v>
      </c>
      <c r="I66">
        <v>8470.7438000000002</v>
      </c>
      <c r="J66" s="30">
        <v>751134.24657534249</v>
      </c>
    </row>
    <row r="67" spans="8:10" x14ac:dyDescent="0.3">
      <c r="H67" s="29">
        <v>46048</v>
      </c>
      <c r="I67">
        <v>8365.4344999999994</v>
      </c>
      <c r="J67" s="30">
        <v>751134.24657534249</v>
      </c>
    </row>
    <row r="68" spans="8:10" x14ac:dyDescent="0.3">
      <c r="H68" s="29">
        <v>46049</v>
      </c>
      <c r="I68">
        <v>8382.1532999999999</v>
      </c>
      <c r="J68" s="30">
        <v>751134.24657534249</v>
      </c>
    </row>
    <row r="70" spans="8:10" x14ac:dyDescent="0.3">
      <c r="H70" t="s">
        <v>66</v>
      </c>
    </row>
  </sheetData>
  <phoneticPr fontId="2" type="noConversion"/>
  <dataValidations count="3">
    <dataValidation type="list" showInputMessage="1" showErrorMessage="1" sqref="B5" xr:uid="{65E596A1-D587-438C-8514-DB511461EC2B}">
      <formula1>"000852.SH,000905.SH,000300.SH,000016.SH,513180.SH"</formula1>
    </dataValidation>
    <dataValidation type="list" showInputMessage="1" showErrorMessage="1" sqref="B15" xr:uid="{540DAEF4-58C5-4D02-AD5F-085F7561245F}">
      <formula1>"每日观察,到期观察"</formula1>
    </dataValidation>
    <dataValidation type="list" showInputMessage="1" showErrorMessage="1" sqref="B25" xr:uid="{A25F94A3-E51E-4053-BCE5-65D99F194757}">
      <formula1>"含头含尾,含头不含尾"</formula1>
    </dataValidation>
  </dataValidations>
  <pageMargins left="0.7" right="0.7" top="0.75" bottom="0.75" header="0.3" footer="0.3"/>
  <legacy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85A7B1B-E2E4-4D6F-ACCB-3FCF95E252CF}">
  <dimension ref="A1:J86"/>
  <sheetViews>
    <sheetView topLeftCell="A48" workbookViewId="0">
      <selection activeCell="J2" sqref="J2:J84"/>
    </sheetView>
  </sheetViews>
  <sheetFormatPr defaultColWidth="22.1328125" defaultRowHeight="13.5" x14ac:dyDescent="0.3"/>
  <cols>
    <col min="1" max="1" width="19.1328125" style="2" customWidth="1"/>
    <col min="2" max="2" width="22.1328125" style="1"/>
    <col min="3" max="3" width="22.1328125" style="21"/>
    <col min="4" max="6" width="22.1328125" style="3"/>
    <col min="7" max="7" width="22.1328125" style="2"/>
    <col min="8" max="8" width="11.59765625" bestFit="1" customWidth="1"/>
  </cols>
  <sheetData>
    <row r="1" spans="1:10" x14ac:dyDescent="0.3">
      <c r="A1" s="6" t="s">
        <v>6</v>
      </c>
      <c r="B1" s="9" t="s">
        <v>78</v>
      </c>
      <c r="C1" s="18" t="s">
        <v>55</v>
      </c>
      <c r="D1" s="22"/>
      <c r="E1" s="22" t="b">
        <f>(B15="每日观察")</f>
        <v>1</v>
      </c>
      <c r="F1" s="22"/>
      <c r="G1" s="7" t="b">
        <f>IF(B25="含头含尾",TRUE,FALSE)</f>
        <v>1</v>
      </c>
      <c r="I1" t="s">
        <v>30</v>
      </c>
    </row>
    <row r="2" spans="1:10" x14ac:dyDescent="0.3">
      <c r="A2" s="6" t="s">
        <v>5</v>
      </c>
      <c r="B2" s="10" t="str">
        <f>_xlfn.TEXTJOIN(,TRUE,IF(B13&gt;0,"增强型",""),IF(B15="每日观察","","欧式"),IF(AND(B21=B20,B20&lt;0.9),"不追保",""),IF(B16&lt;1,"OTM",""),"早利雪球")</f>
        <v>早利雪球</v>
      </c>
      <c r="C2" s="19" t="s">
        <v>1</v>
      </c>
      <c r="D2" s="23" t="s">
        <v>12</v>
      </c>
      <c r="E2" s="23" t="s">
        <v>54</v>
      </c>
      <c r="F2" s="23" t="s">
        <v>33</v>
      </c>
      <c r="G2" s="25"/>
      <c r="H2" s="29">
        <v>45923</v>
      </c>
      <c r="I2">
        <v>7408.0690999999997</v>
      </c>
      <c r="J2" cm="1">
        <f t="array" ref="J2">_xll.ValuateSnowball($C$1,$B$3,$B$7,_xlfn.ANCHORARRAY($C$3),_xlfn.ANCHORARRAY($D$3),_xlfn.ANCHORARRAY($F$3),$B$13,$B$19,$B$14,$B$16,$B$17,$B$20,$B$21,$B$23+$B$31,$B$22,$B$24,$G$1,$E$1,H2+0.625,I2,$B$34,$B$35,$B$36,FALSE,"NPV")*$B$6/$B$3</f>
        <v>-98.837647532567033</v>
      </c>
    </row>
    <row r="3" spans="1:10" x14ac:dyDescent="0.3">
      <c r="A3" s="6" t="s">
        <v>70</v>
      </c>
      <c r="B3" s="10">
        <v>7408.07</v>
      </c>
      <c r="C3" s="26" cm="1">
        <f t="array" ref="C3:C24">_xll.ScheduleDates(C1,B7,B8,"1M",B9,"MODIFIED_FOLLOWING")</f>
        <v>46014</v>
      </c>
      <c r="D3" s="27" cm="1">
        <f t="array" ref="D3:D24">_xll.GenerateBarriers(_xlfn.ANCHORARRAY(C3),B11,B12)</f>
        <v>1</v>
      </c>
      <c r="E3" s="27" cm="1">
        <f t="array" ref="E3:E24">_xll.GenerateBonusCoupons(C1,B7,_xlfn.ANCHORARRAY(C3),B10,-1,B18)</f>
        <v>-1</v>
      </c>
      <c r="F3" s="27" cm="1">
        <f t="array" ref="F3:F24">_xll.GenerateBonusCoupons(C1,B7,_xlfn.ANCHORARRAY(C3),B10,B29,B18)</f>
        <v>0.30230000000000001</v>
      </c>
      <c r="G3" s="25"/>
      <c r="H3" s="29">
        <v>45924</v>
      </c>
      <c r="I3">
        <v>7534.2223000000004</v>
      </c>
      <c r="J3">
        <v>151655.70859207385</v>
      </c>
    </row>
    <row r="4" spans="1:10" x14ac:dyDescent="0.3">
      <c r="A4" s="6" t="s">
        <v>71</v>
      </c>
      <c r="B4" s="31">
        <v>46050</v>
      </c>
      <c r="C4" s="20">
        <v>46045</v>
      </c>
      <c r="D4" s="24">
        <v>0.995</v>
      </c>
      <c r="E4" s="24">
        <v>-1</v>
      </c>
      <c r="F4" s="24">
        <v>0.30230000000000001</v>
      </c>
      <c r="G4" s="25"/>
      <c r="H4" s="29">
        <v>45925</v>
      </c>
      <c r="I4">
        <v>7506.5123999999996</v>
      </c>
      <c r="J4">
        <v>130086.40661069455</v>
      </c>
    </row>
    <row r="5" spans="1:10" x14ac:dyDescent="0.3">
      <c r="A5" s="6" t="s">
        <v>0</v>
      </c>
      <c r="B5" s="11" t="s">
        <v>3</v>
      </c>
      <c r="C5" s="20">
        <v>46077</v>
      </c>
      <c r="D5" s="24">
        <v>0.99</v>
      </c>
      <c r="E5" s="24">
        <v>-1</v>
      </c>
      <c r="F5" s="24">
        <v>0.30230000000000001</v>
      </c>
      <c r="G5" s="25"/>
      <c r="H5" s="29">
        <v>45926</v>
      </c>
      <c r="I5">
        <v>7397.5893999999998</v>
      </c>
      <c r="J5">
        <v>11797.671668672059</v>
      </c>
    </row>
    <row r="6" spans="1:10" x14ac:dyDescent="0.3">
      <c r="A6" s="6" t="s">
        <v>7</v>
      </c>
      <c r="B6" s="12">
        <v>10000000</v>
      </c>
      <c r="C6" s="20">
        <v>46104</v>
      </c>
      <c r="D6" s="24">
        <v>0.98499999999999999</v>
      </c>
      <c r="E6" s="24">
        <v>-1</v>
      </c>
      <c r="F6" s="24">
        <v>0.30230000000000001</v>
      </c>
      <c r="G6" s="25"/>
      <c r="H6" s="29">
        <v>45929</v>
      </c>
      <c r="I6">
        <v>7497.8307999999997</v>
      </c>
      <c r="J6">
        <v>136920.01333963074</v>
      </c>
    </row>
    <row r="7" spans="1:10" x14ac:dyDescent="0.3">
      <c r="A7" s="6" t="s">
        <v>8</v>
      </c>
      <c r="B7" s="13">
        <v>45923.625</v>
      </c>
      <c r="C7" s="20">
        <v>46135</v>
      </c>
      <c r="D7" s="24">
        <v>0.98</v>
      </c>
      <c r="E7" s="24">
        <v>-1</v>
      </c>
      <c r="F7" s="24">
        <v>0.30230000000000001</v>
      </c>
      <c r="G7" s="25"/>
      <c r="H7" s="29">
        <v>45930</v>
      </c>
      <c r="I7">
        <v>7574.9630999999999</v>
      </c>
      <c r="J7">
        <v>225181.46565062139</v>
      </c>
    </row>
    <row r="8" spans="1:10" x14ac:dyDescent="0.3">
      <c r="A8" s="6" t="s">
        <v>9</v>
      </c>
      <c r="B8" s="10" t="s">
        <v>10</v>
      </c>
      <c r="C8" s="20">
        <v>46167</v>
      </c>
      <c r="D8" s="24">
        <v>0.97499999999999998</v>
      </c>
      <c r="E8" s="24">
        <v>-1</v>
      </c>
      <c r="F8" s="24">
        <v>0.30230000000000001</v>
      </c>
      <c r="G8" s="25"/>
      <c r="H8" s="29">
        <v>45939</v>
      </c>
      <c r="I8">
        <v>7648.0523000000003</v>
      </c>
      <c r="J8">
        <v>301141.90132096037</v>
      </c>
    </row>
    <row r="9" spans="1:10" x14ac:dyDescent="0.3">
      <c r="A9" s="6" t="s">
        <v>11</v>
      </c>
      <c r="B9" s="10">
        <v>3</v>
      </c>
      <c r="C9" s="20">
        <v>46196</v>
      </c>
      <c r="D9" s="24">
        <v>0.97</v>
      </c>
      <c r="E9" s="24">
        <v>-1</v>
      </c>
      <c r="F9" s="24">
        <v>0.30230000000000001</v>
      </c>
      <c r="G9" s="25"/>
      <c r="H9" s="29">
        <v>45940</v>
      </c>
      <c r="I9">
        <v>7533.8200999999999</v>
      </c>
      <c r="J9">
        <v>199868.35405928659</v>
      </c>
    </row>
    <row r="10" spans="1:10" x14ac:dyDescent="0.3">
      <c r="A10" s="6" t="s">
        <v>56</v>
      </c>
      <c r="B10" s="10" t="s">
        <v>57</v>
      </c>
      <c r="C10" s="20">
        <v>46226</v>
      </c>
      <c r="D10" s="24">
        <v>0.96499999999999997</v>
      </c>
      <c r="E10" s="24">
        <v>-1</v>
      </c>
      <c r="F10" s="24">
        <v>0.30230000000000001</v>
      </c>
      <c r="G10" s="25"/>
      <c r="H10" s="29">
        <v>45943</v>
      </c>
      <c r="I10">
        <v>7519.7636000000002</v>
      </c>
      <c r="J10">
        <v>-98.837647532567033</v>
      </c>
    </row>
    <row r="11" spans="1:10" x14ac:dyDescent="0.3">
      <c r="A11" s="6" t="s">
        <v>12</v>
      </c>
      <c r="B11" s="14">
        <v>1</v>
      </c>
      <c r="C11" s="20">
        <v>46258</v>
      </c>
      <c r="D11" s="24">
        <v>0.96</v>
      </c>
      <c r="E11" s="24">
        <v>-1</v>
      </c>
      <c r="F11" s="24">
        <v>0.30230000000000001</v>
      </c>
      <c r="G11" s="25"/>
      <c r="H11" s="29">
        <v>45944</v>
      </c>
      <c r="I11">
        <v>7373.1522000000004</v>
      </c>
      <c r="J11">
        <v>32053.186448480621</v>
      </c>
    </row>
    <row r="12" spans="1:10" x14ac:dyDescent="0.3">
      <c r="A12" s="6" t="s">
        <v>13</v>
      </c>
      <c r="B12" s="14">
        <v>-5.0000000000000001E-3</v>
      </c>
      <c r="C12" s="20">
        <v>46288</v>
      </c>
      <c r="D12" s="24">
        <v>0.95499999999999996</v>
      </c>
      <c r="E12" s="24">
        <v>-1</v>
      </c>
      <c r="F12" s="24">
        <v>0.30230000000000001</v>
      </c>
      <c r="G12" s="25"/>
      <c r="H12" s="29">
        <v>45945</v>
      </c>
      <c r="I12">
        <v>7483.4489999999996</v>
      </c>
      <c r="J12">
        <v>171125.05979062471</v>
      </c>
    </row>
    <row r="13" spans="1:10" x14ac:dyDescent="0.3">
      <c r="A13" s="6" t="s">
        <v>14</v>
      </c>
      <c r="B13" s="14">
        <v>0</v>
      </c>
      <c r="C13" s="20">
        <v>46318</v>
      </c>
      <c r="D13" s="24">
        <v>0.95</v>
      </c>
      <c r="E13" s="24">
        <v>0.05</v>
      </c>
      <c r="F13" s="24">
        <v>0.05</v>
      </c>
      <c r="G13" s="25"/>
      <c r="H13" s="29">
        <v>45946</v>
      </c>
      <c r="I13">
        <v>7401.8374999999996</v>
      </c>
      <c r="J13">
        <v>85018.536576549421</v>
      </c>
    </row>
    <row r="14" spans="1:10" x14ac:dyDescent="0.3">
      <c r="A14" s="6" t="s">
        <v>2</v>
      </c>
      <c r="B14" s="14">
        <v>0.7</v>
      </c>
      <c r="C14" s="20">
        <v>46349</v>
      </c>
      <c r="D14" s="24">
        <v>0.94499999999999995</v>
      </c>
      <c r="E14" s="24">
        <v>0.05</v>
      </c>
      <c r="F14" s="24">
        <v>0.05</v>
      </c>
      <c r="G14" s="25"/>
      <c r="H14" s="29">
        <v>45947</v>
      </c>
      <c r="I14">
        <v>7185.4781000000003</v>
      </c>
      <c r="J14">
        <v>-205111.59350670359</v>
      </c>
    </row>
    <row r="15" spans="1:10" x14ac:dyDescent="0.3">
      <c r="A15" s="6" t="s">
        <v>15</v>
      </c>
      <c r="B15" s="11" t="s">
        <v>16</v>
      </c>
      <c r="C15" s="20">
        <v>46379</v>
      </c>
      <c r="D15" s="24">
        <v>0.94</v>
      </c>
      <c r="E15" s="24">
        <v>0.05</v>
      </c>
      <c r="F15" s="24">
        <v>0.05</v>
      </c>
      <c r="G15" s="25"/>
      <c r="H15" s="29">
        <v>45950</v>
      </c>
      <c r="I15">
        <v>7239.1845000000003</v>
      </c>
      <c r="J15">
        <v>-115777.65469150041</v>
      </c>
    </row>
    <row r="16" spans="1:10" x14ac:dyDescent="0.3">
      <c r="A16" s="6" t="s">
        <v>17</v>
      </c>
      <c r="B16" s="14">
        <v>1</v>
      </c>
      <c r="C16" s="20">
        <v>46412</v>
      </c>
      <c r="D16" s="24">
        <v>0.93500000000000005</v>
      </c>
      <c r="E16" s="24">
        <v>0.05</v>
      </c>
      <c r="F16" s="24">
        <v>0.05</v>
      </c>
      <c r="G16" s="25"/>
      <c r="H16" s="29">
        <v>45951</v>
      </c>
      <c r="I16">
        <v>7344.0468000000001</v>
      </c>
      <c r="J16">
        <v>38350.388895732096</v>
      </c>
    </row>
    <row r="17" spans="1:10" x14ac:dyDescent="0.3">
      <c r="A17" s="6" t="s">
        <v>18</v>
      </c>
      <c r="B17" s="14">
        <v>1</v>
      </c>
      <c r="C17" s="20">
        <v>46441</v>
      </c>
      <c r="D17" s="24">
        <v>0.92999999999999994</v>
      </c>
      <c r="E17" s="24">
        <v>0.05</v>
      </c>
      <c r="F17" s="24">
        <v>0.05</v>
      </c>
      <c r="G17" s="25"/>
      <c r="H17" s="29">
        <v>45952</v>
      </c>
      <c r="I17">
        <v>7312.21</v>
      </c>
      <c r="J17">
        <v>-98.837647532567033</v>
      </c>
    </row>
    <row r="18" spans="1:10" x14ac:dyDescent="0.3">
      <c r="A18" s="6" t="s">
        <v>58</v>
      </c>
      <c r="B18" s="14">
        <v>0.05</v>
      </c>
      <c r="C18" s="20">
        <v>46469</v>
      </c>
      <c r="D18" s="24">
        <v>0.92500000000000004</v>
      </c>
      <c r="E18" s="24">
        <v>0.05</v>
      </c>
      <c r="F18" s="24">
        <v>0.05</v>
      </c>
      <c r="G18" s="25"/>
      <c r="H18" s="29">
        <v>45953</v>
      </c>
      <c r="I18">
        <v>7308.0991999999997</v>
      </c>
      <c r="J18">
        <v>-98.837647532567033</v>
      </c>
    </row>
    <row r="19" spans="1:10" x14ac:dyDescent="0.3">
      <c r="A19" s="6" t="s">
        <v>19</v>
      </c>
      <c r="B19" s="14">
        <v>0.05</v>
      </c>
      <c r="C19" s="20">
        <v>46500</v>
      </c>
      <c r="D19" s="24">
        <v>0.92</v>
      </c>
      <c r="E19" s="24">
        <v>0.05</v>
      </c>
      <c r="F19" s="24">
        <v>0.05</v>
      </c>
      <c r="G19" s="25"/>
      <c r="H19" s="29">
        <v>45954</v>
      </c>
      <c r="I19">
        <v>7419.2352000000001</v>
      </c>
      <c r="J19">
        <v>158763.48643140349</v>
      </c>
    </row>
    <row r="20" spans="1:10" x14ac:dyDescent="0.3">
      <c r="A20" s="6" t="s">
        <v>20</v>
      </c>
      <c r="B20" s="14">
        <v>1</v>
      </c>
      <c r="C20" s="20">
        <v>46531</v>
      </c>
      <c r="D20" s="24">
        <v>0.91500000000000004</v>
      </c>
      <c r="E20" s="24">
        <v>0.05</v>
      </c>
      <c r="F20" s="24">
        <v>0.05</v>
      </c>
      <c r="G20" s="25"/>
      <c r="H20" s="29">
        <v>45957</v>
      </c>
      <c r="I20">
        <v>7495.3831</v>
      </c>
      <c r="J20">
        <v>253093.48002863739</v>
      </c>
    </row>
    <row r="21" spans="1:10" x14ac:dyDescent="0.3">
      <c r="A21" s="6" t="s">
        <v>21</v>
      </c>
      <c r="B21" s="14">
        <v>1</v>
      </c>
      <c r="C21" s="20">
        <v>46561</v>
      </c>
      <c r="D21" s="24">
        <v>0.91</v>
      </c>
      <c r="E21" s="24">
        <v>0.05</v>
      </c>
      <c r="F21" s="24">
        <v>0.05</v>
      </c>
      <c r="G21" s="25"/>
      <c r="H21" s="29">
        <v>45958</v>
      </c>
      <c r="I21">
        <v>7479.2209999999995</v>
      </c>
      <c r="J21">
        <v>244652.57801815731</v>
      </c>
    </row>
    <row r="22" spans="1:10" x14ac:dyDescent="0.3">
      <c r="A22" s="6" t="s">
        <v>22</v>
      </c>
      <c r="B22" s="14">
        <v>0</v>
      </c>
      <c r="C22" s="20">
        <v>46591</v>
      </c>
      <c r="D22" s="24">
        <v>0.90500000000000003</v>
      </c>
      <c r="E22" s="24">
        <v>0.05</v>
      </c>
      <c r="F22" s="24">
        <v>0.05</v>
      </c>
      <c r="G22" s="25"/>
      <c r="H22" s="29">
        <v>45959</v>
      </c>
      <c r="I22">
        <v>7569.1170000000002</v>
      </c>
      <c r="J22">
        <v>343973.78836844035</v>
      </c>
    </row>
    <row r="23" spans="1:10" x14ac:dyDescent="0.3">
      <c r="A23" s="6" t="s">
        <v>23</v>
      </c>
      <c r="B23" s="14">
        <v>0</v>
      </c>
      <c r="C23" s="20">
        <v>46622</v>
      </c>
      <c r="D23" s="24">
        <v>0.9</v>
      </c>
      <c r="E23" s="24">
        <v>0.05</v>
      </c>
      <c r="F23" s="24">
        <v>0.05</v>
      </c>
      <c r="G23" s="25"/>
      <c r="H23" s="29">
        <v>45960</v>
      </c>
      <c r="I23">
        <v>7485.0847999999996</v>
      </c>
      <c r="J23">
        <v>268862.12084229628</v>
      </c>
    </row>
    <row r="24" spans="1:10" x14ac:dyDescent="0.3">
      <c r="A24" s="6" t="s">
        <v>24</v>
      </c>
      <c r="B24" s="10">
        <v>0</v>
      </c>
      <c r="C24" s="20">
        <v>46653</v>
      </c>
      <c r="D24" s="24">
        <v>0.89500000000000002</v>
      </c>
      <c r="E24" s="24">
        <v>0.05</v>
      </c>
      <c r="F24" s="24">
        <v>0.05</v>
      </c>
      <c r="G24" s="25"/>
      <c r="H24" s="29">
        <v>45961</v>
      </c>
      <c r="I24">
        <v>7506.6746000000003</v>
      </c>
      <c r="J24">
        <v>300453.88891702989</v>
      </c>
    </row>
    <row r="25" spans="1:10" x14ac:dyDescent="0.3">
      <c r="A25" s="6" t="s">
        <v>25</v>
      </c>
      <c r="B25" s="11" t="s">
        <v>26</v>
      </c>
      <c r="C25" s="20"/>
      <c r="D25" s="24"/>
      <c r="E25" s="24"/>
      <c r="F25" s="24"/>
      <c r="G25" s="25"/>
      <c r="H25" s="29">
        <v>45964</v>
      </c>
      <c r="I25">
        <v>7538.1178</v>
      </c>
      <c r="J25">
        <v>340789.95656117232</v>
      </c>
    </row>
    <row r="26" spans="1:10" x14ac:dyDescent="0.3">
      <c r="A26" s="6" t="s">
        <v>27</v>
      </c>
      <c r="B26" s="14">
        <v>0</v>
      </c>
      <c r="C26" s="20"/>
      <c r="D26" s="24"/>
      <c r="E26" s="24"/>
      <c r="F26" s="24"/>
      <c r="G26" s="25"/>
      <c r="H26" s="29">
        <v>45965</v>
      </c>
      <c r="I26">
        <v>7435.7308000000003</v>
      </c>
      <c r="J26">
        <v>241906.46140667031</v>
      </c>
    </row>
    <row r="27" spans="1:10" x14ac:dyDescent="0.3">
      <c r="A27" s="6" t="s">
        <v>28</v>
      </c>
      <c r="B27" s="14" t="s">
        <v>29</v>
      </c>
      <c r="C27" s="20"/>
      <c r="D27" s="24"/>
      <c r="E27" s="24"/>
      <c r="F27" s="24"/>
      <c r="G27" s="25"/>
      <c r="H27" s="29">
        <v>45966</v>
      </c>
      <c r="I27">
        <v>7464.8631999999998</v>
      </c>
      <c r="J27">
        <v>283716.93037181598</v>
      </c>
    </row>
    <row r="28" spans="1:10" x14ac:dyDescent="0.3">
      <c r="A28" s="7"/>
      <c r="B28" s="14"/>
      <c r="C28" s="20"/>
      <c r="D28" s="24"/>
      <c r="E28" s="24"/>
      <c r="F28" s="24"/>
      <c r="G28" s="25"/>
      <c r="H28" s="29">
        <v>45967</v>
      </c>
      <c r="I28">
        <v>7551.8298999999997</v>
      </c>
      <c r="J28">
        <v>380747.95221574296</v>
      </c>
    </row>
    <row r="29" spans="1:10" x14ac:dyDescent="0.3">
      <c r="A29" s="6" t="s">
        <v>59</v>
      </c>
      <c r="B29" s="39">
        <v>0.30230000000000001</v>
      </c>
      <c r="C29" s="20"/>
      <c r="D29" s="24"/>
      <c r="E29" s="24"/>
      <c r="F29" s="24"/>
      <c r="G29" s="25"/>
      <c r="H29" s="29">
        <v>45968</v>
      </c>
      <c r="I29">
        <v>7541.8779999999997</v>
      </c>
      <c r="J29">
        <v>380488.05861371843</v>
      </c>
    </row>
    <row r="30" spans="1:10" x14ac:dyDescent="0.3">
      <c r="A30" s="7"/>
      <c r="B30" s="14"/>
      <c r="C30" s="20"/>
      <c r="D30" s="24"/>
      <c r="E30" s="24"/>
      <c r="F30" s="24"/>
      <c r="G30" s="25"/>
      <c r="H30" s="29">
        <v>45971</v>
      </c>
      <c r="I30">
        <v>7563.2534999999998</v>
      </c>
      <c r="J30">
        <v>409322.56211832963</v>
      </c>
    </row>
    <row r="31" spans="1:10" x14ac:dyDescent="0.3">
      <c r="A31" s="6" t="s">
        <v>34</v>
      </c>
      <c r="B31" s="37">
        <v>0</v>
      </c>
      <c r="C31" s="20"/>
      <c r="D31" s="24"/>
      <c r="E31" s="24"/>
      <c r="F31" s="24"/>
      <c r="G31" s="25"/>
      <c r="H31" s="29">
        <v>45972</v>
      </c>
      <c r="I31">
        <v>7540.7910000000002</v>
      </c>
      <c r="J31">
        <v>397892.89860795281</v>
      </c>
    </row>
    <row r="32" spans="1:10" x14ac:dyDescent="0.3">
      <c r="A32" s="6" t="s">
        <v>35</v>
      </c>
      <c r="B32" s="37" t="s">
        <v>36</v>
      </c>
      <c r="C32" s="20"/>
      <c r="D32" s="24"/>
      <c r="E32" s="24"/>
      <c r="F32" s="24"/>
      <c r="G32" s="25"/>
      <c r="H32" s="29">
        <v>45973</v>
      </c>
      <c r="I32">
        <v>7486.3765999999996</v>
      </c>
      <c r="J32">
        <v>353886.39754995145</v>
      </c>
    </row>
    <row r="33" spans="1:10" x14ac:dyDescent="0.3">
      <c r="A33" s="7"/>
      <c r="B33" s="37"/>
      <c r="C33" s="20"/>
      <c r="D33" s="24"/>
      <c r="E33" s="24"/>
      <c r="F33" s="24"/>
      <c r="G33" s="25"/>
      <c r="H33" s="29">
        <v>45974</v>
      </c>
      <c r="I33">
        <v>7590.5762999999997</v>
      </c>
      <c r="J33">
        <v>-98.837647532567033</v>
      </c>
    </row>
    <row r="34" spans="1:10" x14ac:dyDescent="0.3">
      <c r="A34" s="6" t="s">
        <v>37</v>
      </c>
      <c r="B34" s="38">
        <v>2.1000000000000001E-2</v>
      </c>
      <c r="C34" s="20"/>
      <c r="D34" s="24"/>
      <c r="E34" s="24"/>
      <c r="F34" s="24"/>
      <c r="G34" s="25"/>
      <c r="H34" s="29">
        <v>45975</v>
      </c>
      <c r="I34">
        <v>7502.7566999999999</v>
      </c>
      <c r="J34">
        <v>389777.65114116727</v>
      </c>
    </row>
    <row r="35" spans="1:10" x14ac:dyDescent="0.3">
      <c r="A35" s="6" t="s">
        <v>38</v>
      </c>
      <c r="B35" s="37">
        <v>-7.6929999999999998E-2</v>
      </c>
      <c r="C35" s="20"/>
      <c r="D35" s="24"/>
      <c r="E35" s="24"/>
      <c r="F35" s="24"/>
      <c r="G35" s="25"/>
      <c r="H35" s="29">
        <v>45978</v>
      </c>
      <c r="I35">
        <v>7523.0757999999996</v>
      </c>
      <c r="J35">
        <v>419146.18721511221</v>
      </c>
    </row>
    <row r="36" spans="1:10" x14ac:dyDescent="0.3">
      <c r="A36" s="6" t="s">
        <v>39</v>
      </c>
      <c r="B36" s="37">
        <v>0.17</v>
      </c>
      <c r="C36" s="20"/>
      <c r="D36" s="24"/>
      <c r="E36" s="24"/>
      <c r="F36" s="24"/>
      <c r="G36" s="25"/>
      <c r="H36" s="29">
        <v>45979</v>
      </c>
      <c r="I36">
        <v>7448.1007</v>
      </c>
      <c r="J36">
        <v>352807.23641771381</v>
      </c>
    </row>
    <row r="37" spans="1:10" x14ac:dyDescent="0.3">
      <c r="A37" s="7"/>
      <c r="B37" s="10"/>
      <c r="C37" s="20"/>
      <c r="D37" s="24"/>
      <c r="E37" s="24"/>
      <c r="F37" s="24"/>
      <c r="G37" s="25"/>
      <c r="H37" s="29">
        <v>45980</v>
      </c>
      <c r="I37">
        <v>7387.2084000000004</v>
      </c>
      <c r="J37">
        <v>293076.51277706306</v>
      </c>
    </row>
    <row r="38" spans="1:10" x14ac:dyDescent="0.3">
      <c r="A38" s="8" t="s">
        <v>40</v>
      </c>
      <c r="B38" s="10"/>
      <c r="C38" s="20"/>
      <c r="D38" s="24"/>
      <c r="E38" s="24"/>
      <c r="F38" s="24"/>
      <c r="G38" s="25"/>
      <c r="H38" s="29">
        <v>45981</v>
      </c>
      <c r="I38">
        <v>7340.4117999999999</v>
      </c>
      <c r="J38">
        <v>244640.99919596867</v>
      </c>
    </row>
    <row r="39" spans="1:10" x14ac:dyDescent="0.3">
      <c r="A39" s="6" t="s">
        <v>41</v>
      </c>
      <c r="B39" s="17">
        <f>B47*100</f>
        <v>90.784411263267202</v>
      </c>
      <c r="C39" s="20"/>
      <c r="D39" s="24"/>
      <c r="E39" s="24"/>
      <c r="F39" s="24"/>
      <c r="G39" s="25"/>
      <c r="H39" s="29">
        <v>45982</v>
      </c>
      <c r="I39">
        <v>7067.7030000000004</v>
      </c>
      <c r="J39">
        <v>-173210.53532536965</v>
      </c>
    </row>
    <row r="40" spans="1:10" x14ac:dyDescent="0.3">
      <c r="A40" s="6" t="s">
        <v>42</v>
      </c>
      <c r="B40" s="17">
        <f>B48*1%*100</f>
        <v>-7.4585669981352964</v>
      </c>
      <c r="C40" s="20"/>
      <c r="D40" s="24"/>
      <c r="E40" s="24"/>
      <c r="F40" s="24"/>
      <c r="G40" s="25"/>
      <c r="H40" s="29">
        <v>45985</v>
      </c>
      <c r="I40">
        <v>7156.4084999999995</v>
      </c>
      <c r="J40">
        <v>-8908.1786246327119</v>
      </c>
    </row>
    <row r="41" spans="1:10" x14ac:dyDescent="0.3">
      <c r="A41" s="6" t="s">
        <v>43</v>
      </c>
      <c r="B41" s="17">
        <f>B49*1%*100</f>
        <v>-0.46310037320511643</v>
      </c>
      <c r="C41" s="20"/>
      <c r="D41" s="24"/>
      <c r="E41" s="24"/>
      <c r="F41" s="24"/>
      <c r="G41" s="25"/>
      <c r="H41" s="29">
        <v>45986</v>
      </c>
      <c r="I41">
        <v>7249.9471000000003</v>
      </c>
      <c r="J41">
        <v>149725.22689642987</v>
      </c>
    </row>
    <row r="42" spans="1:10" x14ac:dyDescent="0.3">
      <c r="A42" s="6" t="s">
        <v>44</v>
      </c>
      <c r="B42" s="17">
        <f>B50*1/242*100</f>
        <v>8.2238438808479586E-2</v>
      </c>
      <c r="C42" s="20"/>
      <c r="D42" s="24"/>
      <c r="E42" s="24"/>
      <c r="F42" s="24"/>
      <c r="G42" s="25"/>
      <c r="H42" s="29">
        <v>45987</v>
      </c>
      <c r="I42">
        <v>7248.4489000000003</v>
      </c>
      <c r="J42">
        <v>158187.00625414238</v>
      </c>
    </row>
    <row r="43" spans="1:10" x14ac:dyDescent="0.3">
      <c r="A43" s="6" t="s">
        <v>45</v>
      </c>
      <c r="B43" s="17">
        <f>1%*B51*100</f>
        <v>-0.73213420350193292</v>
      </c>
      <c r="C43" s="20"/>
      <c r="D43" s="24"/>
      <c r="E43" s="24"/>
      <c r="F43" s="24"/>
      <c r="G43" s="25"/>
      <c r="H43" s="29">
        <v>45988</v>
      </c>
      <c r="I43">
        <v>7257.4539999999997</v>
      </c>
      <c r="J43">
        <v>182512.18344776423</v>
      </c>
    </row>
    <row r="44" spans="1:10" x14ac:dyDescent="0.3">
      <c r="A44" s="6" t="s">
        <v>46</v>
      </c>
      <c r="B44" s="17">
        <f>1%*B52*100</f>
        <v>-0.94327164330711977</v>
      </c>
      <c r="C44" s="20"/>
      <c r="D44" s="24"/>
      <c r="E44" s="24"/>
      <c r="F44" s="24"/>
      <c r="G44" s="25"/>
      <c r="H44" s="29">
        <v>45989</v>
      </c>
      <c r="I44">
        <v>7334.2097000000003</v>
      </c>
      <c r="J44">
        <v>301841.8797474177</v>
      </c>
    </row>
    <row r="45" spans="1:10" x14ac:dyDescent="0.3">
      <c r="A45" s="7"/>
      <c r="B45" s="17">
        <f>B46*B6</f>
        <v>-97.734987289932462</v>
      </c>
      <c r="C45" s="20"/>
      <c r="D45" s="24"/>
      <c r="E45" s="24"/>
      <c r="F45" s="24"/>
      <c r="G45" s="25"/>
      <c r="H45" s="29">
        <v>45992</v>
      </c>
      <c r="I45">
        <v>7386.6810999999998</v>
      </c>
      <c r="J45">
        <v>379679.0024438714</v>
      </c>
    </row>
    <row r="46" spans="1:10" x14ac:dyDescent="0.3">
      <c r="A46" s="6" t="s">
        <v>47</v>
      </c>
      <c r="B46" s="28" cm="1">
        <f t="array" ref="B46:B52">_xll.ValuateSnowball(C1,1,B7,_xlfn.ANCHORARRAY(C3),_xlfn.ANCHORARRAY(D3),_xlfn.ANCHORARRAY(F3),B13,B19,B14,B16,B17,B20,B21,B23+B31,B22,B24,G1,E1,B7,1,B34,B35,B36,FALSE,"ALL")</f>
        <v>-9.7734987289932462E-6</v>
      </c>
      <c r="C46" s="20"/>
      <c r="D46" s="24"/>
      <c r="E46" s="24"/>
      <c r="F46" s="24"/>
      <c r="G46" s="25"/>
      <c r="H46" s="29">
        <v>45993</v>
      </c>
      <c r="I46">
        <v>7313.1779999999999</v>
      </c>
      <c r="J46">
        <v>296191.44236464502</v>
      </c>
    </row>
    <row r="47" spans="1:10" x14ac:dyDescent="0.3">
      <c r="A47" s="6" t="s">
        <v>48</v>
      </c>
      <c r="B47" s="17">
        <v>0.90784411263267195</v>
      </c>
      <c r="C47" s="20"/>
      <c r="D47" s="24"/>
      <c r="E47" s="24"/>
      <c r="F47" s="24"/>
      <c r="G47" s="25"/>
      <c r="H47" s="29">
        <v>45994</v>
      </c>
      <c r="I47">
        <v>7248.2740000000003</v>
      </c>
      <c r="J47">
        <v>213047.60868255864</v>
      </c>
    </row>
    <row r="48" spans="1:10" x14ac:dyDescent="0.3">
      <c r="A48" s="6" t="s">
        <v>49</v>
      </c>
      <c r="B48" s="17">
        <v>-7.4585669981352964</v>
      </c>
      <c r="C48" s="20"/>
      <c r="D48" s="24"/>
      <c r="E48" s="24"/>
      <c r="F48" s="24"/>
      <c r="G48" s="25"/>
      <c r="H48" s="29">
        <v>45995</v>
      </c>
      <c r="I48">
        <v>7248.6572999999999</v>
      </c>
      <c r="J48">
        <v>224995.20532398127</v>
      </c>
    </row>
    <row r="49" spans="1:10" x14ac:dyDescent="0.3">
      <c r="A49" s="6" t="s">
        <v>50</v>
      </c>
      <c r="B49" s="17">
        <v>-0.46310037320511643</v>
      </c>
      <c r="C49" s="20"/>
      <c r="D49" s="24"/>
      <c r="E49" s="24"/>
      <c r="F49" s="24"/>
      <c r="G49" s="25"/>
      <c r="H49" s="29">
        <v>45996</v>
      </c>
      <c r="I49">
        <v>7342.4924000000001</v>
      </c>
      <c r="J49">
        <v>371468.24159967201</v>
      </c>
    </row>
    <row r="50" spans="1:10" x14ac:dyDescent="0.3">
      <c r="A50" s="6" t="s">
        <v>51</v>
      </c>
      <c r="B50" s="17">
        <v>0.1990170219165206</v>
      </c>
      <c r="C50" s="20"/>
      <c r="D50" s="24"/>
      <c r="E50" s="24"/>
      <c r="F50" s="24"/>
      <c r="G50" s="25"/>
      <c r="H50" s="29">
        <v>45999</v>
      </c>
      <c r="I50">
        <v>7423.0461999999998</v>
      </c>
      <c r="J50">
        <v>482106.03571407002</v>
      </c>
    </row>
    <row r="51" spans="1:10" x14ac:dyDescent="0.3">
      <c r="A51" s="6" t="s">
        <v>52</v>
      </c>
      <c r="B51" s="17">
        <v>-0.73213420350193292</v>
      </c>
      <c r="C51" s="20"/>
      <c r="D51" s="24"/>
      <c r="E51" s="24"/>
      <c r="F51" s="24"/>
      <c r="G51" s="25"/>
      <c r="H51" s="29">
        <v>46000</v>
      </c>
      <c r="I51">
        <v>7380.5834999999997</v>
      </c>
      <c r="J51">
        <v>445337.58462426765</v>
      </c>
    </row>
    <row r="52" spans="1:10" x14ac:dyDescent="0.3">
      <c r="A52" s="6" t="s">
        <v>53</v>
      </c>
      <c r="B52" s="17">
        <v>-0.94327164330711977</v>
      </c>
      <c r="C52" s="20"/>
      <c r="D52" s="24"/>
      <c r="E52" s="24"/>
      <c r="F52" s="24"/>
      <c r="G52" s="25"/>
      <c r="H52" s="29">
        <v>46001</v>
      </c>
      <c r="I52">
        <v>7408.2440999999999</v>
      </c>
      <c r="J52">
        <v>491533.16461245128</v>
      </c>
    </row>
    <row r="53" spans="1:10" x14ac:dyDescent="0.3">
      <c r="H53" s="29">
        <v>46002</v>
      </c>
      <c r="I53">
        <v>7311.9952000000003</v>
      </c>
      <c r="J53">
        <v>379744.82221637707</v>
      </c>
    </row>
    <row r="54" spans="1:10" x14ac:dyDescent="0.3">
      <c r="H54" s="29">
        <v>46003</v>
      </c>
      <c r="I54">
        <v>7370.9416000000001</v>
      </c>
      <c r="J54">
        <v>473620.44292652374</v>
      </c>
    </row>
    <row r="55" spans="1:10" x14ac:dyDescent="0.3">
      <c r="H55" s="29">
        <v>46006</v>
      </c>
      <c r="I55">
        <v>7309.0775000000003</v>
      </c>
      <c r="J55">
        <v>401512.60971013142</v>
      </c>
    </row>
    <row r="56" spans="1:10" x14ac:dyDescent="0.3">
      <c r="H56" s="29">
        <v>46007</v>
      </c>
      <c r="I56">
        <v>7181.62</v>
      </c>
      <c r="J56">
        <v>202751.64535969414</v>
      </c>
    </row>
    <row r="57" spans="1:10" x14ac:dyDescent="0.3">
      <c r="H57" s="29">
        <v>46008</v>
      </c>
      <c r="I57">
        <v>7288.7384000000002</v>
      </c>
      <c r="J57">
        <v>395713.42326929886</v>
      </c>
    </row>
    <row r="58" spans="1:10" x14ac:dyDescent="0.3">
      <c r="H58" s="29">
        <v>46009</v>
      </c>
      <c r="I58">
        <v>7272.4023999999999</v>
      </c>
      <c r="J58">
        <v>380272.57039412373</v>
      </c>
    </row>
    <row r="59" spans="1:10" x14ac:dyDescent="0.3">
      <c r="H59" s="29">
        <v>46010</v>
      </c>
      <c r="I59">
        <v>7329.8056999999999</v>
      </c>
      <c r="J59">
        <v>485933.87847087067</v>
      </c>
    </row>
    <row r="60" spans="1:10" x14ac:dyDescent="0.3">
      <c r="H60" s="29">
        <v>46013</v>
      </c>
      <c r="I60">
        <v>7408.3487999999998</v>
      </c>
      <c r="J60">
        <v>628395.31707796233</v>
      </c>
    </row>
    <row r="61" spans="1:10" x14ac:dyDescent="0.3">
      <c r="H61" s="29">
        <v>46014</v>
      </c>
      <c r="I61">
        <v>7392.4204</v>
      </c>
      <c r="J61">
        <v>572154.5423180745</v>
      </c>
    </row>
    <row r="62" spans="1:10" x14ac:dyDescent="0.3">
      <c r="H62" s="29">
        <v>46015</v>
      </c>
      <c r="I62">
        <v>7506.3814000000002</v>
      </c>
      <c r="J62">
        <v>714195.91946841893</v>
      </c>
    </row>
    <row r="63" spans="1:10" x14ac:dyDescent="0.3">
      <c r="H63" s="29">
        <v>46016</v>
      </c>
      <c r="I63">
        <v>7579.3791000000001</v>
      </c>
      <c r="J63">
        <v>791729.27218475984</v>
      </c>
    </row>
    <row r="64" spans="1:10" x14ac:dyDescent="0.3">
      <c r="H64" s="29">
        <v>46017</v>
      </c>
      <c r="I64">
        <v>7605.5299000000005</v>
      </c>
      <c r="J64">
        <v>822909.50146769651</v>
      </c>
    </row>
    <row r="65" spans="8:10" x14ac:dyDescent="0.3">
      <c r="H65" s="29">
        <v>46020</v>
      </c>
      <c r="I65">
        <v>7594.1575000000003</v>
      </c>
      <c r="J65">
        <v>825167.72502237163</v>
      </c>
    </row>
    <row r="66" spans="8:10" x14ac:dyDescent="0.3">
      <c r="H66" s="29">
        <v>46021</v>
      </c>
      <c r="I66">
        <v>7597.299</v>
      </c>
      <c r="J66">
        <v>838503.88683643192</v>
      </c>
    </row>
    <row r="67" spans="8:10" x14ac:dyDescent="0.3">
      <c r="H67" s="29">
        <v>46022</v>
      </c>
      <c r="I67">
        <v>7595.2844999999998</v>
      </c>
      <c r="J67">
        <v>848136.19388746296</v>
      </c>
    </row>
    <row r="68" spans="8:10" x14ac:dyDescent="0.3">
      <c r="H68" s="29">
        <v>46027</v>
      </c>
      <c r="I68">
        <v>7753.88</v>
      </c>
      <c r="J68">
        <v>942665.95126241702</v>
      </c>
    </row>
    <row r="69" spans="8:10" x14ac:dyDescent="0.3">
      <c r="H69" s="29">
        <v>46028</v>
      </c>
      <c r="I69">
        <v>7864.9034000000001</v>
      </c>
      <c r="J69">
        <v>979411.26798252086</v>
      </c>
    </row>
    <row r="70" spans="8:10" x14ac:dyDescent="0.3">
      <c r="H70" s="29">
        <v>46029</v>
      </c>
      <c r="I70">
        <v>7906.4197000000004</v>
      </c>
      <c r="J70">
        <v>990847.02899519738</v>
      </c>
    </row>
    <row r="71" spans="8:10" x14ac:dyDescent="0.3">
      <c r="H71" s="29">
        <v>46030</v>
      </c>
      <c r="I71">
        <v>7971.5887000000002</v>
      </c>
      <c r="J71">
        <v>1000744.9354366857</v>
      </c>
    </row>
    <row r="72" spans="8:10" x14ac:dyDescent="0.3">
      <c r="H72" s="29">
        <v>46031</v>
      </c>
      <c r="I72">
        <v>8129.1831000000002</v>
      </c>
      <c r="J72">
        <v>1008089.5003067781</v>
      </c>
    </row>
    <row r="73" spans="8:10" x14ac:dyDescent="0.3">
      <c r="H73" s="29">
        <v>46034</v>
      </c>
      <c r="I73">
        <v>8357.0107000000007</v>
      </c>
      <c r="J73">
        <v>1010072.9911167729</v>
      </c>
    </row>
    <row r="74" spans="8:10" x14ac:dyDescent="0.3">
      <c r="H74" s="29">
        <v>46035</v>
      </c>
      <c r="I74">
        <v>8203.1327000000001</v>
      </c>
      <c r="J74">
        <v>1010943.3554392507</v>
      </c>
    </row>
    <row r="75" spans="8:10" x14ac:dyDescent="0.3">
      <c r="H75" s="29">
        <v>46036</v>
      </c>
      <c r="I75">
        <v>8257.1715999999997</v>
      </c>
      <c r="J75">
        <v>1011994.4329237654</v>
      </c>
    </row>
    <row r="76" spans="8:10" x14ac:dyDescent="0.3">
      <c r="H76" s="29">
        <v>46037</v>
      </c>
      <c r="I76">
        <v>8240.7751000000007</v>
      </c>
      <c r="J76">
        <v>1012962.6555267996</v>
      </c>
    </row>
    <row r="77" spans="8:10" x14ac:dyDescent="0.3">
      <c r="H77" s="29">
        <v>46038</v>
      </c>
      <c r="I77">
        <v>8232.7293000000009</v>
      </c>
      <c r="J77">
        <v>1013922.1871289888</v>
      </c>
    </row>
    <row r="78" spans="8:10" x14ac:dyDescent="0.3">
      <c r="H78" s="29">
        <v>46041</v>
      </c>
      <c r="I78">
        <v>8265.6461999999992</v>
      </c>
      <c r="J78">
        <v>1014878.9865140446</v>
      </c>
    </row>
    <row r="79" spans="8:10" x14ac:dyDescent="0.3">
      <c r="H79" s="29">
        <v>46042</v>
      </c>
      <c r="I79">
        <v>8182.7521999999999</v>
      </c>
      <c r="J79">
        <v>1015835.1129446211</v>
      </c>
    </row>
    <row r="80" spans="8:10" x14ac:dyDescent="0.3">
      <c r="H80" s="29">
        <v>46043</v>
      </c>
      <c r="I80">
        <v>8247.6797999999999</v>
      </c>
      <c r="J80">
        <v>1016792.057188531</v>
      </c>
    </row>
    <row r="81" spans="8:10" x14ac:dyDescent="0.3">
      <c r="H81" s="29">
        <v>46044</v>
      </c>
      <c r="I81">
        <v>8309.3456000000006</v>
      </c>
      <c r="J81">
        <v>1017747.0649919953</v>
      </c>
    </row>
    <row r="82" spans="8:10" x14ac:dyDescent="0.3">
      <c r="H82" s="29">
        <v>46045</v>
      </c>
      <c r="I82">
        <v>8470.7438000000002</v>
      </c>
      <c r="J82">
        <v>1018709.5890410959</v>
      </c>
    </row>
    <row r="83" spans="8:10" x14ac:dyDescent="0.3">
      <c r="H83" s="29">
        <v>46048</v>
      </c>
      <c r="I83">
        <v>8365.4344999999994</v>
      </c>
      <c r="J83">
        <v>1018709.5890410959</v>
      </c>
    </row>
    <row r="84" spans="8:10" x14ac:dyDescent="0.3">
      <c r="H84" s="29">
        <v>46049</v>
      </c>
      <c r="I84">
        <v>8382.1532999999999</v>
      </c>
      <c r="J84">
        <v>1018709.5890410959</v>
      </c>
    </row>
    <row r="86" spans="8:10" x14ac:dyDescent="0.3">
      <c r="H86" t="s">
        <v>66</v>
      </c>
    </row>
  </sheetData>
  <phoneticPr fontId="2" type="noConversion"/>
  <dataValidations count="3">
    <dataValidation type="list" showInputMessage="1" showErrorMessage="1" sqref="B5" xr:uid="{80303656-432A-4611-B10D-D5F85F74EE71}">
      <formula1>"000852.SH,000905.SH,000300.SH,000016.SH,513180.SH"</formula1>
    </dataValidation>
    <dataValidation type="list" showInputMessage="1" showErrorMessage="1" sqref="B15" xr:uid="{AF9CDF76-258F-4FBA-99BB-94E656B8DB87}">
      <formula1>"每日观察,到期观察"</formula1>
    </dataValidation>
    <dataValidation type="list" showInputMessage="1" showErrorMessage="1" sqref="B25" xr:uid="{9F55E07C-BCF2-4BCA-A0EE-7D3195BEF822}">
      <formula1>"含头含尾,含头不含尾"</formula1>
    </dataValidation>
  </dataValidations>
  <pageMargins left="0.7" right="0.7" top="0.75" bottom="0.75" header="0.3" footer="0.3"/>
  <legacy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1FA89D7-97E5-4BB8-95C7-2A91AB101126}">
  <dimension ref="A1:L109"/>
  <sheetViews>
    <sheetView topLeftCell="D1" workbookViewId="0">
      <selection activeCell="G82" sqref="G82"/>
    </sheetView>
  </sheetViews>
  <sheetFormatPr defaultColWidth="22.1328125" defaultRowHeight="13.5" x14ac:dyDescent="0.3"/>
  <cols>
    <col min="1" max="1" width="19.1328125" style="2" customWidth="1"/>
    <col min="2" max="2" width="22.1328125" style="1"/>
    <col min="3" max="3" width="22.1328125" style="21"/>
    <col min="4" max="5" width="22.1328125" style="3"/>
    <col min="6" max="6" width="22.1328125" style="21"/>
    <col min="7" max="7" width="22.1328125" style="3"/>
    <col min="8" max="8" width="11.59765625" bestFit="1" customWidth="1"/>
  </cols>
  <sheetData>
    <row r="1" spans="1:12" x14ac:dyDescent="0.3">
      <c r="A1" s="6" t="s">
        <v>6</v>
      </c>
      <c r="B1" s="9" t="s">
        <v>77</v>
      </c>
      <c r="C1" s="18" t="s">
        <v>55</v>
      </c>
      <c r="D1" s="22" t="s">
        <v>65</v>
      </c>
      <c r="E1" s="22"/>
      <c r="F1" s="18"/>
      <c r="G1" s="22" t="b">
        <f>(B14="每日观察")</f>
        <v>1</v>
      </c>
      <c r="I1" t="s">
        <v>30</v>
      </c>
    </row>
    <row r="2" spans="1:12" x14ac:dyDescent="0.3">
      <c r="A2" s="6" t="s">
        <v>5</v>
      </c>
      <c r="B2" s="10" t="str">
        <f>_xlfn.TEXTJOIN(,TRUE,IF(AND(B18=B17,B17&lt;0.9),"不追保",""),IF(B15&lt;1,"OTM",""),IF(AND(B12=0,B14="到期观察"),"FCN",IF(B14="到期观察","DCN","凤凰")))</f>
        <v>凤凰</v>
      </c>
      <c r="C2" s="19" t="s">
        <v>62</v>
      </c>
      <c r="D2" s="23" t="s">
        <v>63</v>
      </c>
      <c r="E2" s="23" t="s">
        <v>64</v>
      </c>
      <c r="F2" s="19" t="s">
        <v>1</v>
      </c>
      <c r="G2" s="23" t="s">
        <v>12</v>
      </c>
      <c r="H2" s="29">
        <v>45890</v>
      </c>
      <c r="I2">
        <v>7253.3428999999996</v>
      </c>
      <c r="J2" cm="1">
        <f t="array" ref="J2">_xll.ValuatePhoenix($C$1,$D$1,$B$3,$B$7,_xlfn.ANCHORARRAY($C$3),_xlfn.ANCHORARRAY($E$3),_xlfn.ANCHORARRAY($F$3),_xlfn.ANCHORARRAY($G$3),$B$12,$B$13,$G$1,$B$15,$B$16,$B$18,$B$17,$B$19,$B$20+$B$26,H2+0.625,I2,$B$29,$B$30,$B$31,FALSE,"NPV")* $B$6/$B$3</f>
        <v>-58776.537970189864</v>
      </c>
      <c r="K2">
        <v>0</v>
      </c>
      <c r="L2">
        <f>K2+J2</f>
        <v>-58776.537970189864</v>
      </c>
    </row>
    <row r="3" spans="1:12" x14ac:dyDescent="0.3">
      <c r="A3" s="6" t="s">
        <v>70</v>
      </c>
      <c r="B3" s="10">
        <v>7353.81</v>
      </c>
      <c r="C3" s="26" cm="1">
        <f t="array" ref="C3:C26">_xll.ScheduleDates(C1,B7,B8,"1M",1,"MODIFIED_FOLLOWING")</f>
        <v>45922</v>
      </c>
      <c r="D3" s="27" cm="1">
        <f t="array" ref="D3:D26">IF(_xlfn.ANCHORARRAY(C3),-1,)</f>
        <v>-1</v>
      </c>
      <c r="E3" s="27" cm="1">
        <f t="array" ref="E3:E26">IF(_xlfn.ANCHORARRAY(C3),B24,)</f>
        <v>8.6E-3</v>
      </c>
      <c r="F3" s="26" cm="1">
        <f t="array" ref="F3:F24">_xll.ScheduleDates(C1,B7,B8,"1M",B9,"MODIFIED_FOLLOWING")</f>
        <v>45982</v>
      </c>
      <c r="G3" s="27" cm="1">
        <f t="array" ref="G3:G24">_xll.GenerateBarriers(_xlfn.ANCHORARRAY(F3),B10,B11)</f>
        <v>1</v>
      </c>
      <c r="H3" s="29">
        <v>45891</v>
      </c>
      <c r="I3">
        <v>7362.9395999999997</v>
      </c>
      <c r="J3">
        <v>8575.2793523338387</v>
      </c>
      <c r="K3">
        <v>0</v>
      </c>
      <c r="L3">
        <v>8575.2793523338387</v>
      </c>
    </row>
    <row r="4" spans="1:12" x14ac:dyDescent="0.3">
      <c r="A4" s="6" t="s">
        <v>71</v>
      </c>
      <c r="B4" s="31">
        <v>46050</v>
      </c>
      <c r="C4" s="20">
        <v>45951</v>
      </c>
      <c r="D4" s="24">
        <v>-1</v>
      </c>
      <c r="E4" s="24">
        <v>8.6E-3</v>
      </c>
      <c r="F4" s="20">
        <v>46013</v>
      </c>
      <c r="G4" s="24">
        <v>0.995</v>
      </c>
      <c r="H4" s="29">
        <v>45894</v>
      </c>
      <c r="I4">
        <v>7477.7280000000001</v>
      </c>
      <c r="J4">
        <v>64831.0803515921</v>
      </c>
      <c r="K4">
        <v>0</v>
      </c>
      <c r="L4">
        <v>64831.0803515921</v>
      </c>
    </row>
    <row r="5" spans="1:12" x14ac:dyDescent="0.3">
      <c r="A5" s="6" t="s">
        <v>0</v>
      </c>
      <c r="B5" s="11" t="s">
        <v>30</v>
      </c>
      <c r="C5" s="20">
        <v>45982</v>
      </c>
      <c r="D5" s="24">
        <v>-1</v>
      </c>
      <c r="E5" s="24">
        <v>8.6E-3</v>
      </c>
      <c r="F5" s="20">
        <v>46043</v>
      </c>
      <c r="G5" s="24">
        <v>0.99</v>
      </c>
      <c r="H5" s="29">
        <v>45895</v>
      </c>
      <c r="I5">
        <v>7476.4672</v>
      </c>
      <c r="J5">
        <v>67824.272373099971</v>
      </c>
      <c r="K5">
        <v>0</v>
      </c>
      <c r="L5">
        <v>67824.272373099971</v>
      </c>
    </row>
    <row r="6" spans="1:12" x14ac:dyDescent="0.3">
      <c r="A6" s="6" t="s">
        <v>7</v>
      </c>
      <c r="B6" s="12">
        <v>10000000</v>
      </c>
      <c r="C6" s="20">
        <v>46013</v>
      </c>
      <c r="D6" s="24">
        <v>-1</v>
      </c>
      <c r="E6" s="24">
        <v>8.6E-3</v>
      </c>
      <c r="F6" s="20">
        <v>46077</v>
      </c>
      <c r="G6" s="24">
        <v>0.98499999999999999</v>
      </c>
      <c r="H6" s="29">
        <v>45896</v>
      </c>
      <c r="I6">
        <v>7336.5036</v>
      </c>
      <c r="J6">
        <v>6545.7704040664548</v>
      </c>
      <c r="K6">
        <v>0</v>
      </c>
      <c r="L6">
        <v>6545.7704040664548</v>
      </c>
    </row>
    <row r="7" spans="1:12" x14ac:dyDescent="0.3">
      <c r="A7" s="6" t="s">
        <v>8</v>
      </c>
      <c r="B7" s="13">
        <v>45890.625</v>
      </c>
      <c r="C7" s="20">
        <v>46043</v>
      </c>
      <c r="D7" s="24">
        <v>-1</v>
      </c>
      <c r="E7" s="24">
        <v>8.6E-3</v>
      </c>
      <c r="F7" s="20">
        <v>46104</v>
      </c>
      <c r="G7" s="24">
        <v>0.98</v>
      </c>
      <c r="H7" s="29">
        <v>45897</v>
      </c>
      <c r="I7">
        <v>7447.1100999999999</v>
      </c>
      <c r="J7">
        <v>62924.533988112504</v>
      </c>
      <c r="K7">
        <v>0</v>
      </c>
      <c r="L7">
        <v>62924.533988112504</v>
      </c>
    </row>
    <row r="8" spans="1:12" x14ac:dyDescent="0.3">
      <c r="A8" s="6" t="s">
        <v>9</v>
      </c>
      <c r="B8" s="10" t="s">
        <v>10</v>
      </c>
      <c r="C8" s="20">
        <v>46077</v>
      </c>
      <c r="D8" s="24">
        <v>-1</v>
      </c>
      <c r="E8" s="24">
        <v>8.6E-3</v>
      </c>
      <c r="F8" s="20">
        <v>46133</v>
      </c>
      <c r="G8" s="24">
        <v>0.97499999999999998</v>
      </c>
      <c r="H8" s="29">
        <v>45898</v>
      </c>
      <c r="I8">
        <v>7438.6767</v>
      </c>
      <c r="J8">
        <v>62981.696647958102</v>
      </c>
      <c r="K8">
        <v>0</v>
      </c>
      <c r="L8">
        <v>62981.696647958102</v>
      </c>
    </row>
    <row r="9" spans="1:12" x14ac:dyDescent="0.3">
      <c r="A9" s="6" t="s">
        <v>11</v>
      </c>
      <c r="B9" s="10">
        <v>3</v>
      </c>
      <c r="C9" s="20">
        <v>46104</v>
      </c>
      <c r="D9" s="24">
        <v>-1</v>
      </c>
      <c r="E9" s="24">
        <v>8.6E-3</v>
      </c>
      <c r="F9" s="20">
        <v>46163</v>
      </c>
      <c r="G9" s="24">
        <v>0.97</v>
      </c>
      <c r="H9" s="29">
        <v>45901</v>
      </c>
      <c r="I9">
        <v>7501.1482999999998</v>
      </c>
      <c r="J9">
        <v>91028.117359654934</v>
      </c>
      <c r="K9">
        <v>0</v>
      </c>
      <c r="L9">
        <v>91028.117359654934</v>
      </c>
    </row>
    <row r="10" spans="1:12" x14ac:dyDescent="0.3">
      <c r="A10" s="6" t="s">
        <v>12</v>
      </c>
      <c r="B10" s="14">
        <v>1</v>
      </c>
      <c r="C10" s="20">
        <v>46133</v>
      </c>
      <c r="D10" s="24">
        <v>-1</v>
      </c>
      <c r="E10" s="24">
        <v>8.6E-3</v>
      </c>
      <c r="F10" s="20">
        <v>46195</v>
      </c>
      <c r="G10" s="24">
        <v>0.96499999999999997</v>
      </c>
      <c r="H10" s="29">
        <v>45902</v>
      </c>
      <c r="I10">
        <v>7313.8824000000004</v>
      </c>
      <c r="J10">
        <v>10461.886371034218</v>
      </c>
      <c r="K10">
        <v>0</v>
      </c>
      <c r="L10">
        <v>10461.886371034218</v>
      </c>
    </row>
    <row r="11" spans="1:12" x14ac:dyDescent="0.3">
      <c r="A11" s="6" t="s">
        <v>13</v>
      </c>
      <c r="B11" s="14">
        <v>-5.0000000000000001E-3</v>
      </c>
      <c r="C11" s="20">
        <v>46163</v>
      </c>
      <c r="D11" s="24">
        <v>-1</v>
      </c>
      <c r="E11" s="24">
        <v>8.6E-3</v>
      </c>
      <c r="F11" s="20">
        <v>46224</v>
      </c>
      <c r="G11" s="24">
        <v>0.96</v>
      </c>
      <c r="H11" s="29">
        <v>45903</v>
      </c>
      <c r="I11">
        <v>7206.8757999999998</v>
      </c>
      <c r="J11">
        <v>-50075.573230045615</v>
      </c>
      <c r="K11">
        <v>0</v>
      </c>
      <c r="L11">
        <v>-50075.573230045615</v>
      </c>
    </row>
    <row r="12" spans="1:12" x14ac:dyDescent="0.3">
      <c r="A12" s="6" t="s">
        <v>60</v>
      </c>
      <c r="B12" s="14">
        <v>0.8</v>
      </c>
      <c r="C12" s="20">
        <v>46195</v>
      </c>
      <c r="D12" s="24">
        <v>-1</v>
      </c>
      <c r="E12" s="24">
        <v>8.6E-3</v>
      </c>
      <c r="F12" s="20">
        <v>46255</v>
      </c>
      <c r="G12" s="24">
        <v>0.95499999999999996</v>
      </c>
      <c r="H12" s="29">
        <v>45904</v>
      </c>
      <c r="I12">
        <v>7041.1544000000004</v>
      </c>
      <c r="J12">
        <v>-173769.49297960813</v>
      </c>
      <c r="K12">
        <v>0</v>
      </c>
      <c r="L12">
        <v>-173769.49297960813</v>
      </c>
    </row>
    <row r="13" spans="1:12" x14ac:dyDescent="0.3">
      <c r="A13" s="6" t="s">
        <v>2</v>
      </c>
      <c r="B13" s="14">
        <v>0.75</v>
      </c>
      <c r="C13" s="20">
        <v>46224</v>
      </c>
      <c r="D13" s="24">
        <v>-1</v>
      </c>
      <c r="E13" s="24">
        <v>8.6E-3</v>
      </c>
      <c r="F13" s="20">
        <v>46286</v>
      </c>
      <c r="G13" s="24">
        <v>0.95</v>
      </c>
      <c r="H13" s="29">
        <v>45905</v>
      </c>
      <c r="I13">
        <v>7245.6670000000004</v>
      </c>
      <c r="J13">
        <v>-16458.487317304076</v>
      </c>
      <c r="K13">
        <v>0</v>
      </c>
      <c r="L13">
        <v>-16458.487317304076</v>
      </c>
    </row>
    <row r="14" spans="1:12" x14ac:dyDescent="0.3">
      <c r="A14" s="6" t="s">
        <v>15</v>
      </c>
      <c r="B14" s="15" t="s">
        <v>16</v>
      </c>
      <c r="C14" s="20">
        <v>46255</v>
      </c>
      <c r="D14" s="24">
        <v>-1</v>
      </c>
      <c r="E14" s="24">
        <v>8.6E-3</v>
      </c>
      <c r="F14" s="20">
        <v>46316</v>
      </c>
      <c r="G14" s="24">
        <v>0.94499999999999995</v>
      </c>
      <c r="H14" s="29">
        <v>45908</v>
      </c>
      <c r="I14">
        <v>7311.0343000000003</v>
      </c>
      <c r="J14">
        <v>25255.862631891912</v>
      </c>
      <c r="K14">
        <v>0</v>
      </c>
      <c r="L14">
        <v>25255.862631891912</v>
      </c>
    </row>
    <row r="15" spans="1:12" x14ac:dyDescent="0.3">
      <c r="A15" s="6" t="s">
        <v>17</v>
      </c>
      <c r="B15" s="14">
        <v>1</v>
      </c>
      <c r="C15" s="20">
        <v>46286</v>
      </c>
      <c r="D15" s="24">
        <v>-1</v>
      </c>
      <c r="E15" s="24">
        <v>8.6E-3</v>
      </c>
      <c r="F15" s="20">
        <v>46349</v>
      </c>
      <c r="G15" s="24">
        <v>0.94</v>
      </c>
      <c r="H15" s="29">
        <v>45909</v>
      </c>
      <c r="I15">
        <v>7226.0276999999996</v>
      </c>
      <c r="J15">
        <v>-20014.647441274592</v>
      </c>
      <c r="K15">
        <v>0</v>
      </c>
      <c r="L15">
        <v>-20014.647441274592</v>
      </c>
    </row>
    <row r="16" spans="1:12" x14ac:dyDescent="0.3">
      <c r="A16" s="6" t="s">
        <v>18</v>
      </c>
      <c r="B16" s="14">
        <v>1</v>
      </c>
      <c r="C16" s="20">
        <v>46316</v>
      </c>
      <c r="D16" s="24">
        <v>-1</v>
      </c>
      <c r="E16" s="24">
        <v>8.6E-3</v>
      </c>
      <c r="F16" s="20">
        <v>46377</v>
      </c>
      <c r="G16" s="24">
        <v>0.93500000000000005</v>
      </c>
      <c r="H16" s="29">
        <v>45910</v>
      </c>
      <c r="I16">
        <v>7230.1678000000002</v>
      </c>
      <c r="J16">
        <v>-13030.762668171592</v>
      </c>
      <c r="K16">
        <v>0</v>
      </c>
      <c r="L16">
        <v>-13030.762668171592</v>
      </c>
    </row>
    <row r="17" spans="1:12" x14ac:dyDescent="0.3">
      <c r="A17" s="6" t="s">
        <v>20</v>
      </c>
      <c r="B17" s="14">
        <v>1</v>
      </c>
      <c r="C17" s="20">
        <v>46349</v>
      </c>
      <c r="D17" s="24">
        <v>-1</v>
      </c>
      <c r="E17" s="24">
        <v>8.6E-3</v>
      </c>
      <c r="F17" s="20">
        <v>46408</v>
      </c>
      <c r="G17" s="24">
        <v>0.92999999999999994</v>
      </c>
      <c r="H17" s="29">
        <v>45911</v>
      </c>
      <c r="I17">
        <v>7399.8854000000001</v>
      </c>
      <c r="J17">
        <v>79700.939715924003</v>
      </c>
      <c r="K17">
        <v>0</v>
      </c>
      <c r="L17">
        <v>79700.939715924003</v>
      </c>
    </row>
    <row r="18" spans="1:12" x14ac:dyDescent="0.3">
      <c r="A18" s="6" t="s">
        <v>21</v>
      </c>
      <c r="B18" s="14">
        <v>1</v>
      </c>
      <c r="C18" s="20">
        <v>46377</v>
      </c>
      <c r="D18" s="24">
        <v>-1</v>
      </c>
      <c r="E18" s="24">
        <v>8.6E-3</v>
      </c>
      <c r="F18" s="20">
        <v>46440</v>
      </c>
      <c r="G18" s="24">
        <v>0.92500000000000004</v>
      </c>
      <c r="H18" s="29">
        <v>45912</v>
      </c>
      <c r="I18">
        <v>7422.8843999999999</v>
      </c>
      <c r="J18">
        <v>92939.78803234869</v>
      </c>
      <c r="K18">
        <v>0</v>
      </c>
      <c r="L18">
        <v>92939.78803234869</v>
      </c>
    </row>
    <row r="19" spans="1:12" x14ac:dyDescent="0.3">
      <c r="A19" s="6" t="s">
        <v>22</v>
      </c>
      <c r="B19" s="14">
        <v>0</v>
      </c>
      <c r="C19" s="20">
        <v>46408</v>
      </c>
      <c r="D19" s="24">
        <v>-1</v>
      </c>
      <c r="E19" s="24">
        <v>8.6E-3</v>
      </c>
      <c r="F19" s="20">
        <v>46468</v>
      </c>
      <c r="G19" s="24">
        <v>0.92</v>
      </c>
      <c r="H19" s="29">
        <v>45915</v>
      </c>
      <c r="I19">
        <v>7415.5711000000001</v>
      </c>
      <c r="J19">
        <v>93682.312967253238</v>
      </c>
      <c r="K19">
        <v>0</v>
      </c>
      <c r="L19">
        <v>93682.312967253238</v>
      </c>
    </row>
    <row r="20" spans="1:12" x14ac:dyDescent="0.3">
      <c r="A20" s="6" t="s">
        <v>23</v>
      </c>
      <c r="B20" s="14">
        <v>0</v>
      </c>
      <c r="C20" s="20">
        <v>46440</v>
      </c>
      <c r="D20" s="24">
        <v>-1</v>
      </c>
      <c r="E20" s="24">
        <v>8.6E-3</v>
      </c>
      <c r="F20" s="20">
        <v>46498</v>
      </c>
      <c r="G20" s="24">
        <v>0.91500000000000004</v>
      </c>
      <c r="H20" s="29">
        <v>45916</v>
      </c>
      <c r="I20">
        <v>7483.6282000000001</v>
      </c>
      <c r="J20">
        <v>122339.54562541343</v>
      </c>
      <c r="K20">
        <v>0</v>
      </c>
      <c r="L20">
        <v>122339.54562541343</v>
      </c>
    </row>
    <row r="21" spans="1:12" x14ac:dyDescent="0.3">
      <c r="A21" s="6" t="s">
        <v>27</v>
      </c>
      <c r="B21" s="14">
        <v>0</v>
      </c>
      <c r="C21" s="20">
        <v>46468</v>
      </c>
      <c r="D21" s="24">
        <v>-1</v>
      </c>
      <c r="E21" s="24">
        <v>8.6E-3</v>
      </c>
      <c r="F21" s="20">
        <v>46528</v>
      </c>
      <c r="G21" s="24">
        <v>0.91</v>
      </c>
      <c r="H21" s="29">
        <v>45917</v>
      </c>
      <c r="I21">
        <v>7554.8125</v>
      </c>
      <c r="J21">
        <v>147143.23689462154</v>
      </c>
      <c r="K21">
        <v>0</v>
      </c>
      <c r="L21">
        <v>147143.23689462154</v>
      </c>
    </row>
    <row r="22" spans="1:12" x14ac:dyDescent="0.3">
      <c r="A22" s="6" t="s">
        <v>28</v>
      </c>
      <c r="B22" s="10" t="s">
        <v>29</v>
      </c>
      <c r="C22" s="20">
        <v>46498</v>
      </c>
      <c r="D22" s="24">
        <v>-1</v>
      </c>
      <c r="E22" s="24">
        <v>8.6E-3</v>
      </c>
      <c r="F22" s="20">
        <v>46559</v>
      </c>
      <c r="G22" s="24">
        <v>0.90500000000000003</v>
      </c>
      <c r="H22" s="29">
        <v>45918</v>
      </c>
      <c r="I22">
        <v>7476.402</v>
      </c>
      <c r="J22">
        <v>126775.60293457843</v>
      </c>
      <c r="K22">
        <v>0</v>
      </c>
      <c r="L22">
        <v>126775.60293457843</v>
      </c>
    </row>
    <row r="23" spans="1:12" x14ac:dyDescent="0.3">
      <c r="A23" s="7"/>
      <c r="B23" s="10">
        <f>B24*B6</f>
        <v>86000</v>
      </c>
      <c r="C23" s="20">
        <v>46528</v>
      </c>
      <c r="D23" s="24">
        <v>-1</v>
      </c>
      <c r="E23" s="24">
        <v>8.6E-3</v>
      </c>
      <c r="F23" s="20">
        <v>46589</v>
      </c>
      <c r="G23" s="24">
        <v>0.9</v>
      </c>
      <c r="H23" s="29">
        <v>45919</v>
      </c>
      <c r="I23">
        <v>7438.1886999999997</v>
      </c>
      <c r="J23">
        <v>116964.60386107882</v>
      </c>
      <c r="K23">
        <v>0</v>
      </c>
      <c r="L23">
        <v>116964.60386107882</v>
      </c>
    </row>
    <row r="24" spans="1:12" x14ac:dyDescent="0.3">
      <c r="A24" s="6" t="s">
        <v>61</v>
      </c>
      <c r="B24" s="32">
        <v>8.6E-3</v>
      </c>
      <c r="C24" s="20">
        <v>46559</v>
      </c>
      <c r="D24" s="24">
        <v>-1</v>
      </c>
      <c r="E24" s="24">
        <v>8.6E-3</v>
      </c>
      <c r="F24" s="20">
        <v>46622</v>
      </c>
      <c r="G24" s="24">
        <v>0.89500000000000002</v>
      </c>
      <c r="H24" s="29">
        <v>45922</v>
      </c>
      <c r="I24">
        <v>7489.4784</v>
      </c>
      <c r="J24">
        <v>137823.86432891258</v>
      </c>
      <c r="K24">
        <v>0</v>
      </c>
      <c r="L24">
        <v>137823.86432891258</v>
      </c>
    </row>
    <row r="25" spans="1:12" x14ac:dyDescent="0.3">
      <c r="A25" s="7"/>
      <c r="B25" s="10"/>
      <c r="C25" s="20">
        <v>46589</v>
      </c>
      <c r="D25" s="24">
        <v>-1</v>
      </c>
      <c r="E25" s="24">
        <v>8.6E-3</v>
      </c>
      <c r="F25" s="20"/>
      <c r="G25" s="24"/>
      <c r="H25" s="29">
        <v>45923</v>
      </c>
      <c r="I25">
        <v>7408.0690999999997</v>
      </c>
      <c r="J25">
        <v>26964.035407414653</v>
      </c>
      <c r="K25">
        <v>86000</v>
      </c>
      <c r="L25">
        <v>112964.03540741466</v>
      </c>
    </row>
    <row r="26" spans="1:12" x14ac:dyDescent="0.3">
      <c r="A26" s="6" t="s">
        <v>34</v>
      </c>
      <c r="B26" s="14">
        <v>0</v>
      </c>
      <c r="C26" s="20">
        <v>46622</v>
      </c>
      <c r="D26" s="24">
        <v>-1</v>
      </c>
      <c r="E26" s="24">
        <v>8.6E-3</v>
      </c>
      <c r="F26" s="20"/>
      <c r="G26" s="24"/>
      <c r="H26" s="29">
        <v>45924</v>
      </c>
      <c r="I26">
        <v>7534.2223000000004</v>
      </c>
      <c r="J26">
        <v>71282.353382555448</v>
      </c>
      <c r="K26">
        <v>86000</v>
      </c>
      <c r="L26">
        <v>157282.35338255545</v>
      </c>
    </row>
    <row r="27" spans="1:12" x14ac:dyDescent="0.3">
      <c r="A27" s="6" t="s">
        <v>35</v>
      </c>
      <c r="B27" s="14" t="s">
        <v>36</v>
      </c>
      <c r="C27" s="20"/>
      <c r="D27" s="24"/>
      <c r="E27" s="24"/>
      <c r="F27" s="20"/>
      <c r="G27" s="24"/>
      <c r="H27" s="29">
        <v>45925</v>
      </c>
      <c r="I27">
        <v>7506.5123999999996</v>
      </c>
      <c r="J27">
        <v>66868.283455099794</v>
      </c>
      <c r="K27">
        <v>86000</v>
      </c>
      <c r="L27">
        <v>152868.28345509979</v>
      </c>
    </row>
    <row r="28" spans="1:12" x14ac:dyDescent="0.3">
      <c r="A28" s="7"/>
      <c r="B28" s="14"/>
      <c r="C28" s="20"/>
      <c r="D28" s="24"/>
      <c r="E28" s="24"/>
      <c r="F28" s="20"/>
      <c r="G28" s="24"/>
      <c r="H28" s="29">
        <v>45926</v>
      </c>
      <c r="I28">
        <v>7397.5893999999998</v>
      </c>
      <c r="J28">
        <v>34114.864341914552</v>
      </c>
      <c r="K28">
        <v>86000</v>
      </c>
      <c r="L28">
        <v>120114.86434191455</v>
      </c>
    </row>
    <row r="29" spans="1:12" x14ac:dyDescent="0.3">
      <c r="A29" s="6" t="s">
        <v>37</v>
      </c>
      <c r="B29" s="16">
        <v>2.1000000000000001E-2</v>
      </c>
      <c r="C29" s="20"/>
      <c r="D29" s="24"/>
      <c r="E29" s="24"/>
      <c r="F29" s="20"/>
      <c r="G29" s="24"/>
      <c r="H29" s="29">
        <v>45929</v>
      </c>
      <c r="I29">
        <v>7497.8307999999997</v>
      </c>
      <c r="J29">
        <v>70964.359821873673</v>
      </c>
      <c r="K29">
        <v>86000</v>
      </c>
      <c r="L29">
        <v>156964.35982187366</v>
      </c>
    </row>
    <row r="30" spans="1:12" x14ac:dyDescent="0.3">
      <c r="A30" s="6" t="s">
        <v>38</v>
      </c>
      <c r="B30" s="14">
        <v>-4.7849999999999997E-2</v>
      </c>
      <c r="C30" s="20"/>
      <c r="D30" s="24"/>
      <c r="E30" s="24"/>
      <c r="F30" s="20"/>
      <c r="G30" s="24"/>
      <c r="H30" s="29">
        <v>45930</v>
      </c>
      <c r="I30">
        <v>7574.9630999999999</v>
      </c>
      <c r="J30">
        <v>93252.004255548905</v>
      </c>
      <c r="K30">
        <v>86000</v>
      </c>
      <c r="L30">
        <v>179252.00425554891</v>
      </c>
    </row>
    <row r="31" spans="1:12" x14ac:dyDescent="0.3">
      <c r="A31" s="6" t="s">
        <v>39</v>
      </c>
      <c r="B31" s="14">
        <v>0.14000000000000001</v>
      </c>
      <c r="C31" s="20"/>
      <c r="D31" s="24"/>
      <c r="E31" s="24"/>
      <c r="F31" s="20"/>
      <c r="G31" s="24"/>
      <c r="H31" s="29">
        <v>45939</v>
      </c>
      <c r="I31">
        <v>7648.0523000000003</v>
      </c>
      <c r="J31">
        <v>109735.890595303</v>
      </c>
      <c r="K31">
        <v>86000</v>
      </c>
      <c r="L31">
        <v>195735.890595303</v>
      </c>
    </row>
    <row r="32" spans="1:12" x14ac:dyDescent="0.3">
      <c r="A32" s="7"/>
      <c r="B32" s="10"/>
      <c r="C32" s="20"/>
      <c r="D32" s="24"/>
      <c r="E32" s="24"/>
      <c r="F32" s="20"/>
      <c r="G32" s="24"/>
      <c r="H32" s="29">
        <v>45940</v>
      </c>
      <c r="I32">
        <v>7533.8200999999999</v>
      </c>
      <c r="J32">
        <v>89927.564870484304</v>
      </c>
      <c r="K32">
        <v>86000</v>
      </c>
      <c r="L32">
        <v>175927.56487048429</v>
      </c>
    </row>
    <row r="33" spans="1:12" x14ac:dyDescent="0.3">
      <c r="A33" s="8" t="s">
        <v>40</v>
      </c>
      <c r="B33" s="10"/>
      <c r="C33" s="20"/>
      <c r="D33" s="24"/>
      <c r="E33" s="24"/>
      <c r="F33" s="20"/>
      <c r="G33" s="24"/>
      <c r="H33" s="29">
        <v>45943</v>
      </c>
      <c r="I33">
        <v>7519.7636000000002</v>
      </c>
      <c r="J33">
        <v>89689.998460460833</v>
      </c>
      <c r="K33">
        <v>86000</v>
      </c>
      <c r="L33">
        <v>175689.99846046083</v>
      </c>
    </row>
    <row r="34" spans="1:12" x14ac:dyDescent="0.3">
      <c r="A34" s="6" t="s">
        <v>41</v>
      </c>
      <c r="B34" s="17">
        <f>B42*100</f>
        <v>38.94869874277007</v>
      </c>
      <c r="C34" s="20"/>
      <c r="D34" s="24"/>
      <c r="E34" s="24"/>
      <c r="F34" s="20"/>
      <c r="G34" s="24"/>
      <c r="H34" s="29">
        <v>45944</v>
      </c>
      <c r="I34">
        <v>7373.1522000000004</v>
      </c>
      <c r="J34">
        <v>47635.742126976977</v>
      </c>
      <c r="K34">
        <v>86000</v>
      </c>
      <c r="L34">
        <v>133635.74212697698</v>
      </c>
    </row>
    <row r="35" spans="1:12" x14ac:dyDescent="0.3">
      <c r="A35" s="6" t="s">
        <v>42</v>
      </c>
      <c r="B35" s="17">
        <f>B43*1%*100</f>
        <v>-5.6756418057002378</v>
      </c>
      <c r="C35" s="20"/>
      <c r="D35" s="24"/>
      <c r="E35" s="24"/>
      <c r="F35" s="20"/>
      <c r="G35" s="24"/>
      <c r="H35" s="29">
        <v>45945</v>
      </c>
      <c r="I35">
        <v>7483.4489999999996</v>
      </c>
      <c r="J35">
        <v>86900.141320813462</v>
      </c>
      <c r="K35">
        <v>86000</v>
      </c>
      <c r="L35">
        <v>172900.14132081345</v>
      </c>
    </row>
    <row r="36" spans="1:12" x14ac:dyDescent="0.3">
      <c r="A36" s="6" t="s">
        <v>43</v>
      </c>
      <c r="B36" s="17">
        <f>B44*1%*100</f>
        <v>-0.55231880021526791</v>
      </c>
      <c r="C36" s="20"/>
      <c r="D36" s="24"/>
      <c r="E36" s="24"/>
      <c r="F36" s="20"/>
      <c r="G36" s="24"/>
      <c r="H36" s="29">
        <v>45946</v>
      </c>
      <c r="I36">
        <v>7401.8374999999996</v>
      </c>
      <c r="J36">
        <v>65670.680995635717</v>
      </c>
      <c r="K36">
        <v>86000</v>
      </c>
      <c r="L36">
        <v>151670.68099563572</v>
      </c>
    </row>
    <row r="37" spans="1:12" x14ac:dyDescent="0.3">
      <c r="A37" s="6" t="s">
        <v>44</v>
      </c>
      <c r="B37" s="17">
        <f>B45*1/242*100</f>
        <v>3.926674967759114E-2</v>
      </c>
      <c r="C37" s="20"/>
      <c r="D37" s="24"/>
      <c r="E37" s="24"/>
      <c r="F37" s="20"/>
      <c r="G37" s="24"/>
      <c r="H37" s="29">
        <v>45947</v>
      </c>
      <c r="I37">
        <v>7185.4781000000003</v>
      </c>
      <c r="J37">
        <v>-31719.532079797205</v>
      </c>
      <c r="K37">
        <v>86000</v>
      </c>
      <c r="L37">
        <v>54280.467920202791</v>
      </c>
    </row>
    <row r="38" spans="1:12" x14ac:dyDescent="0.3">
      <c r="A38" s="6" t="s">
        <v>45</v>
      </c>
      <c r="B38" s="17">
        <f>1%*B46*100</f>
        <v>-0.69061149898789198</v>
      </c>
      <c r="C38" s="20"/>
      <c r="D38" s="24"/>
      <c r="E38" s="24"/>
      <c r="F38" s="20"/>
      <c r="G38" s="24"/>
      <c r="H38" s="29">
        <v>45950</v>
      </c>
      <c r="I38">
        <v>7239.1845000000003</v>
      </c>
      <c r="J38">
        <v>3516.7270590901144</v>
      </c>
      <c r="K38">
        <v>86000</v>
      </c>
      <c r="L38">
        <v>89516.727059090117</v>
      </c>
    </row>
    <row r="39" spans="1:12" x14ac:dyDescent="0.3">
      <c r="A39" s="6" t="s">
        <v>46</v>
      </c>
      <c r="B39" s="17">
        <f>1%*B47*100</f>
        <v>-0.55439186688907016</v>
      </c>
      <c r="C39" s="20"/>
      <c r="D39" s="24"/>
      <c r="E39" s="24"/>
      <c r="F39" s="20"/>
      <c r="G39" s="24"/>
      <c r="H39" s="29">
        <v>45951</v>
      </c>
      <c r="I39">
        <v>7344.0468000000001</v>
      </c>
      <c r="J39">
        <v>56202.281004379336</v>
      </c>
      <c r="K39">
        <v>86000</v>
      </c>
      <c r="L39">
        <v>142202.28100437933</v>
      </c>
    </row>
    <row r="40" spans="1:12" x14ac:dyDescent="0.3">
      <c r="A40" s="7"/>
      <c r="B40" s="17">
        <f>B41*B6</f>
        <v>-104.72824062524033</v>
      </c>
      <c r="C40" s="20"/>
      <c r="D40" s="24"/>
      <c r="E40" s="24"/>
      <c r="F40" s="20"/>
      <c r="G40" s="24"/>
      <c r="H40" s="29">
        <v>45952</v>
      </c>
      <c r="I40">
        <v>7312.21</v>
      </c>
      <c r="J40">
        <v>-38741.404252031214</v>
      </c>
      <c r="K40">
        <f t="shared" ref="K40:K60" si="0">86000*2</f>
        <v>172000</v>
      </c>
      <c r="L40">
        <v>133258.59574796879</v>
      </c>
    </row>
    <row r="41" spans="1:12" x14ac:dyDescent="0.3">
      <c r="A41" s="6" t="s">
        <v>47</v>
      </c>
      <c r="B41" s="40" cm="1">
        <f t="array" ref="B41:B47">_xll.ValuatePhoenix(C1,D1,1,B7,_xlfn.ANCHORARRAY(C3),_xlfn.ANCHORARRAY(E3),_xlfn.ANCHORARRAY(F3),_xlfn.ANCHORARRAY(G3),B12,B13,G1,B15,B16,B18,B17,B19,B20+B26,B7,1,B29,B30,B31,FALSE,"ALL")</f>
        <v>-1.0472824062524033E-5</v>
      </c>
      <c r="C41" s="20"/>
      <c r="D41" s="24"/>
      <c r="E41" s="24"/>
      <c r="F41" s="20"/>
      <c r="G41" s="24"/>
      <c r="H41" s="29">
        <v>45953</v>
      </c>
      <c r="I41">
        <v>7308.0991999999997</v>
      </c>
      <c r="J41">
        <v>-36267.933548083289</v>
      </c>
      <c r="K41">
        <f t="shared" si="0"/>
        <v>172000</v>
      </c>
      <c r="L41">
        <v>135732.0664519167</v>
      </c>
    </row>
    <row r="42" spans="1:12" x14ac:dyDescent="0.3">
      <c r="A42" s="6" t="s">
        <v>48</v>
      </c>
      <c r="B42" s="17">
        <v>0.38948698742770071</v>
      </c>
      <c r="C42" s="20"/>
      <c r="D42" s="24"/>
      <c r="E42" s="24"/>
      <c r="F42" s="20"/>
      <c r="G42" s="24"/>
      <c r="H42" s="29">
        <v>45954</v>
      </c>
      <c r="I42">
        <v>7419.2352000000001</v>
      </c>
      <c r="J42">
        <v>7491.9712930308888</v>
      </c>
      <c r="K42">
        <f t="shared" si="0"/>
        <v>172000</v>
      </c>
      <c r="L42">
        <v>179491.97129303089</v>
      </c>
    </row>
    <row r="43" spans="1:12" x14ac:dyDescent="0.3">
      <c r="A43" s="6" t="s">
        <v>49</v>
      </c>
      <c r="B43" s="17">
        <v>-5.6756418057002378</v>
      </c>
      <c r="C43" s="20"/>
      <c r="D43" s="24"/>
      <c r="E43" s="24"/>
      <c r="F43" s="20"/>
      <c r="G43" s="24"/>
      <c r="H43" s="29">
        <v>45957</v>
      </c>
      <c r="I43">
        <v>7495.3831</v>
      </c>
      <c r="J43">
        <v>29997.08696696745</v>
      </c>
      <c r="K43">
        <f t="shared" si="0"/>
        <v>172000</v>
      </c>
      <c r="L43">
        <v>201997.08696696744</v>
      </c>
    </row>
    <row r="44" spans="1:12" x14ac:dyDescent="0.3">
      <c r="A44" s="6" t="s">
        <v>50</v>
      </c>
      <c r="B44" s="17">
        <v>-0.55231880021526791</v>
      </c>
      <c r="C44" s="20"/>
      <c r="D44" s="24"/>
      <c r="E44" s="24"/>
      <c r="F44" s="20"/>
      <c r="G44" s="24"/>
      <c r="H44" s="29">
        <v>45958</v>
      </c>
      <c r="I44">
        <v>7479.2209999999995</v>
      </c>
      <c r="J44">
        <v>29781.427521271573</v>
      </c>
      <c r="K44">
        <f t="shared" si="0"/>
        <v>172000</v>
      </c>
      <c r="L44">
        <v>201781.42752127157</v>
      </c>
    </row>
    <row r="45" spans="1:12" x14ac:dyDescent="0.3">
      <c r="A45" s="6" t="s">
        <v>51</v>
      </c>
      <c r="B45" s="17">
        <v>9.5025534219770558E-2</v>
      </c>
      <c r="C45" s="20"/>
      <c r="D45" s="24"/>
      <c r="E45" s="24"/>
      <c r="F45" s="20"/>
      <c r="G45" s="24"/>
      <c r="H45" s="29">
        <v>45959</v>
      </c>
      <c r="I45">
        <v>7569.1170000000002</v>
      </c>
      <c r="J45">
        <v>48770.746030357011</v>
      </c>
      <c r="K45">
        <f t="shared" si="0"/>
        <v>172000</v>
      </c>
      <c r="L45">
        <v>220770.74603035703</v>
      </c>
    </row>
    <row r="46" spans="1:12" x14ac:dyDescent="0.3">
      <c r="A46" s="6" t="s">
        <v>52</v>
      </c>
      <c r="B46" s="17">
        <v>-0.69061149898789198</v>
      </c>
      <c r="C46" s="20"/>
      <c r="D46" s="24"/>
      <c r="E46" s="24"/>
      <c r="F46" s="20"/>
      <c r="G46" s="24"/>
      <c r="H46" s="29">
        <v>45960</v>
      </c>
      <c r="I46">
        <v>7485.0847999999996</v>
      </c>
      <c r="J46">
        <v>37581.370887059544</v>
      </c>
      <c r="K46">
        <f t="shared" si="0"/>
        <v>172000</v>
      </c>
      <c r="L46">
        <v>209581.37088705954</v>
      </c>
    </row>
    <row r="47" spans="1:12" x14ac:dyDescent="0.3">
      <c r="A47" s="6" t="s">
        <v>53</v>
      </c>
      <c r="B47" s="17">
        <v>-0.55439186688907016</v>
      </c>
      <c r="C47" s="20"/>
      <c r="D47" s="24"/>
      <c r="E47" s="24"/>
      <c r="F47" s="20"/>
      <c r="G47" s="24"/>
      <c r="H47" s="29">
        <v>45961</v>
      </c>
      <c r="I47">
        <v>7506.6746000000003</v>
      </c>
      <c r="J47">
        <v>44825.49625337356</v>
      </c>
      <c r="K47">
        <f t="shared" si="0"/>
        <v>172000</v>
      </c>
      <c r="L47">
        <v>216825.49625337357</v>
      </c>
    </row>
    <row r="48" spans="1:12" x14ac:dyDescent="0.3">
      <c r="A48" s="25"/>
      <c r="B48" s="10"/>
      <c r="C48" s="20"/>
      <c r="D48" s="24"/>
      <c r="E48" s="24"/>
      <c r="F48" s="20"/>
      <c r="G48" s="24"/>
      <c r="H48" s="29">
        <v>45964</v>
      </c>
      <c r="I48">
        <v>7538.1178</v>
      </c>
      <c r="J48">
        <v>52785.905802868612</v>
      </c>
      <c r="K48">
        <f t="shared" si="0"/>
        <v>172000</v>
      </c>
      <c r="L48">
        <v>224785.9058028686</v>
      </c>
    </row>
    <row r="49" spans="1:12" x14ac:dyDescent="0.3">
      <c r="A49" s="25"/>
      <c r="B49" s="10"/>
      <c r="C49" s="20"/>
      <c r="D49" s="24"/>
      <c r="E49" s="24"/>
      <c r="F49" s="20"/>
      <c r="G49" s="24"/>
      <c r="H49" s="29">
        <v>45965</v>
      </c>
      <c r="I49">
        <v>7435.7308000000003</v>
      </c>
      <c r="J49">
        <v>37305.792171123903</v>
      </c>
      <c r="K49">
        <f t="shared" si="0"/>
        <v>172000</v>
      </c>
      <c r="L49">
        <v>209305.7921711239</v>
      </c>
    </row>
    <row r="50" spans="1:12" x14ac:dyDescent="0.3">
      <c r="A50" s="25"/>
      <c r="B50" s="10"/>
      <c r="C50" s="20"/>
      <c r="D50" s="24"/>
      <c r="E50" s="24"/>
      <c r="F50" s="20"/>
      <c r="G50" s="24"/>
      <c r="H50" s="29">
        <v>45966</v>
      </c>
      <c r="I50">
        <v>7464.8631999999998</v>
      </c>
      <c r="J50">
        <v>46937.167198629526</v>
      </c>
      <c r="K50">
        <f t="shared" si="0"/>
        <v>172000</v>
      </c>
      <c r="L50">
        <v>218937.16719862953</v>
      </c>
    </row>
    <row r="51" spans="1:12" x14ac:dyDescent="0.3">
      <c r="H51" s="29">
        <v>45967</v>
      </c>
      <c r="I51">
        <v>7551.8298999999997</v>
      </c>
      <c r="J51">
        <v>62843.278188462318</v>
      </c>
      <c r="K51">
        <f t="shared" si="0"/>
        <v>172000</v>
      </c>
      <c r="L51">
        <v>234843.27818846231</v>
      </c>
    </row>
    <row r="52" spans="1:12" x14ac:dyDescent="0.3">
      <c r="H52" s="29">
        <v>45968</v>
      </c>
      <c r="I52">
        <v>7541.8779999999997</v>
      </c>
      <c r="J52">
        <v>64476.378943224758</v>
      </c>
      <c r="K52">
        <f t="shared" si="0"/>
        <v>172000</v>
      </c>
      <c r="L52">
        <v>236476.37894322476</v>
      </c>
    </row>
    <row r="53" spans="1:12" x14ac:dyDescent="0.3">
      <c r="H53" s="29">
        <v>45971</v>
      </c>
      <c r="I53">
        <v>7563.2534999999998</v>
      </c>
      <c r="J53">
        <v>69133.151518463201</v>
      </c>
      <c r="K53">
        <f t="shared" si="0"/>
        <v>172000</v>
      </c>
      <c r="L53">
        <v>241133.15151846322</v>
      </c>
    </row>
    <row r="54" spans="1:12" x14ac:dyDescent="0.3">
      <c r="H54" s="29">
        <v>45972</v>
      </c>
      <c r="I54">
        <v>7540.7910000000002</v>
      </c>
      <c r="J54">
        <v>69759.230190889255</v>
      </c>
      <c r="K54">
        <f t="shared" si="0"/>
        <v>172000</v>
      </c>
      <c r="L54">
        <v>241759.23019088927</v>
      </c>
    </row>
    <row r="55" spans="1:12" x14ac:dyDescent="0.3">
      <c r="H55" s="29">
        <v>45973</v>
      </c>
      <c r="I55">
        <v>7486.3765999999996</v>
      </c>
      <c r="J55">
        <v>66902.253287896441</v>
      </c>
      <c r="K55">
        <f t="shared" si="0"/>
        <v>172000</v>
      </c>
      <c r="L55">
        <v>238902.25328789646</v>
      </c>
    </row>
    <row r="56" spans="1:12" x14ac:dyDescent="0.3">
      <c r="H56" s="29">
        <v>45974</v>
      </c>
      <c r="I56">
        <v>7590.5762999999997</v>
      </c>
      <c r="J56">
        <v>77605.069880550524</v>
      </c>
      <c r="K56">
        <f t="shared" si="0"/>
        <v>172000</v>
      </c>
      <c r="L56">
        <v>249605.06988055052</v>
      </c>
    </row>
    <row r="57" spans="1:12" x14ac:dyDescent="0.3">
      <c r="H57" s="29">
        <v>45975</v>
      </c>
      <c r="I57">
        <v>7502.7566999999999</v>
      </c>
      <c r="J57">
        <v>74751.192147441077</v>
      </c>
      <c r="K57">
        <f t="shared" si="0"/>
        <v>172000</v>
      </c>
      <c r="L57">
        <v>246751.19214744109</v>
      </c>
    </row>
    <row r="58" spans="1:12" x14ac:dyDescent="0.3">
      <c r="H58" s="29">
        <v>45978</v>
      </c>
      <c r="I58">
        <v>7523.0757999999996</v>
      </c>
      <c r="J58">
        <v>78879.318680650264</v>
      </c>
      <c r="K58">
        <f t="shared" si="0"/>
        <v>172000</v>
      </c>
      <c r="L58">
        <v>250879.31868065026</v>
      </c>
    </row>
    <row r="59" spans="1:12" x14ac:dyDescent="0.3">
      <c r="H59" s="29">
        <v>45979</v>
      </c>
      <c r="I59">
        <v>7448.1007</v>
      </c>
      <c r="J59">
        <v>76191.226003575153</v>
      </c>
      <c r="K59">
        <f t="shared" si="0"/>
        <v>172000</v>
      </c>
      <c r="L59">
        <v>248191.22600357514</v>
      </c>
    </row>
    <row r="60" spans="1:12" x14ac:dyDescent="0.3">
      <c r="H60" s="29">
        <v>45980</v>
      </c>
      <c r="I60">
        <v>7387.2084000000004</v>
      </c>
      <c r="J60">
        <v>72256.776976979178</v>
      </c>
      <c r="K60">
        <f t="shared" si="0"/>
        <v>172000</v>
      </c>
      <c r="L60">
        <v>244256.77697697916</v>
      </c>
    </row>
    <row r="61" spans="1:12" x14ac:dyDescent="0.3">
      <c r="H61" s="29">
        <v>45981</v>
      </c>
      <c r="I61">
        <v>7340.4117999999999</v>
      </c>
      <c r="J61">
        <v>68007.852300318438</v>
      </c>
      <c r="K61">
        <f>86000*2</f>
        <v>172000</v>
      </c>
      <c r="L61">
        <v>240007.85230031842</v>
      </c>
    </row>
    <row r="62" spans="1:12" x14ac:dyDescent="0.3">
      <c r="H62" s="29">
        <v>45982</v>
      </c>
      <c r="I62">
        <v>7067.7030000000004</v>
      </c>
      <c r="J62">
        <v>-71038.500178581889</v>
      </c>
      <c r="K62">
        <f>86000*2</f>
        <v>172000</v>
      </c>
      <c r="L62">
        <v>100961.49982141811</v>
      </c>
    </row>
    <row r="63" spans="1:12" x14ac:dyDescent="0.3">
      <c r="H63" s="29">
        <v>45985</v>
      </c>
      <c r="I63">
        <v>7156.4084999999995</v>
      </c>
      <c r="J63">
        <v>-92809.525175540897</v>
      </c>
      <c r="K63">
        <f t="shared" ref="K63:K82" si="1">86000*3</f>
        <v>258000</v>
      </c>
      <c r="L63">
        <v>165190.47482445912</v>
      </c>
    </row>
    <row r="64" spans="1:12" x14ac:dyDescent="0.3">
      <c r="H64" s="29">
        <v>45986</v>
      </c>
      <c r="I64">
        <v>7249.9471000000003</v>
      </c>
      <c r="J64">
        <v>-38808.004914277699</v>
      </c>
      <c r="K64">
        <f t="shared" si="1"/>
        <v>258000</v>
      </c>
      <c r="L64">
        <v>219191.9950857223</v>
      </c>
    </row>
    <row r="65" spans="8:12" x14ac:dyDescent="0.3">
      <c r="H65" s="29">
        <v>45987</v>
      </c>
      <c r="I65">
        <v>7248.4489000000003</v>
      </c>
      <c r="J65">
        <v>-34999.955714486554</v>
      </c>
      <c r="K65">
        <f t="shared" si="1"/>
        <v>258000</v>
      </c>
      <c r="L65">
        <v>223000.04428551346</v>
      </c>
    </row>
    <row r="66" spans="8:12" x14ac:dyDescent="0.3">
      <c r="H66" s="29">
        <v>45988</v>
      </c>
      <c r="I66">
        <v>7257.4539999999997</v>
      </c>
      <c r="J66">
        <v>-26482.136029106969</v>
      </c>
      <c r="K66">
        <f t="shared" si="1"/>
        <v>258000</v>
      </c>
      <c r="L66">
        <v>231517.86397089303</v>
      </c>
    </row>
    <row r="67" spans="8:12" x14ac:dyDescent="0.3">
      <c r="H67" s="29">
        <v>45989</v>
      </c>
      <c r="I67">
        <v>7334.2097000000003</v>
      </c>
      <c r="J67">
        <v>7223.1076399023123</v>
      </c>
      <c r="K67">
        <f t="shared" si="1"/>
        <v>258000</v>
      </c>
      <c r="L67">
        <v>265223.10763990233</v>
      </c>
    </row>
    <row r="68" spans="8:12" x14ac:dyDescent="0.3">
      <c r="H68" s="29">
        <v>45992</v>
      </c>
      <c r="I68">
        <v>7386.6810999999998</v>
      </c>
      <c r="J68">
        <v>26639.027549088725</v>
      </c>
      <c r="K68">
        <f t="shared" si="1"/>
        <v>258000</v>
      </c>
      <c r="L68">
        <v>284639.0275490887</v>
      </c>
    </row>
    <row r="69" spans="8:12" x14ac:dyDescent="0.3">
      <c r="H69" s="29">
        <v>45993</v>
      </c>
      <c r="I69">
        <v>7313.1779999999999</v>
      </c>
      <c r="J69">
        <v>8442.941985604386</v>
      </c>
      <c r="K69">
        <f t="shared" si="1"/>
        <v>258000</v>
      </c>
      <c r="L69">
        <v>266442.94198560441</v>
      </c>
    </row>
    <row r="70" spans="8:12" x14ac:dyDescent="0.3">
      <c r="H70" s="29">
        <v>45994</v>
      </c>
      <c r="I70">
        <v>7248.2740000000003</v>
      </c>
      <c r="J70">
        <v>-12241.527736873131</v>
      </c>
      <c r="K70">
        <f t="shared" si="1"/>
        <v>258000</v>
      </c>
      <c r="L70">
        <v>245758.47226312687</v>
      </c>
    </row>
    <row r="71" spans="8:12" x14ac:dyDescent="0.3">
      <c r="H71" s="29">
        <v>45995</v>
      </c>
      <c r="I71">
        <v>7248.6572999999999</v>
      </c>
      <c r="J71">
        <v>-7399.6048620056827</v>
      </c>
      <c r="K71">
        <f t="shared" si="1"/>
        <v>258000</v>
      </c>
      <c r="L71">
        <v>250600.39513799432</v>
      </c>
    </row>
    <row r="72" spans="8:12" x14ac:dyDescent="0.3">
      <c r="H72" s="29">
        <v>45996</v>
      </c>
      <c r="I72">
        <v>7342.4924000000001</v>
      </c>
      <c r="J72">
        <v>30292.486909587573</v>
      </c>
      <c r="K72">
        <f t="shared" si="1"/>
        <v>258000</v>
      </c>
      <c r="L72">
        <v>288292.48690958758</v>
      </c>
    </row>
    <row r="73" spans="8:12" x14ac:dyDescent="0.3">
      <c r="H73" s="29">
        <v>45999</v>
      </c>
      <c r="I73">
        <v>7423.0461999999998</v>
      </c>
      <c r="J73">
        <v>52887.378625022626</v>
      </c>
      <c r="K73">
        <f t="shared" si="1"/>
        <v>258000</v>
      </c>
      <c r="L73">
        <v>310887.3786250226</v>
      </c>
    </row>
    <row r="74" spans="8:12" x14ac:dyDescent="0.3">
      <c r="H74" s="29">
        <v>46000</v>
      </c>
      <c r="I74">
        <v>7380.5834999999997</v>
      </c>
      <c r="J74">
        <v>48035.982629302489</v>
      </c>
      <c r="K74">
        <f t="shared" si="1"/>
        <v>258000</v>
      </c>
      <c r="L74">
        <v>306035.98262930248</v>
      </c>
    </row>
    <row r="75" spans="8:12" x14ac:dyDescent="0.3">
      <c r="H75" s="29">
        <v>46001</v>
      </c>
      <c r="I75">
        <v>7408.2440999999999</v>
      </c>
      <c r="J75">
        <v>57360.794763542821</v>
      </c>
      <c r="K75">
        <f t="shared" si="1"/>
        <v>258000</v>
      </c>
      <c r="L75">
        <v>315360.79476354283</v>
      </c>
    </row>
    <row r="76" spans="8:12" x14ac:dyDescent="0.3">
      <c r="H76" s="29">
        <v>46002</v>
      </c>
      <c r="I76">
        <v>7311.9952000000003</v>
      </c>
      <c r="J76">
        <v>38885.303961349346</v>
      </c>
      <c r="K76">
        <f t="shared" si="1"/>
        <v>258000</v>
      </c>
      <c r="L76">
        <v>296885.30396134936</v>
      </c>
    </row>
    <row r="77" spans="8:12" x14ac:dyDescent="0.3">
      <c r="H77" s="29">
        <v>46003</v>
      </c>
      <c r="I77">
        <v>7370.9416000000001</v>
      </c>
      <c r="J77">
        <v>58076.327597331372</v>
      </c>
      <c r="K77">
        <f t="shared" si="1"/>
        <v>258000</v>
      </c>
      <c r="L77">
        <v>316076.32759733137</v>
      </c>
    </row>
    <row r="78" spans="8:12" x14ac:dyDescent="0.3">
      <c r="H78" s="29">
        <v>46006</v>
      </c>
      <c r="I78">
        <v>7309.0775000000003</v>
      </c>
      <c r="J78">
        <v>47525.577343918791</v>
      </c>
      <c r="K78">
        <f t="shared" si="1"/>
        <v>258000</v>
      </c>
      <c r="L78">
        <v>305525.57734391879</v>
      </c>
    </row>
    <row r="79" spans="8:12" x14ac:dyDescent="0.3">
      <c r="H79" s="29">
        <v>46007</v>
      </c>
      <c r="I79">
        <v>7181.62</v>
      </c>
      <c r="J79">
        <v>1958.8084907434052</v>
      </c>
      <c r="K79">
        <f t="shared" si="1"/>
        <v>258000</v>
      </c>
      <c r="L79">
        <v>259958.80849074339</v>
      </c>
    </row>
    <row r="80" spans="8:12" x14ac:dyDescent="0.3">
      <c r="H80" s="29">
        <v>46008</v>
      </c>
      <c r="I80">
        <v>7288.7384000000002</v>
      </c>
      <c r="J80">
        <v>51897.114946241374</v>
      </c>
      <c r="K80">
        <f t="shared" si="1"/>
        <v>258000</v>
      </c>
      <c r="L80">
        <v>309897.11494624137</v>
      </c>
    </row>
    <row r="81" spans="8:12" x14ac:dyDescent="0.3">
      <c r="H81" s="29">
        <v>46009</v>
      </c>
      <c r="I81">
        <v>7272.4023999999999</v>
      </c>
      <c r="J81">
        <v>52360.597805308309</v>
      </c>
      <c r="K81">
        <f t="shared" si="1"/>
        <v>258000</v>
      </c>
      <c r="L81">
        <v>310360.59780530829</v>
      </c>
    </row>
    <row r="82" spans="8:12" x14ac:dyDescent="0.3">
      <c r="H82" s="29">
        <v>46010</v>
      </c>
      <c r="I82">
        <v>7329.8056999999999</v>
      </c>
      <c r="J82">
        <v>74767.07023400192</v>
      </c>
      <c r="K82">
        <f t="shared" si="1"/>
        <v>258000</v>
      </c>
      <c r="L82">
        <v>332767.07023400191</v>
      </c>
    </row>
    <row r="83" spans="8:12" x14ac:dyDescent="0.3">
      <c r="H83" s="29">
        <v>46013</v>
      </c>
      <c r="I83">
        <v>7408.3487999999998</v>
      </c>
      <c r="J83">
        <v>86000.000000000407</v>
      </c>
      <c r="K83">
        <f>86000*3</f>
        <v>258000</v>
      </c>
      <c r="L83">
        <v>344000.00000000041</v>
      </c>
    </row>
    <row r="84" spans="8:12" x14ac:dyDescent="0.3">
      <c r="H84" s="29">
        <v>46014</v>
      </c>
      <c r="I84">
        <v>7392.4204</v>
      </c>
      <c r="J84">
        <f>86000*4</f>
        <v>344000</v>
      </c>
      <c r="K84">
        <f>86000*4</f>
        <v>344000</v>
      </c>
      <c r="L84">
        <v>365386.49830324529</v>
      </c>
    </row>
    <row r="85" spans="8:12" x14ac:dyDescent="0.3">
      <c r="H85" s="29">
        <v>46015</v>
      </c>
      <c r="I85">
        <v>7506.3814000000002</v>
      </c>
      <c r="J85">
        <f t="shared" ref="J85:J107" si="2">86000*4</f>
        <v>344000</v>
      </c>
      <c r="K85">
        <f t="shared" ref="K85:K107" si="3">86000*4</f>
        <v>344000</v>
      </c>
      <c r="L85">
        <v>390849.6938764262</v>
      </c>
    </row>
    <row r="86" spans="8:12" x14ac:dyDescent="0.3">
      <c r="H86" s="29">
        <v>46016</v>
      </c>
      <c r="I86">
        <v>7579.3791000000001</v>
      </c>
      <c r="J86">
        <f t="shared" si="2"/>
        <v>344000</v>
      </c>
      <c r="K86">
        <f t="shared" si="3"/>
        <v>344000</v>
      </c>
      <c r="L86">
        <v>401926.20690336311</v>
      </c>
    </row>
    <row r="87" spans="8:12" x14ac:dyDescent="0.3">
      <c r="H87" s="29">
        <v>46017</v>
      </c>
      <c r="I87">
        <v>7605.5299000000005</v>
      </c>
      <c r="J87">
        <f t="shared" si="2"/>
        <v>344000</v>
      </c>
      <c r="K87">
        <f t="shared" si="3"/>
        <v>344000</v>
      </c>
      <c r="L87">
        <v>406249.30683555885</v>
      </c>
    </row>
    <row r="88" spans="8:12" x14ac:dyDescent="0.3">
      <c r="H88" s="29">
        <v>46020</v>
      </c>
      <c r="I88">
        <v>7594.1575000000003</v>
      </c>
      <c r="J88">
        <f t="shared" si="2"/>
        <v>344000</v>
      </c>
      <c r="K88">
        <f t="shared" si="3"/>
        <v>344000</v>
      </c>
      <c r="L88">
        <v>407498.58220685762</v>
      </c>
    </row>
    <row r="89" spans="8:12" x14ac:dyDescent="0.3">
      <c r="H89" s="29">
        <v>46021</v>
      </c>
      <c r="I89">
        <v>7597.299</v>
      </c>
      <c r="J89">
        <f t="shared" si="2"/>
        <v>344000</v>
      </c>
      <c r="K89">
        <f t="shared" si="3"/>
        <v>344000</v>
      </c>
      <c r="L89">
        <v>409775.69447177014</v>
      </c>
    </row>
    <row r="90" spans="8:12" x14ac:dyDescent="0.3">
      <c r="H90" s="29">
        <v>46022</v>
      </c>
      <c r="I90">
        <v>7595.2844999999998</v>
      </c>
      <c r="J90">
        <f t="shared" si="2"/>
        <v>344000</v>
      </c>
      <c r="K90">
        <f t="shared" si="3"/>
        <v>344000</v>
      </c>
      <c r="L90">
        <v>411656.27364450356</v>
      </c>
    </row>
    <row r="91" spans="8:12" x14ac:dyDescent="0.3">
      <c r="H91" s="29">
        <v>46027</v>
      </c>
      <c r="I91">
        <v>7753.88</v>
      </c>
      <c r="J91">
        <f t="shared" si="2"/>
        <v>344000</v>
      </c>
      <c r="K91">
        <f t="shared" si="3"/>
        <v>344000</v>
      </c>
      <c r="L91">
        <v>418291.77115995705</v>
      </c>
    </row>
    <row r="92" spans="8:12" x14ac:dyDescent="0.3">
      <c r="H92" s="29">
        <v>46028</v>
      </c>
      <c r="I92">
        <v>7864.9034000000001</v>
      </c>
      <c r="J92">
        <f t="shared" si="2"/>
        <v>344000</v>
      </c>
      <c r="K92">
        <f t="shared" si="3"/>
        <v>344000</v>
      </c>
      <c r="L92">
        <v>420148.26128570049</v>
      </c>
    </row>
    <row r="93" spans="8:12" x14ac:dyDescent="0.3">
      <c r="H93" s="29">
        <v>46029</v>
      </c>
      <c r="I93">
        <v>7906.4197000000004</v>
      </c>
      <c r="J93">
        <f t="shared" si="2"/>
        <v>344000</v>
      </c>
      <c r="K93">
        <f t="shared" si="3"/>
        <v>344000</v>
      </c>
      <c r="L93">
        <v>421169.52517489321</v>
      </c>
    </row>
    <row r="94" spans="8:12" x14ac:dyDescent="0.3">
      <c r="H94" s="29">
        <v>46030</v>
      </c>
      <c r="I94">
        <v>7971.5887000000002</v>
      </c>
      <c r="J94">
        <f t="shared" si="2"/>
        <v>344000</v>
      </c>
      <c r="K94">
        <f t="shared" si="3"/>
        <v>344000</v>
      </c>
      <c r="L94">
        <v>422106.94935417373</v>
      </c>
    </row>
    <row r="95" spans="8:12" x14ac:dyDescent="0.3">
      <c r="H95" s="29">
        <v>46031</v>
      </c>
      <c r="I95">
        <v>8129.1831000000002</v>
      </c>
      <c r="J95">
        <f t="shared" si="2"/>
        <v>344000</v>
      </c>
      <c r="K95">
        <f t="shared" si="3"/>
        <v>344000</v>
      </c>
      <c r="L95">
        <v>422994.25422449451</v>
      </c>
    </row>
    <row r="96" spans="8:12" x14ac:dyDescent="0.3">
      <c r="H96" s="29">
        <v>46034</v>
      </c>
      <c r="I96">
        <v>8357.0107000000007</v>
      </c>
      <c r="J96">
        <f t="shared" si="2"/>
        <v>344000</v>
      </c>
      <c r="K96">
        <f t="shared" si="3"/>
        <v>344000</v>
      </c>
      <c r="L96">
        <v>423869.16791135044</v>
      </c>
    </row>
    <row r="97" spans="8:12" x14ac:dyDescent="0.3">
      <c r="H97" s="29">
        <v>46035</v>
      </c>
      <c r="I97">
        <v>8203.1327000000001</v>
      </c>
      <c r="J97">
        <f t="shared" si="2"/>
        <v>344000</v>
      </c>
      <c r="K97">
        <f t="shared" si="3"/>
        <v>344000</v>
      </c>
      <c r="L97">
        <v>424744.84713784396</v>
      </c>
    </row>
    <row r="98" spans="8:12" x14ac:dyDescent="0.3">
      <c r="H98" s="29">
        <v>46036</v>
      </c>
      <c r="I98">
        <v>8257.1715999999997</v>
      </c>
      <c r="J98">
        <f t="shared" si="2"/>
        <v>344000</v>
      </c>
      <c r="K98">
        <f t="shared" si="3"/>
        <v>344000</v>
      </c>
      <c r="L98">
        <v>425618.65685230104</v>
      </c>
    </row>
    <row r="99" spans="8:12" x14ac:dyDescent="0.3">
      <c r="H99" s="29">
        <v>46037</v>
      </c>
      <c r="I99">
        <v>8240.7751000000007</v>
      </c>
      <c r="J99">
        <f t="shared" si="2"/>
        <v>344000</v>
      </c>
      <c r="K99">
        <f t="shared" si="3"/>
        <v>344000</v>
      </c>
      <c r="L99">
        <v>426493.69382323348</v>
      </c>
    </row>
    <row r="100" spans="8:12" x14ac:dyDescent="0.3">
      <c r="H100" s="29">
        <v>46038</v>
      </c>
      <c r="I100">
        <v>8232.7293000000009</v>
      </c>
      <c r="J100">
        <f t="shared" si="2"/>
        <v>344000</v>
      </c>
      <c r="K100">
        <f t="shared" si="3"/>
        <v>344000</v>
      </c>
      <c r="L100">
        <v>427368.78864830197</v>
      </c>
    </row>
    <row r="101" spans="8:12" x14ac:dyDescent="0.3">
      <c r="H101" s="29">
        <v>46041</v>
      </c>
      <c r="I101">
        <v>8265.6461999999992</v>
      </c>
      <c r="J101">
        <f t="shared" si="2"/>
        <v>344000</v>
      </c>
      <c r="K101">
        <f t="shared" si="3"/>
        <v>344000</v>
      </c>
      <c r="L101">
        <v>428243.66418603167</v>
      </c>
    </row>
    <row r="102" spans="8:12" x14ac:dyDescent="0.3">
      <c r="H102" s="29">
        <v>46042</v>
      </c>
      <c r="I102">
        <v>8182.7521999999999</v>
      </c>
      <c r="J102">
        <f t="shared" si="2"/>
        <v>344000</v>
      </c>
      <c r="K102">
        <f t="shared" si="3"/>
        <v>344000</v>
      </c>
      <c r="L102">
        <v>429119.84457841626</v>
      </c>
    </row>
    <row r="103" spans="8:12" x14ac:dyDescent="0.3">
      <c r="H103" s="29">
        <v>46043</v>
      </c>
      <c r="I103">
        <v>8247.6797999999999</v>
      </c>
      <c r="J103">
        <f t="shared" si="2"/>
        <v>344000</v>
      </c>
      <c r="K103">
        <f t="shared" si="3"/>
        <v>344000</v>
      </c>
      <c r="L103">
        <v>430000.00000000041</v>
      </c>
    </row>
    <row r="104" spans="8:12" x14ac:dyDescent="0.3">
      <c r="H104" s="29">
        <v>46044</v>
      </c>
      <c r="I104">
        <v>8309.3456000000006</v>
      </c>
      <c r="J104">
        <f t="shared" si="2"/>
        <v>344000</v>
      </c>
      <c r="K104">
        <f t="shared" si="3"/>
        <v>344000</v>
      </c>
      <c r="L104">
        <v>415118.32594244659</v>
      </c>
    </row>
    <row r="105" spans="8:12" x14ac:dyDescent="0.3">
      <c r="H105" s="29">
        <v>46045</v>
      </c>
      <c r="I105">
        <v>8470.7438000000002</v>
      </c>
      <c r="J105">
        <f t="shared" si="2"/>
        <v>344000</v>
      </c>
      <c r="K105">
        <f t="shared" si="3"/>
        <v>344000</v>
      </c>
      <c r="L105">
        <v>415999.45906550222</v>
      </c>
    </row>
    <row r="106" spans="8:12" x14ac:dyDescent="0.3">
      <c r="H106" s="29">
        <v>46048</v>
      </c>
      <c r="I106">
        <v>8365.4344999999994</v>
      </c>
      <c r="J106">
        <f t="shared" si="2"/>
        <v>344000</v>
      </c>
      <c r="K106">
        <f t="shared" si="3"/>
        <v>344000</v>
      </c>
      <c r="L106">
        <v>416873.8706959394</v>
      </c>
    </row>
    <row r="107" spans="8:12" x14ac:dyDescent="0.3">
      <c r="H107" s="29">
        <v>46049</v>
      </c>
      <c r="I107">
        <v>8382.1532999999999</v>
      </c>
      <c r="J107">
        <f t="shared" si="2"/>
        <v>344000</v>
      </c>
      <c r="K107">
        <f t="shared" si="3"/>
        <v>344000</v>
      </c>
      <c r="L107">
        <v>417747.65495365247</v>
      </c>
    </row>
    <row r="109" spans="8:12" x14ac:dyDescent="0.3">
      <c r="H109" t="s">
        <v>66</v>
      </c>
    </row>
  </sheetData>
  <phoneticPr fontId="2" type="noConversion"/>
  <dataValidations count="2">
    <dataValidation type="list" showInputMessage="1" showErrorMessage="1" sqref="B5" xr:uid="{86919F77-7508-4473-BA9A-1D0CFC65F493}">
      <formula1>"000852.SH,000905.SH,000300.SH,000016.SH,513180.SH"</formula1>
    </dataValidation>
    <dataValidation type="list" showInputMessage="1" showErrorMessage="1" sqref="B14" xr:uid="{0C993F74-2988-443B-B21F-30536544D3C7}">
      <formula1>"每日观察,到期观察"</formula1>
    </dataValidation>
  </dataValidations>
  <pageMargins left="0.7" right="0.7" top="0.75" bottom="0.75" header="0.3" footer="0.3"/>
  <legacy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DEEA4F1-031C-4775-95D2-F66E698720AF}">
  <dimension ref="A1:J120"/>
  <sheetViews>
    <sheetView workbookViewId="0">
      <selection activeCell="J2" sqref="J2:J118"/>
    </sheetView>
  </sheetViews>
  <sheetFormatPr defaultColWidth="22.1328125" defaultRowHeight="13.5" x14ac:dyDescent="0.3"/>
  <cols>
    <col min="1" max="1" width="19.1328125" style="2" customWidth="1"/>
    <col min="2" max="2" width="22.1328125" style="1"/>
    <col min="3" max="3" width="22.1328125" style="21"/>
    <col min="4" max="6" width="22.1328125" style="3"/>
    <col min="7" max="7" width="22.1328125" style="2"/>
    <col min="8" max="8" width="11.59765625" bestFit="1" customWidth="1"/>
  </cols>
  <sheetData>
    <row r="1" spans="1:10" x14ac:dyDescent="0.3">
      <c r="A1" s="6" t="s">
        <v>6</v>
      </c>
      <c r="B1" s="9" t="s">
        <v>76</v>
      </c>
      <c r="C1" s="18" t="s">
        <v>55</v>
      </c>
      <c r="D1" s="22"/>
      <c r="E1" s="22" t="b">
        <f>(B15="每日观察")</f>
        <v>1</v>
      </c>
      <c r="F1" s="22"/>
      <c r="G1" s="7" t="b">
        <f>IF(B25="含头含尾",TRUE,FALSE)</f>
        <v>1</v>
      </c>
      <c r="I1" t="s">
        <v>69</v>
      </c>
    </row>
    <row r="2" spans="1:10" x14ac:dyDescent="0.3">
      <c r="A2" s="6" t="s">
        <v>5</v>
      </c>
      <c r="B2" s="10" t="str">
        <f>_xlfn.TEXTJOIN(,TRUE,IF(B13&gt;0,"增强型",""),IF(B15="每日观察","","欧式"),IF(AND(B21=B20,B20&lt;0.9),"不追保",""),IF(B16&lt;1,"OTM",""),"早利雪球")</f>
        <v>早利雪球</v>
      </c>
      <c r="C2" s="19" t="s">
        <v>1</v>
      </c>
      <c r="D2" s="23" t="s">
        <v>12</v>
      </c>
      <c r="E2" s="23" t="s">
        <v>54</v>
      </c>
      <c r="F2" s="23" t="s">
        <v>33</v>
      </c>
      <c r="G2" s="25"/>
      <c r="H2" s="29">
        <v>45875</v>
      </c>
      <c r="I2">
        <v>6357.3769000000002</v>
      </c>
      <c r="J2" cm="1">
        <f t="array" ref="J2">_xll.ValuateSnowball($C$1,$B$3,$B$7,_xlfn.ANCHORARRAY($C$3),_xlfn.ANCHORARRAY($D$3),_xlfn.ANCHORARRAY($F$3),$B$13,$B$19,$B$14,$B$16,$B$17,$B$20,$B$21,$B$23+$B$31,$B$22,$B$24,$G$1,$E$1,H2+0.625,I2,$B$34,$B$35,$B$36,FALSE,"NPV")*$B$6/$B$3</f>
        <v>-52.936535910888665</v>
      </c>
    </row>
    <row r="3" spans="1:10" x14ac:dyDescent="0.3">
      <c r="A3" s="6" t="s">
        <v>70</v>
      </c>
      <c r="B3" s="10">
        <v>6357.3769000000002</v>
      </c>
      <c r="C3" s="26" cm="1">
        <f t="array" ref="C3:C24">_xll.ScheduleDates(C1,B7,B8,"1M",B9,"MODIFIED_FOLLOWING")</f>
        <v>45967</v>
      </c>
      <c r="D3" s="27" cm="1">
        <f t="array" ref="D3:D24">_xll.GenerateBarriers(_xlfn.ANCHORARRAY(C3),B11,B12)</f>
        <v>1</v>
      </c>
      <c r="E3" s="27" cm="1">
        <f t="array" ref="E3:E24">_xll.GenerateBonusCoupons(C1,B7,_xlfn.ANCHORARRAY(C3),B10,-1,B18)</f>
        <v>-1</v>
      </c>
      <c r="F3" s="27" cm="1">
        <f t="array" ref="F3:F24">_xll.GenerateBonusCoupons(C1,B7,_xlfn.ANCHORARRAY(C3),B10,B29,B18)</f>
        <v>0.18809999999999999</v>
      </c>
      <c r="G3" s="25"/>
      <c r="H3" s="29">
        <v>45876</v>
      </c>
      <c r="I3">
        <v>6337.5424999999996</v>
      </c>
      <c r="J3">
        <v>-15168.459244345928</v>
      </c>
    </row>
    <row r="4" spans="1:10" x14ac:dyDescent="0.3">
      <c r="A4" s="6" t="s">
        <v>71</v>
      </c>
      <c r="B4" s="31">
        <v>46050</v>
      </c>
      <c r="C4" s="20">
        <v>45999</v>
      </c>
      <c r="D4" s="24">
        <v>0.995</v>
      </c>
      <c r="E4" s="24">
        <v>-1</v>
      </c>
      <c r="F4" s="24">
        <v>0.18809999999999999</v>
      </c>
      <c r="G4" s="25"/>
      <c r="H4" s="29">
        <v>45877</v>
      </c>
      <c r="I4">
        <v>6323.4998999999998</v>
      </c>
      <c r="J4">
        <v>-24557.888480048558</v>
      </c>
    </row>
    <row r="5" spans="1:10" x14ac:dyDescent="0.3">
      <c r="A5" s="6" t="s">
        <v>0</v>
      </c>
      <c r="B5" s="11" t="s">
        <v>4</v>
      </c>
      <c r="C5" s="20">
        <v>46028</v>
      </c>
      <c r="D5" s="24">
        <v>0.99</v>
      </c>
      <c r="E5" s="24">
        <v>-1</v>
      </c>
      <c r="F5" s="24">
        <v>0.18809999999999999</v>
      </c>
      <c r="G5" s="25"/>
      <c r="H5" s="29">
        <v>45880</v>
      </c>
      <c r="I5">
        <v>6391.7595000000001</v>
      </c>
      <c r="J5">
        <v>50984.479910704322</v>
      </c>
    </row>
    <row r="6" spans="1:10" x14ac:dyDescent="0.3">
      <c r="A6" s="6" t="s">
        <v>7</v>
      </c>
      <c r="B6" s="12">
        <v>10000000</v>
      </c>
      <c r="C6" s="20">
        <v>46059</v>
      </c>
      <c r="D6" s="24">
        <v>0.98499999999999999</v>
      </c>
      <c r="E6" s="24">
        <v>-1</v>
      </c>
      <c r="F6" s="24">
        <v>0.18809999999999999</v>
      </c>
      <c r="G6" s="25"/>
      <c r="H6" s="29">
        <v>45881</v>
      </c>
      <c r="I6">
        <v>6418.1594999999998</v>
      </c>
      <c r="J6">
        <v>81321.167675203978</v>
      </c>
    </row>
    <row r="7" spans="1:10" x14ac:dyDescent="0.3">
      <c r="A7" s="6" t="s">
        <v>8</v>
      </c>
      <c r="B7" s="13">
        <v>45875.625</v>
      </c>
      <c r="C7" s="20">
        <v>46087</v>
      </c>
      <c r="D7" s="24">
        <v>0.98</v>
      </c>
      <c r="E7" s="24">
        <v>-1</v>
      </c>
      <c r="F7" s="24">
        <v>0.18809999999999999</v>
      </c>
      <c r="G7" s="25"/>
      <c r="H7" s="29">
        <v>45882</v>
      </c>
      <c r="I7">
        <v>6508.0977999999996</v>
      </c>
      <c r="J7">
        <v>162049.6696769777</v>
      </c>
    </row>
    <row r="8" spans="1:10" x14ac:dyDescent="0.3">
      <c r="A8" s="6" t="s">
        <v>9</v>
      </c>
      <c r="B8" s="10" t="s">
        <v>10</v>
      </c>
      <c r="C8" s="20">
        <v>46119</v>
      </c>
      <c r="D8" s="24">
        <v>0.97499999999999998</v>
      </c>
      <c r="E8" s="24">
        <v>-1</v>
      </c>
      <c r="F8" s="24">
        <v>0.18809999999999999</v>
      </c>
      <c r="G8" s="25"/>
      <c r="H8" s="29">
        <v>45883</v>
      </c>
      <c r="I8">
        <v>6429.8462</v>
      </c>
      <c r="J8">
        <v>102857.61726716712</v>
      </c>
    </row>
    <row r="9" spans="1:10" x14ac:dyDescent="0.3">
      <c r="A9" s="6" t="s">
        <v>11</v>
      </c>
      <c r="B9" s="10">
        <v>3</v>
      </c>
      <c r="C9" s="20">
        <v>46148</v>
      </c>
      <c r="D9" s="24">
        <v>0.97</v>
      </c>
      <c r="E9" s="24">
        <v>-1</v>
      </c>
      <c r="F9" s="24">
        <v>0.18809999999999999</v>
      </c>
      <c r="G9" s="25"/>
      <c r="H9" s="29">
        <v>45884</v>
      </c>
      <c r="I9">
        <v>6568.57</v>
      </c>
      <c r="J9">
        <v>215130.73871281906</v>
      </c>
    </row>
    <row r="10" spans="1:10" x14ac:dyDescent="0.3">
      <c r="A10" s="6" t="s">
        <v>56</v>
      </c>
      <c r="B10" s="10" t="s">
        <v>57</v>
      </c>
      <c r="C10" s="20">
        <v>46181</v>
      </c>
      <c r="D10" s="24">
        <v>0.96499999999999997</v>
      </c>
      <c r="E10" s="24">
        <v>-1</v>
      </c>
      <c r="F10" s="24">
        <v>0.18809999999999999</v>
      </c>
      <c r="G10" s="25"/>
      <c r="H10" s="29">
        <v>45887</v>
      </c>
      <c r="I10">
        <v>6668.1725999999999</v>
      </c>
      <c r="J10">
        <v>277956.39413071226</v>
      </c>
    </row>
    <row r="11" spans="1:10" x14ac:dyDescent="0.3">
      <c r="A11" s="6" t="s">
        <v>12</v>
      </c>
      <c r="B11" s="14">
        <v>1</v>
      </c>
      <c r="C11" s="20">
        <v>46209</v>
      </c>
      <c r="D11" s="24">
        <v>0.96</v>
      </c>
      <c r="E11" s="24">
        <v>-1</v>
      </c>
      <c r="F11" s="24">
        <v>0.18809999999999999</v>
      </c>
      <c r="G11" s="25"/>
      <c r="H11" s="29">
        <v>45888</v>
      </c>
      <c r="I11">
        <v>6655.3104999999996</v>
      </c>
      <c r="J11">
        <v>275769.3442585523</v>
      </c>
    </row>
    <row r="12" spans="1:10" x14ac:dyDescent="0.3">
      <c r="A12" s="6" t="s">
        <v>13</v>
      </c>
      <c r="B12" s="14">
        <v>-5.0000000000000001E-3</v>
      </c>
      <c r="C12" s="20">
        <v>46240</v>
      </c>
      <c r="D12" s="24">
        <v>0.95499999999999996</v>
      </c>
      <c r="E12" s="24">
        <v>-1</v>
      </c>
      <c r="F12" s="24">
        <v>0.18809999999999999</v>
      </c>
      <c r="G12" s="25"/>
      <c r="H12" s="29">
        <v>45889</v>
      </c>
      <c r="I12">
        <v>6728.0691999999999</v>
      </c>
      <c r="J12">
        <v>314492.47697176767</v>
      </c>
    </row>
    <row r="13" spans="1:10" x14ac:dyDescent="0.3">
      <c r="A13" s="6" t="s">
        <v>14</v>
      </c>
      <c r="B13" s="14">
        <v>0</v>
      </c>
      <c r="C13" s="20">
        <v>46272</v>
      </c>
      <c r="D13" s="24">
        <v>0.95</v>
      </c>
      <c r="E13" s="24">
        <v>0.05</v>
      </c>
      <c r="F13" s="24">
        <v>0.05</v>
      </c>
      <c r="G13" s="25"/>
      <c r="H13" s="29">
        <v>45890</v>
      </c>
      <c r="I13">
        <v>6704.1656999999996</v>
      </c>
      <c r="J13">
        <v>308232.66305147187</v>
      </c>
    </row>
    <row r="14" spans="1:10" x14ac:dyDescent="0.3">
      <c r="A14" s="6" t="s">
        <v>2</v>
      </c>
      <c r="B14" s="14">
        <v>0.7</v>
      </c>
      <c r="C14" s="20">
        <v>46303</v>
      </c>
      <c r="D14" s="24">
        <v>0.94499999999999995</v>
      </c>
      <c r="E14" s="24">
        <v>0.05</v>
      </c>
      <c r="F14" s="24">
        <v>0.05</v>
      </c>
      <c r="G14" s="25"/>
      <c r="H14" s="29">
        <v>45891</v>
      </c>
      <c r="I14">
        <v>6822.8468999999996</v>
      </c>
      <c r="J14">
        <v>356686.57349779661</v>
      </c>
    </row>
    <row r="15" spans="1:10" x14ac:dyDescent="0.3">
      <c r="A15" s="6" t="s">
        <v>15</v>
      </c>
      <c r="B15" s="11" t="s">
        <v>31</v>
      </c>
      <c r="C15" s="20">
        <v>46332</v>
      </c>
      <c r="D15" s="24">
        <v>0.94</v>
      </c>
      <c r="E15" s="24">
        <v>0.05</v>
      </c>
      <c r="F15" s="24">
        <v>0.05</v>
      </c>
      <c r="G15" s="25"/>
      <c r="H15" s="29">
        <v>45894</v>
      </c>
      <c r="I15">
        <v>6951.8954999999996</v>
      </c>
      <c r="J15">
        <v>391826.70110046741</v>
      </c>
    </row>
    <row r="16" spans="1:10" x14ac:dyDescent="0.3">
      <c r="A16" s="6" t="s">
        <v>17</v>
      </c>
      <c r="B16" s="14">
        <v>1</v>
      </c>
      <c r="C16" s="20">
        <v>46363</v>
      </c>
      <c r="D16" s="24">
        <v>0.93500000000000005</v>
      </c>
      <c r="E16" s="24">
        <v>0.05</v>
      </c>
      <c r="F16" s="24">
        <v>0.05</v>
      </c>
      <c r="G16" s="25"/>
      <c r="H16" s="29">
        <v>45895</v>
      </c>
      <c r="I16">
        <v>6964.0653000000002</v>
      </c>
      <c r="J16">
        <v>396859.95635496062</v>
      </c>
    </row>
    <row r="17" spans="1:10" x14ac:dyDescent="0.3">
      <c r="A17" s="6" t="s">
        <v>18</v>
      </c>
      <c r="B17" s="14">
        <v>1</v>
      </c>
      <c r="C17" s="20">
        <v>46393</v>
      </c>
      <c r="D17" s="24">
        <v>0.92999999999999994</v>
      </c>
      <c r="E17" s="24">
        <v>0.05</v>
      </c>
      <c r="F17" s="24">
        <v>0.05</v>
      </c>
      <c r="G17" s="25"/>
      <c r="H17" s="29">
        <v>45896</v>
      </c>
      <c r="I17">
        <v>6862.5623999999998</v>
      </c>
      <c r="J17">
        <v>378024.24949615641</v>
      </c>
    </row>
    <row r="18" spans="1:10" x14ac:dyDescent="0.3">
      <c r="A18" s="6" t="s">
        <v>58</v>
      </c>
      <c r="B18" s="14">
        <v>0.05</v>
      </c>
      <c r="C18" s="20">
        <v>46433</v>
      </c>
      <c r="D18" s="24">
        <v>0.92500000000000004</v>
      </c>
      <c r="E18" s="24">
        <v>0.05</v>
      </c>
      <c r="F18" s="24">
        <v>0.05</v>
      </c>
      <c r="G18" s="25"/>
      <c r="H18" s="29">
        <v>45897</v>
      </c>
      <c r="I18">
        <v>7011.1602000000003</v>
      </c>
      <c r="J18">
        <v>409540.95619375521</v>
      </c>
    </row>
    <row r="19" spans="1:10" x14ac:dyDescent="0.3">
      <c r="A19" s="6" t="s">
        <v>19</v>
      </c>
      <c r="B19" s="14">
        <v>0.05</v>
      </c>
      <c r="C19" s="20">
        <v>46454</v>
      </c>
      <c r="D19" s="24">
        <v>0.92</v>
      </c>
      <c r="E19" s="24">
        <v>0.05</v>
      </c>
      <c r="F19" s="24">
        <v>0.05</v>
      </c>
      <c r="G19" s="25"/>
      <c r="H19" s="29">
        <v>45898</v>
      </c>
      <c r="I19">
        <v>7043.9416000000001</v>
      </c>
      <c r="J19">
        <v>416117.02237879368</v>
      </c>
    </row>
    <row r="20" spans="1:10" x14ac:dyDescent="0.3">
      <c r="A20" s="6" t="s">
        <v>20</v>
      </c>
      <c r="B20" s="14">
        <v>1</v>
      </c>
      <c r="C20" s="20">
        <v>46483</v>
      </c>
      <c r="D20" s="24">
        <v>0.91500000000000004</v>
      </c>
      <c r="E20" s="24">
        <v>0.05</v>
      </c>
      <c r="F20" s="24">
        <v>0.05</v>
      </c>
      <c r="G20" s="25"/>
      <c r="H20" s="29">
        <v>45901</v>
      </c>
      <c r="I20">
        <v>7110.2882</v>
      </c>
      <c r="J20">
        <v>424888.67310780013</v>
      </c>
    </row>
    <row r="21" spans="1:10" x14ac:dyDescent="0.3">
      <c r="A21" s="6" t="s">
        <v>21</v>
      </c>
      <c r="B21" s="14">
        <v>1</v>
      </c>
      <c r="C21" s="20">
        <v>46513</v>
      </c>
      <c r="D21" s="24">
        <v>0.91</v>
      </c>
      <c r="E21" s="24">
        <v>0.05</v>
      </c>
      <c r="F21" s="24">
        <v>0.05</v>
      </c>
      <c r="G21" s="25"/>
      <c r="H21" s="29">
        <v>45902</v>
      </c>
      <c r="I21">
        <v>6961.6894000000002</v>
      </c>
      <c r="J21">
        <v>409788.51420909475</v>
      </c>
    </row>
    <row r="22" spans="1:10" x14ac:dyDescent="0.3">
      <c r="A22" s="6" t="s">
        <v>22</v>
      </c>
      <c r="B22" s="14">
        <v>0</v>
      </c>
      <c r="C22" s="20">
        <v>46545</v>
      </c>
      <c r="D22" s="24">
        <v>0.90500000000000003</v>
      </c>
      <c r="E22" s="24">
        <v>0.05</v>
      </c>
      <c r="F22" s="24">
        <v>0.05</v>
      </c>
      <c r="G22" s="25"/>
      <c r="H22" s="29">
        <v>45903</v>
      </c>
      <c r="I22">
        <v>6868.4615000000003</v>
      </c>
      <c r="J22">
        <v>395330.57889546448</v>
      </c>
    </row>
    <row r="23" spans="1:10" x14ac:dyDescent="0.3">
      <c r="A23" s="6" t="s">
        <v>23</v>
      </c>
      <c r="B23" s="14">
        <v>0</v>
      </c>
      <c r="C23" s="20">
        <v>46574</v>
      </c>
      <c r="D23" s="24">
        <v>0.9</v>
      </c>
      <c r="E23" s="24">
        <v>0.05</v>
      </c>
      <c r="F23" s="24">
        <v>0.05</v>
      </c>
      <c r="G23" s="25"/>
      <c r="H23" s="29">
        <v>45904</v>
      </c>
      <c r="I23">
        <v>6698.4474</v>
      </c>
      <c r="J23">
        <v>347996.29496156465</v>
      </c>
    </row>
    <row r="24" spans="1:10" x14ac:dyDescent="0.3">
      <c r="A24" s="6" t="s">
        <v>24</v>
      </c>
      <c r="B24" s="10">
        <v>0</v>
      </c>
      <c r="C24" s="20">
        <v>46605</v>
      </c>
      <c r="D24" s="24">
        <v>0.89500000000000002</v>
      </c>
      <c r="E24" s="24">
        <v>0.05</v>
      </c>
      <c r="F24" s="24">
        <v>0.05</v>
      </c>
      <c r="G24" s="25"/>
      <c r="H24" s="29">
        <v>45905</v>
      </c>
      <c r="I24">
        <v>6913.9531999999999</v>
      </c>
      <c r="J24">
        <v>410073.26907359867</v>
      </c>
    </row>
    <row r="25" spans="1:10" x14ac:dyDescent="0.3">
      <c r="A25" s="6" t="s">
        <v>25</v>
      </c>
      <c r="B25" s="11" t="s">
        <v>32</v>
      </c>
      <c r="C25" s="20"/>
      <c r="D25" s="24"/>
      <c r="E25" s="24"/>
      <c r="F25" s="24"/>
      <c r="G25" s="25"/>
      <c r="H25" s="29">
        <v>45908</v>
      </c>
      <c r="I25">
        <v>6992.1169</v>
      </c>
      <c r="J25">
        <v>423761.65342619328</v>
      </c>
    </row>
    <row r="26" spans="1:10" x14ac:dyDescent="0.3">
      <c r="A26" s="6" t="s">
        <v>27</v>
      </c>
      <c r="B26" s="14">
        <v>0</v>
      </c>
      <c r="C26" s="20"/>
      <c r="D26" s="24"/>
      <c r="E26" s="24"/>
      <c r="F26" s="24"/>
      <c r="G26" s="25"/>
      <c r="H26" s="29">
        <v>45909</v>
      </c>
      <c r="I26">
        <v>6928.9651000000003</v>
      </c>
      <c r="J26">
        <v>417884.52680165041</v>
      </c>
    </row>
    <row r="27" spans="1:10" x14ac:dyDescent="0.3">
      <c r="A27" s="6" t="s">
        <v>28</v>
      </c>
      <c r="B27" s="14" t="s">
        <v>29</v>
      </c>
      <c r="C27" s="20"/>
      <c r="D27" s="24"/>
      <c r="E27" s="24"/>
      <c r="F27" s="24"/>
      <c r="G27" s="25"/>
      <c r="H27" s="29">
        <v>45910</v>
      </c>
      <c r="I27">
        <v>6932.1091999999999</v>
      </c>
      <c r="J27">
        <v>420944.15203813475</v>
      </c>
    </row>
    <row r="28" spans="1:10" x14ac:dyDescent="0.3">
      <c r="A28" s="7"/>
      <c r="B28" s="14"/>
      <c r="C28" s="20"/>
      <c r="D28" s="24"/>
      <c r="E28" s="24"/>
      <c r="F28" s="24"/>
      <c r="G28" s="25"/>
      <c r="H28" s="29">
        <v>45911</v>
      </c>
      <c r="I28">
        <v>7122.7051000000001</v>
      </c>
      <c r="J28">
        <v>440199.18293984083</v>
      </c>
    </row>
    <row r="29" spans="1:10" x14ac:dyDescent="0.3">
      <c r="A29" s="6" t="s">
        <v>59</v>
      </c>
      <c r="B29" s="35">
        <v>0.18809999999999999</v>
      </c>
      <c r="C29" s="20"/>
      <c r="D29" s="24"/>
      <c r="E29" s="24"/>
      <c r="F29" s="24"/>
      <c r="G29" s="25"/>
      <c r="H29" s="29">
        <v>45912</v>
      </c>
      <c r="I29">
        <v>7147.7488999999996</v>
      </c>
      <c r="J29">
        <v>442950.17546996131</v>
      </c>
    </row>
    <row r="30" spans="1:10" x14ac:dyDescent="0.3">
      <c r="A30" s="7"/>
      <c r="B30" s="14"/>
      <c r="C30" s="20"/>
      <c r="D30" s="24"/>
      <c r="E30" s="24"/>
      <c r="F30" s="24"/>
      <c r="G30" s="25"/>
      <c r="H30" s="29">
        <v>45915</v>
      </c>
      <c r="I30">
        <v>7137.3626999999997</v>
      </c>
      <c r="J30">
        <v>444068.72930607398</v>
      </c>
    </row>
    <row r="31" spans="1:10" x14ac:dyDescent="0.3">
      <c r="A31" s="6" t="s">
        <v>34</v>
      </c>
      <c r="B31" s="14">
        <v>0</v>
      </c>
      <c r="C31" s="20"/>
      <c r="D31" s="24"/>
      <c r="E31" s="24"/>
      <c r="F31" s="24"/>
      <c r="G31" s="25"/>
      <c r="H31" s="29">
        <v>45916</v>
      </c>
      <c r="I31">
        <v>7190.9928</v>
      </c>
      <c r="J31">
        <v>447301.5971015793</v>
      </c>
    </row>
    <row r="32" spans="1:10" x14ac:dyDescent="0.3">
      <c r="A32" s="6" t="s">
        <v>35</v>
      </c>
      <c r="B32" s="14" t="s">
        <v>36</v>
      </c>
      <c r="C32" s="20"/>
      <c r="D32" s="24"/>
      <c r="E32" s="24"/>
      <c r="F32" s="24"/>
      <c r="G32" s="25"/>
      <c r="H32" s="29">
        <v>45917</v>
      </c>
      <c r="I32">
        <v>7260.0352999999996</v>
      </c>
      <c r="J32">
        <v>449994.17426120408</v>
      </c>
    </row>
    <row r="33" spans="1:10" x14ac:dyDescent="0.3">
      <c r="A33" s="7"/>
      <c r="B33" s="14"/>
      <c r="C33" s="20"/>
      <c r="D33" s="24"/>
      <c r="E33" s="24"/>
      <c r="F33" s="24"/>
      <c r="G33" s="25"/>
      <c r="H33" s="29">
        <v>45918</v>
      </c>
      <c r="I33">
        <v>7199.8828000000003</v>
      </c>
      <c r="J33">
        <v>450154.53187285998</v>
      </c>
    </row>
    <row r="34" spans="1:10" x14ac:dyDescent="0.3">
      <c r="A34" s="6" t="s">
        <v>37</v>
      </c>
      <c r="B34" s="16">
        <v>2.1000000000000001E-2</v>
      </c>
      <c r="C34" s="20"/>
      <c r="D34" s="24"/>
      <c r="E34" s="24"/>
      <c r="F34" s="24"/>
      <c r="G34" s="25"/>
      <c r="H34" s="29">
        <v>45919</v>
      </c>
      <c r="I34">
        <v>7170.3487999999998</v>
      </c>
      <c r="J34">
        <v>450812.61059487128</v>
      </c>
    </row>
    <row r="35" spans="1:10" x14ac:dyDescent="0.3">
      <c r="A35" s="6" t="s">
        <v>38</v>
      </c>
      <c r="B35" s="14">
        <v>-5.5829999999999998E-2</v>
      </c>
      <c r="C35" s="20"/>
      <c r="D35" s="24"/>
      <c r="E35" s="24"/>
      <c r="F35" s="24"/>
      <c r="G35" s="25"/>
      <c r="H35" s="29">
        <v>45922</v>
      </c>
      <c r="I35">
        <v>7225.1280999999999</v>
      </c>
      <c r="J35">
        <v>453041.61044124526</v>
      </c>
    </row>
    <row r="36" spans="1:10" x14ac:dyDescent="0.3">
      <c r="A36" s="6" t="s">
        <v>39</v>
      </c>
      <c r="B36" s="14">
        <v>0.15</v>
      </c>
      <c r="C36" s="20"/>
      <c r="D36" s="24"/>
      <c r="E36" s="24"/>
      <c r="F36" s="24"/>
      <c r="G36" s="25"/>
      <c r="H36" s="29">
        <v>45923</v>
      </c>
      <c r="I36">
        <v>7180.7137000000002</v>
      </c>
      <c r="J36">
        <v>453569.7577922676</v>
      </c>
    </row>
    <row r="37" spans="1:10" x14ac:dyDescent="0.3">
      <c r="A37" s="7"/>
      <c r="B37" s="10"/>
      <c r="C37" s="20"/>
      <c r="D37" s="24"/>
      <c r="E37" s="24"/>
      <c r="F37" s="24"/>
      <c r="G37" s="25"/>
      <c r="H37" s="29">
        <v>45924</v>
      </c>
      <c r="I37">
        <v>7323.7093000000004</v>
      </c>
      <c r="J37">
        <v>456052.38791676052</v>
      </c>
    </row>
    <row r="38" spans="1:10" x14ac:dyDescent="0.3">
      <c r="A38" s="8" t="s">
        <v>40</v>
      </c>
      <c r="B38" s="10"/>
      <c r="C38" s="20"/>
      <c r="D38" s="24"/>
      <c r="E38" s="24"/>
      <c r="F38" s="24"/>
      <c r="G38" s="25"/>
      <c r="H38" s="29">
        <v>45925</v>
      </c>
      <c r="I38">
        <v>7341.3238000000001</v>
      </c>
      <c r="J38">
        <v>457122.0136636736</v>
      </c>
    </row>
    <row r="39" spans="1:10" x14ac:dyDescent="0.3">
      <c r="A39" s="6" t="s">
        <v>41</v>
      </c>
      <c r="B39" s="17">
        <f>B47*100</f>
        <v>65.523758240414452</v>
      </c>
      <c r="C39" s="20"/>
      <c r="D39" s="24"/>
      <c r="E39" s="24"/>
      <c r="F39" s="24"/>
      <c r="G39" s="25"/>
      <c r="H39" s="29">
        <v>45926</v>
      </c>
      <c r="I39">
        <v>7240.9114</v>
      </c>
      <c r="J39">
        <v>457663.82567173493</v>
      </c>
    </row>
    <row r="40" spans="1:10" x14ac:dyDescent="0.3">
      <c r="A40" s="6" t="s">
        <v>42</v>
      </c>
      <c r="B40" s="17">
        <f>B48*1%*100</f>
        <v>-6.9350670999757114</v>
      </c>
      <c r="C40" s="20"/>
      <c r="D40" s="24"/>
      <c r="E40" s="24"/>
      <c r="F40" s="24"/>
      <c r="G40" s="25"/>
      <c r="H40" s="29">
        <v>45929</v>
      </c>
      <c r="I40">
        <v>7350.5599000000002</v>
      </c>
      <c r="J40">
        <v>459091.23611885961</v>
      </c>
    </row>
    <row r="41" spans="1:10" x14ac:dyDescent="0.3">
      <c r="A41" s="6" t="s">
        <v>43</v>
      </c>
      <c r="B41" s="17">
        <f>B49*1%*100</f>
        <v>-0.6133200223096491</v>
      </c>
      <c r="C41" s="20"/>
      <c r="D41" s="24"/>
      <c r="E41" s="24"/>
      <c r="F41" s="24"/>
      <c r="G41" s="25"/>
      <c r="H41" s="29">
        <v>45930</v>
      </c>
      <c r="I41">
        <v>7412.3684000000003</v>
      </c>
      <c r="J41">
        <v>460114.21755749517</v>
      </c>
    </row>
    <row r="42" spans="1:10" x14ac:dyDescent="0.3">
      <c r="A42" s="6" t="s">
        <v>44</v>
      </c>
      <c r="B42" s="17">
        <f>B50*1/242*100</f>
        <v>5.6176669046148486E-2</v>
      </c>
      <c r="C42" s="20"/>
      <c r="D42" s="24"/>
      <c r="E42" s="24"/>
      <c r="F42" s="24"/>
      <c r="G42" s="25"/>
      <c r="H42" s="29">
        <v>45939</v>
      </c>
      <c r="I42">
        <v>7548.9225999999999</v>
      </c>
      <c r="J42">
        <v>461082.06782834709</v>
      </c>
    </row>
    <row r="43" spans="1:10" x14ac:dyDescent="0.3">
      <c r="A43" s="6" t="s">
        <v>45</v>
      </c>
      <c r="B43" s="17">
        <f>1%*B51*100</f>
        <v>-0.72846199704089676</v>
      </c>
      <c r="C43" s="20"/>
      <c r="D43" s="24"/>
      <c r="E43" s="24"/>
      <c r="F43" s="24"/>
      <c r="G43" s="25"/>
      <c r="H43" s="29">
        <v>45940</v>
      </c>
      <c r="I43">
        <v>7398.2241000000004</v>
      </c>
      <c r="J43">
        <v>461959.80142312456</v>
      </c>
    </row>
    <row r="44" spans="1:10" x14ac:dyDescent="0.3">
      <c r="A44" s="6" t="s">
        <v>46</v>
      </c>
      <c r="B44" s="17">
        <f>1%*B52*100</f>
        <v>-0.7612911441105763</v>
      </c>
      <c r="C44" s="20"/>
      <c r="D44" s="24"/>
      <c r="E44" s="24"/>
      <c r="F44" s="24"/>
      <c r="G44" s="25"/>
      <c r="H44" s="29">
        <v>45943</v>
      </c>
      <c r="I44">
        <v>7376.5636000000004</v>
      </c>
      <c r="J44">
        <v>462871.54339469492</v>
      </c>
    </row>
    <row r="45" spans="1:10" x14ac:dyDescent="0.3">
      <c r="A45" s="7"/>
      <c r="B45" s="17"/>
      <c r="C45" s="20"/>
      <c r="D45" s="24"/>
      <c r="E45" s="24"/>
      <c r="F45" s="24"/>
      <c r="G45" s="25"/>
      <c r="H45" s="29">
        <v>45944</v>
      </c>
      <c r="I45">
        <v>7194.8509000000004</v>
      </c>
      <c r="J45">
        <v>463586.79975563375</v>
      </c>
    </row>
    <row r="46" spans="1:10" x14ac:dyDescent="0.3">
      <c r="A46" s="6" t="s">
        <v>47</v>
      </c>
      <c r="B46" s="28" cm="1">
        <f t="array" ref="B46:B52">_xll.ValuateSnowball(C1,1,B7,_xlfn.ANCHORARRAY(C3),_xlfn.ANCHORARRAY(D3),_xlfn.ANCHORARRAY(F3),B13,B19,B14,B16,B17,B20,B21,B23+B31,B22,B24,G1,E1,B7,1,B34,B35,B36,FALSE,"ALL")</f>
        <v>-5.2936543958326254E-6</v>
      </c>
      <c r="C46" s="20"/>
      <c r="D46" s="24"/>
      <c r="E46" s="24"/>
      <c r="F46" s="24"/>
      <c r="G46" s="25"/>
      <c r="H46" s="29">
        <v>45945</v>
      </c>
      <c r="I46">
        <v>7294.0014000000001</v>
      </c>
      <c r="J46">
        <v>464679.47733668506</v>
      </c>
    </row>
    <row r="47" spans="1:10" x14ac:dyDescent="0.3">
      <c r="A47" s="6" t="s">
        <v>48</v>
      </c>
      <c r="B47" s="17">
        <v>0.65523758240414454</v>
      </c>
      <c r="C47" s="20"/>
      <c r="D47" s="24"/>
      <c r="E47" s="24"/>
      <c r="F47" s="24"/>
      <c r="G47" s="25"/>
      <c r="H47" s="29">
        <v>45946</v>
      </c>
      <c r="I47">
        <v>7231.5335999999998</v>
      </c>
      <c r="J47">
        <v>465567.09939265542</v>
      </c>
    </row>
    <row r="48" spans="1:10" x14ac:dyDescent="0.3">
      <c r="A48" s="6" t="s">
        <v>49</v>
      </c>
      <c r="B48" s="17">
        <v>-6.9350670999757114</v>
      </c>
      <c r="C48" s="20"/>
      <c r="D48" s="24"/>
      <c r="E48" s="24"/>
      <c r="F48" s="24"/>
      <c r="G48" s="25"/>
      <c r="H48" s="29">
        <v>45947</v>
      </c>
      <c r="I48">
        <v>7016.0661</v>
      </c>
      <c r="J48">
        <v>465823.56004801544</v>
      </c>
    </row>
    <row r="49" spans="1:10" x14ac:dyDescent="0.3">
      <c r="A49" s="6" t="s">
        <v>50</v>
      </c>
      <c r="B49" s="17">
        <v>-0.6133200223096491</v>
      </c>
      <c r="C49" s="20"/>
      <c r="D49" s="24"/>
      <c r="E49" s="24"/>
      <c r="F49" s="24"/>
      <c r="G49" s="25"/>
      <c r="H49" s="29">
        <v>45950</v>
      </c>
      <c r="I49">
        <v>7069.6412</v>
      </c>
      <c r="J49">
        <v>467201.46139400033</v>
      </c>
    </row>
    <row r="50" spans="1:10" x14ac:dyDescent="0.3">
      <c r="A50" s="6" t="s">
        <v>51</v>
      </c>
      <c r="B50" s="17">
        <v>0.13594753909167934</v>
      </c>
      <c r="C50" s="20"/>
      <c r="D50" s="24"/>
      <c r="E50" s="24"/>
      <c r="F50" s="24"/>
      <c r="G50" s="25"/>
      <c r="H50" s="29">
        <v>45951</v>
      </c>
      <c r="I50">
        <v>7185.6239999999998</v>
      </c>
      <c r="J50">
        <v>468330.84111033328</v>
      </c>
    </row>
    <row r="51" spans="1:10" x14ac:dyDescent="0.3">
      <c r="A51" s="6" t="s">
        <v>52</v>
      </c>
      <c r="B51" s="17">
        <v>-0.72846199704089676</v>
      </c>
      <c r="C51" s="20"/>
      <c r="D51" s="24"/>
      <c r="E51" s="24"/>
      <c r="F51" s="24"/>
      <c r="G51" s="25"/>
      <c r="H51" s="29">
        <v>45952</v>
      </c>
      <c r="I51">
        <v>7128.4776000000002</v>
      </c>
      <c r="J51">
        <v>469229.69858271949</v>
      </c>
    </row>
    <row r="52" spans="1:10" x14ac:dyDescent="0.3">
      <c r="A52" s="6" t="s">
        <v>53</v>
      </c>
      <c r="B52" s="17">
        <v>-0.7612911441105763</v>
      </c>
      <c r="C52" s="20"/>
      <c r="D52" s="24"/>
      <c r="E52" s="24"/>
      <c r="F52" s="24"/>
      <c r="G52" s="25"/>
      <c r="H52" s="29">
        <v>45953</v>
      </c>
      <c r="I52">
        <v>7142.9535999999998</v>
      </c>
      <c r="J52">
        <v>470159.70130141306</v>
      </c>
    </row>
    <row r="53" spans="1:10" x14ac:dyDescent="0.3">
      <c r="H53" s="29">
        <v>45954</v>
      </c>
      <c r="I53">
        <v>7258.5343000000003</v>
      </c>
      <c r="J53">
        <v>471081.79418951634</v>
      </c>
    </row>
    <row r="54" spans="1:10" x14ac:dyDescent="0.3">
      <c r="H54" s="29">
        <v>45957</v>
      </c>
      <c r="I54">
        <v>7379.3941000000004</v>
      </c>
      <c r="J54">
        <v>471989.87902163406</v>
      </c>
    </row>
    <row r="55" spans="1:10" x14ac:dyDescent="0.3">
      <c r="H55" s="29">
        <v>45958</v>
      </c>
      <c r="I55">
        <v>7341.0303999999996</v>
      </c>
      <c r="J55">
        <v>472899.68900925573</v>
      </c>
    </row>
    <row r="56" spans="1:10" x14ac:dyDescent="0.3">
      <c r="H56" s="29">
        <v>45959</v>
      </c>
      <c r="I56">
        <v>7480.9665999999997</v>
      </c>
      <c r="J56">
        <v>473808.3621215095</v>
      </c>
    </row>
    <row r="57" spans="1:10" x14ac:dyDescent="0.3">
      <c r="H57" s="29">
        <v>45960</v>
      </c>
      <c r="I57">
        <v>7385.7109</v>
      </c>
      <c r="J57">
        <v>474717.34332153917</v>
      </c>
    </row>
    <row r="58" spans="1:10" x14ac:dyDescent="0.3">
      <c r="H58" s="29">
        <v>45961</v>
      </c>
      <c r="I58">
        <v>7331.0030999999999</v>
      </c>
      <c r="J58">
        <v>475625.37821483437</v>
      </c>
    </row>
    <row r="59" spans="1:10" x14ac:dyDescent="0.3">
      <c r="H59" s="29">
        <v>45964</v>
      </c>
      <c r="I59">
        <v>7333.6013000000003</v>
      </c>
      <c r="J59">
        <v>476534.65330778289</v>
      </c>
    </row>
    <row r="60" spans="1:10" x14ac:dyDescent="0.3">
      <c r="H60" s="29">
        <v>45965</v>
      </c>
      <c r="I60">
        <v>7210.8253000000004</v>
      </c>
      <c r="J60">
        <v>477443.78569957428</v>
      </c>
    </row>
    <row r="61" spans="1:10" x14ac:dyDescent="0.3">
      <c r="H61" s="29">
        <v>45966</v>
      </c>
      <c r="I61">
        <v>7229.3410000000003</v>
      </c>
      <c r="J61">
        <v>478353.06651238311</v>
      </c>
    </row>
    <row r="62" spans="1:10" x14ac:dyDescent="0.3">
      <c r="H62" s="29">
        <v>45967</v>
      </c>
      <c r="I62">
        <v>7345.723</v>
      </c>
      <c r="J62">
        <v>479268.49315068347</v>
      </c>
    </row>
    <row r="63" spans="1:10" x14ac:dyDescent="0.3">
      <c r="H63" s="29">
        <v>45968</v>
      </c>
      <c r="I63">
        <v>7327.9107999999997</v>
      </c>
      <c r="J63">
        <v>479268.49315068347</v>
      </c>
    </row>
    <row r="64" spans="1:10" x14ac:dyDescent="0.3">
      <c r="H64" s="29">
        <v>45971</v>
      </c>
      <c r="I64">
        <v>7343.8017</v>
      </c>
      <c r="J64">
        <v>479268.49315068347</v>
      </c>
    </row>
    <row r="65" spans="8:10" x14ac:dyDescent="0.3">
      <c r="H65" s="29">
        <v>45972</v>
      </c>
      <c r="I65">
        <v>7291.6084000000001</v>
      </c>
      <c r="J65">
        <v>479268.49315068347</v>
      </c>
    </row>
    <row r="66" spans="8:10" x14ac:dyDescent="0.3">
      <c r="H66" s="29">
        <v>45973</v>
      </c>
      <c r="I66">
        <v>7243.2483000000002</v>
      </c>
      <c r="J66">
        <v>479268.49315068347</v>
      </c>
    </row>
    <row r="67" spans="8:10" x14ac:dyDescent="0.3">
      <c r="H67" s="29">
        <v>45974</v>
      </c>
      <c r="I67">
        <v>7355.2911000000004</v>
      </c>
      <c r="J67">
        <v>479268.49315068347</v>
      </c>
    </row>
    <row r="68" spans="8:10" x14ac:dyDescent="0.3">
      <c r="H68" s="29">
        <v>45975</v>
      </c>
      <c r="I68">
        <v>7235.4616999999998</v>
      </c>
      <c r="J68">
        <v>479268.49315068347</v>
      </c>
    </row>
    <row r="69" spans="8:10" x14ac:dyDescent="0.3">
      <c r="H69" s="29">
        <v>45978</v>
      </c>
      <c r="I69">
        <v>7235.3512000000001</v>
      </c>
      <c r="J69">
        <v>479268.49315068347</v>
      </c>
    </row>
    <row r="70" spans="8:10" x14ac:dyDescent="0.3">
      <c r="H70" s="29">
        <v>45979</v>
      </c>
      <c r="I70">
        <v>7151.0176000000001</v>
      </c>
      <c r="J70">
        <v>479268.49315068347</v>
      </c>
    </row>
    <row r="71" spans="8:10" x14ac:dyDescent="0.3">
      <c r="H71" s="29">
        <v>45980</v>
      </c>
      <c r="I71">
        <v>7122.7465000000002</v>
      </c>
      <c r="J71">
        <v>479268.49315068347</v>
      </c>
    </row>
    <row r="72" spans="8:10" x14ac:dyDescent="0.3">
      <c r="H72" s="29">
        <v>45981</v>
      </c>
      <c r="I72">
        <v>7061.9497000000001</v>
      </c>
      <c r="J72">
        <v>479268.49315068347</v>
      </c>
    </row>
    <row r="73" spans="8:10" x14ac:dyDescent="0.3">
      <c r="H73" s="29">
        <v>45982</v>
      </c>
      <c r="I73">
        <v>6817.4102999999996</v>
      </c>
      <c r="J73">
        <v>479268.49315068347</v>
      </c>
    </row>
    <row r="74" spans="8:10" x14ac:dyDescent="0.3">
      <c r="H74" s="29">
        <v>45985</v>
      </c>
      <c r="I74">
        <v>6868.9664000000002</v>
      </c>
      <c r="J74">
        <v>479268.49315068347</v>
      </c>
    </row>
    <row r="75" spans="8:10" x14ac:dyDescent="0.3">
      <c r="H75" s="29">
        <v>45986</v>
      </c>
      <c r="I75">
        <v>6954.6034</v>
      </c>
      <c r="J75">
        <v>479268.49315068347</v>
      </c>
    </row>
    <row r="76" spans="8:10" x14ac:dyDescent="0.3">
      <c r="H76" s="29">
        <v>45987</v>
      </c>
      <c r="I76">
        <v>6965.0452999999998</v>
      </c>
      <c r="J76">
        <v>479268.49315068347</v>
      </c>
    </row>
    <row r="77" spans="8:10" x14ac:dyDescent="0.3">
      <c r="H77" s="29">
        <v>45988</v>
      </c>
      <c r="I77">
        <v>6951.2843999999996</v>
      </c>
      <c r="J77">
        <v>479268.49315068347</v>
      </c>
    </row>
    <row r="78" spans="8:10" x14ac:dyDescent="0.3">
      <c r="H78" s="29">
        <v>45989</v>
      </c>
      <c r="I78">
        <v>7031.5505000000003</v>
      </c>
      <c r="J78">
        <v>479268.49315068347</v>
      </c>
    </row>
    <row r="79" spans="8:10" x14ac:dyDescent="0.3">
      <c r="H79" s="29">
        <v>45992</v>
      </c>
      <c r="I79">
        <v>7101.8323</v>
      </c>
      <c r="J79">
        <v>479268.49315068347</v>
      </c>
    </row>
    <row r="80" spans="8:10" x14ac:dyDescent="0.3">
      <c r="H80" s="29">
        <v>45993</v>
      </c>
      <c r="I80">
        <v>7040.3008</v>
      </c>
      <c r="J80">
        <v>479268.49315068347</v>
      </c>
    </row>
    <row r="81" spans="8:10" x14ac:dyDescent="0.3">
      <c r="H81" s="29">
        <v>45994</v>
      </c>
      <c r="I81">
        <v>6996.3552</v>
      </c>
      <c r="J81">
        <v>479268.49315068347</v>
      </c>
    </row>
    <row r="82" spans="8:10" x14ac:dyDescent="0.3">
      <c r="H82" s="29">
        <v>45995</v>
      </c>
      <c r="I82">
        <v>7012.8060999999998</v>
      </c>
      <c r="J82">
        <v>479268.49315068347</v>
      </c>
    </row>
    <row r="83" spans="8:10" x14ac:dyDescent="0.3">
      <c r="H83" s="29">
        <v>45996</v>
      </c>
      <c r="I83">
        <v>7097.8388999999997</v>
      </c>
      <c r="J83">
        <v>479268.49315068347</v>
      </c>
    </row>
    <row r="84" spans="8:10" x14ac:dyDescent="0.3">
      <c r="H84" s="29">
        <v>45999</v>
      </c>
      <c r="I84">
        <v>7172.3671000000004</v>
      </c>
      <c r="J84">
        <v>479268.49315068347</v>
      </c>
    </row>
    <row r="85" spans="8:10" x14ac:dyDescent="0.3">
      <c r="H85" s="29">
        <v>46000</v>
      </c>
      <c r="I85">
        <v>7121.3256000000001</v>
      </c>
      <c r="J85">
        <v>479268.49315068347</v>
      </c>
    </row>
    <row r="86" spans="8:10" x14ac:dyDescent="0.3">
      <c r="H86" s="29">
        <v>46001</v>
      </c>
      <c r="I86">
        <v>7155.9943999999996</v>
      </c>
      <c r="J86">
        <v>479268.49315068347</v>
      </c>
    </row>
    <row r="87" spans="8:10" x14ac:dyDescent="0.3">
      <c r="H87" s="29">
        <v>46002</v>
      </c>
      <c r="I87">
        <v>7082.8932000000004</v>
      </c>
      <c r="J87">
        <v>479268.49315068347</v>
      </c>
    </row>
    <row r="88" spans="8:10" x14ac:dyDescent="0.3">
      <c r="H88" s="29">
        <v>46003</v>
      </c>
      <c r="I88">
        <v>7169.7910000000002</v>
      </c>
      <c r="J88">
        <v>479268.49315068347</v>
      </c>
    </row>
    <row r="89" spans="8:10" x14ac:dyDescent="0.3">
      <c r="H89" s="29">
        <v>46006</v>
      </c>
      <c r="I89">
        <v>7113.9620000000004</v>
      </c>
      <c r="J89">
        <v>479268.49315068347</v>
      </c>
    </row>
    <row r="90" spans="8:10" x14ac:dyDescent="0.3">
      <c r="H90" s="29">
        <v>46007</v>
      </c>
      <c r="I90">
        <v>7001.3188</v>
      </c>
      <c r="J90">
        <v>479268.49315068347</v>
      </c>
    </row>
    <row r="91" spans="8:10" x14ac:dyDescent="0.3">
      <c r="H91" s="29">
        <v>46008</v>
      </c>
      <c r="I91">
        <v>7137.8338999999996</v>
      </c>
      <c r="J91">
        <v>479268.49315068347</v>
      </c>
    </row>
    <row r="92" spans="8:10" x14ac:dyDescent="0.3">
      <c r="H92" s="29">
        <v>46009</v>
      </c>
      <c r="I92">
        <v>7100.8359</v>
      </c>
      <c r="J92">
        <v>479268.49315068347</v>
      </c>
    </row>
    <row r="93" spans="8:10" x14ac:dyDescent="0.3">
      <c r="H93" s="29">
        <v>46010</v>
      </c>
      <c r="I93">
        <v>7169.5510999999997</v>
      </c>
      <c r="J93">
        <v>479268.49315068347</v>
      </c>
    </row>
    <row r="94" spans="8:10" x14ac:dyDescent="0.3">
      <c r="H94" s="29">
        <v>46013</v>
      </c>
      <c r="I94">
        <v>7255.6607000000004</v>
      </c>
      <c r="J94">
        <v>479268.49315068347</v>
      </c>
    </row>
    <row r="95" spans="8:10" x14ac:dyDescent="0.3">
      <c r="H95" s="29">
        <v>46014</v>
      </c>
      <c r="I95">
        <v>7256.7864</v>
      </c>
      <c r="J95">
        <v>479268.49315068347</v>
      </c>
    </row>
    <row r="96" spans="8:10" x14ac:dyDescent="0.3">
      <c r="H96" s="29">
        <v>46015</v>
      </c>
      <c r="I96">
        <v>7352.0396000000001</v>
      </c>
      <c r="J96">
        <v>479268.49315068347</v>
      </c>
    </row>
    <row r="97" spans="8:10" x14ac:dyDescent="0.3">
      <c r="H97" s="29">
        <v>46016</v>
      </c>
      <c r="I97">
        <v>7410.7119000000002</v>
      </c>
      <c r="J97">
        <v>479268.49315068347</v>
      </c>
    </row>
    <row r="98" spans="8:10" x14ac:dyDescent="0.3">
      <c r="H98" s="29">
        <v>46017</v>
      </c>
      <c r="I98">
        <v>7458.8386</v>
      </c>
      <c r="J98">
        <v>479268.49315068347</v>
      </c>
    </row>
    <row r="99" spans="8:10" x14ac:dyDescent="0.3">
      <c r="H99" s="29">
        <v>46020</v>
      </c>
      <c r="I99">
        <v>7430.6147000000001</v>
      </c>
      <c r="J99">
        <v>479268.49315068347</v>
      </c>
    </row>
    <row r="100" spans="8:10" x14ac:dyDescent="0.3">
      <c r="H100" s="29">
        <v>46021</v>
      </c>
      <c r="I100">
        <v>7458.9359999999997</v>
      </c>
      <c r="J100">
        <v>479268.49315068347</v>
      </c>
    </row>
    <row r="101" spans="8:10" x14ac:dyDescent="0.3">
      <c r="H101" s="29">
        <v>46022</v>
      </c>
      <c r="I101">
        <v>7465.5742</v>
      </c>
      <c r="J101">
        <v>479268.49315068347</v>
      </c>
    </row>
    <row r="102" spans="8:10" x14ac:dyDescent="0.3">
      <c r="H102" s="29">
        <v>46027</v>
      </c>
      <c r="I102">
        <v>7651.1980999999996</v>
      </c>
      <c r="J102">
        <v>479268.49315068347</v>
      </c>
    </row>
    <row r="103" spans="8:10" x14ac:dyDescent="0.3">
      <c r="H103" s="29">
        <v>46028</v>
      </c>
      <c r="I103">
        <v>7814.1355999999996</v>
      </c>
      <c r="J103">
        <v>479268.49315068347</v>
      </c>
    </row>
    <row r="104" spans="8:10" x14ac:dyDescent="0.3">
      <c r="H104" s="29">
        <v>46029</v>
      </c>
      <c r="I104">
        <v>7875.0821999999998</v>
      </c>
      <c r="J104">
        <v>479268.49315068347</v>
      </c>
    </row>
    <row r="105" spans="8:10" x14ac:dyDescent="0.3">
      <c r="H105" s="29">
        <v>46030</v>
      </c>
      <c r="I105">
        <v>7894.5447000000004</v>
      </c>
      <c r="J105">
        <v>479268.49315068347</v>
      </c>
    </row>
    <row r="106" spans="8:10" x14ac:dyDescent="0.3">
      <c r="H106" s="29">
        <v>46031</v>
      </c>
      <c r="I106">
        <v>8056.6858000000002</v>
      </c>
      <c r="J106">
        <v>479268.49315068347</v>
      </c>
    </row>
    <row r="107" spans="8:10" x14ac:dyDescent="0.3">
      <c r="H107" s="29">
        <v>46034</v>
      </c>
      <c r="I107">
        <v>8249.1275000000005</v>
      </c>
      <c r="J107">
        <v>479268.49315068347</v>
      </c>
    </row>
    <row r="108" spans="8:10" x14ac:dyDescent="0.3">
      <c r="H108" s="29">
        <v>46035</v>
      </c>
      <c r="I108">
        <v>8143.28</v>
      </c>
      <c r="J108">
        <v>479268.49315068347</v>
      </c>
    </row>
    <row r="109" spans="8:10" x14ac:dyDescent="0.3">
      <c r="H109" s="29">
        <v>46036</v>
      </c>
      <c r="I109">
        <v>8227.6970000000001</v>
      </c>
      <c r="J109">
        <v>479268.49315068347</v>
      </c>
    </row>
    <row r="110" spans="8:10" x14ac:dyDescent="0.3">
      <c r="H110" s="29">
        <v>46037</v>
      </c>
      <c r="I110">
        <v>8223.2682999999997</v>
      </c>
      <c r="J110">
        <v>479268.49315068347</v>
      </c>
    </row>
    <row r="111" spans="8:10" x14ac:dyDescent="0.3">
      <c r="H111" s="29">
        <v>46038</v>
      </c>
      <c r="I111">
        <v>8232.6740000000009</v>
      </c>
      <c r="J111">
        <v>479268.49315068347</v>
      </c>
    </row>
    <row r="112" spans="8:10" x14ac:dyDescent="0.3">
      <c r="H112" s="29">
        <v>46041</v>
      </c>
      <c r="I112">
        <v>8287.9470000000001</v>
      </c>
      <c r="J112">
        <v>479268.49315068347</v>
      </c>
    </row>
    <row r="113" spans="8:10" x14ac:dyDescent="0.3">
      <c r="H113" s="29">
        <v>46042</v>
      </c>
      <c r="I113">
        <v>8247.8048999999992</v>
      </c>
      <c r="J113">
        <v>479268.49315068347</v>
      </c>
    </row>
    <row r="114" spans="8:10" x14ac:dyDescent="0.3">
      <c r="H114" s="29">
        <v>46043</v>
      </c>
      <c r="I114">
        <v>8340.1133000000009</v>
      </c>
      <c r="J114">
        <v>479268.49315068347</v>
      </c>
    </row>
    <row r="115" spans="8:10" x14ac:dyDescent="0.3">
      <c r="H115" s="29">
        <v>46044</v>
      </c>
      <c r="I115">
        <v>8387.5949999999993</v>
      </c>
      <c r="J115">
        <v>479268.49315068347</v>
      </c>
    </row>
    <row r="116" spans="8:10" x14ac:dyDescent="0.3">
      <c r="H116" s="29">
        <v>46045</v>
      </c>
      <c r="I116">
        <v>8590.1659</v>
      </c>
      <c r="J116">
        <v>479268.49315068347</v>
      </c>
    </row>
    <row r="117" spans="8:10" x14ac:dyDescent="0.3">
      <c r="H117" s="29">
        <v>46048</v>
      </c>
      <c r="I117">
        <v>8506.6931999999997</v>
      </c>
      <c r="J117">
        <v>479268.49315068347</v>
      </c>
    </row>
    <row r="118" spans="8:10" x14ac:dyDescent="0.3">
      <c r="H118" s="29">
        <v>46049</v>
      </c>
      <c r="I118">
        <v>8548.9321</v>
      </c>
      <c r="J118">
        <v>479268.49315068347</v>
      </c>
    </row>
    <row r="120" spans="8:10" x14ac:dyDescent="0.3">
      <c r="H120" t="s">
        <v>66</v>
      </c>
    </row>
  </sheetData>
  <phoneticPr fontId="2" type="noConversion"/>
  <dataValidations count="3">
    <dataValidation type="list" showInputMessage="1" showErrorMessage="1" sqref="B5" xr:uid="{D9120081-DA8A-4656-8FD6-9DA058A6B250}">
      <formula1>"000852.SH,000905.SH,000300.SH,000016.SH,513180.SH"</formula1>
    </dataValidation>
    <dataValidation type="list" showInputMessage="1" showErrorMessage="1" sqref="B15" xr:uid="{E0549EB6-B39E-4907-ACF2-F1C0ED9C223B}">
      <formula1>"每日观察,到期观察"</formula1>
    </dataValidation>
    <dataValidation type="list" showInputMessage="1" showErrorMessage="1" sqref="B25" xr:uid="{D82F1090-5E79-4E26-B523-9B51BFABF2DD}">
      <formula1>"含头含尾,含头不含尾"</formula1>
    </dataValidation>
  </dataValidations>
  <pageMargins left="0.7" right="0.7" top="0.75" bottom="0.75" header="0.3" footer="0.3"/>
  <legacy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EC8EB2D-8F39-4A6F-85EC-F3DA613D1722}">
  <dimension ref="A1:J126"/>
  <sheetViews>
    <sheetView workbookViewId="0">
      <selection activeCell="D30" sqref="D30"/>
    </sheetView>
  </sheetViews>
  <sheetFormatPr defaultColWidth="22.1328125" defaultRowHeight="13.5" x14ac:dyDescent="0.3"/>
  <cols>
    <col min="1" max="1" width="19.1328125" style="2" customWidth="1"/>
    <col min="2" max="2" width="22.1328125" style="1"/>
    <col min="3" max="3" width="22.1328125" style="21"/>
    <col min="4" max="6" width="22.1328125" style="3"/>
    <col min="7" max="7" width="22.1328125" style="2"/>
    <col min="8" max="8" width="11.59765625" bestFit="1" customWidth="1"/>
  </cols>
  <sheetData>
    <row r="1" spans="1:10" x14ac:dyDescent="0.3">
      <c r="A1" s="6" t="s">
        <v>6</v>
      </c>
      <c r="B1" s="9" t="s">
        <v>75</v>
      </c>
      <c r="C1" s="18" t="s">
        <v>55</v>
      </c>
      <c r="D1" s="22"/>
      <c r="E1" s="22" t="b">
        <f>(B15="每日观察")</f>
        <v>1</v>
      </c>
      <c r="F1" s="22"/>
      <c r="G1" s="7" t="b">
        <f>IF(B25="含头含尾",TRUE,FALSE)</f>
        <v>1</v>
      </c>
      <c r="I1" t="s">
        <v>69</v>
      </c>
    </row>
    <row r="2" spans="1:10" x14ac:dyDescent="0.3">
      <c r="A2" s="6" t="s">
        <v>5</v>
      </c>
      <c r="B2" s="10" t="str">
        <f>_xlfn.TEXTJOIN(,TRUE,IF(B13&gt;0,"增强型",""),IF(B15="每日观察","","欧式"),IF(AND(B21=B20,B20&lt;0.9),"不追保",""),IF(B16&lt;1,"OTM",""),"早利雪球")</f>
        <v>早利雪球</v>
      </c>
      <c r="C2" s="19" t="s">
        <v>1</v>
      </c>
      <c r="D2" s="23" t="s">
        <v>12</v>
      </c>
      <c r="E2" s="23" t="s">
        <v>54</v>
      </c>
      <c r="F2" s="23" t="s">
        <v>33</v>
      </c>
      <c r="G2" s="25"/>
      <c r="H2" s="29">
        <v>45867</v>
      </c>
      <c r="I2">
        <v>6356.1327000000001</v>
      </c>
      <c r="J2" cm="1">
        <f t="array" ref="J2">_xll.ValuateSnowball($C$1,$B$3,$B$7,_xlfn.ANCHORARRAY($C$3),_xlfn.ANCHORARRAY($D$3),_xlfn.ANCHORARRAY($F$3),$B$13,$B$19,$B$14,$B$16,$B$17,$B$20,$B$21,$B$23+$B$31,$B$22,$B$24,$G$1,$E$1,H2+0.625,I2,$B$34,$B$35,$B$36,FALSE,"NPV")*$B$6/$B$3</f>
        <v>43458.519250279161</v>
      </c>
    </row>
    <row r="3" spans="1:10" x14ac:dyDescent="0.3">
      <c r="A3" s="6" t="s">
        <v>70</v>
      </c>
      <c r="B3" s="10">
        <v>6312.47</v>
      </c>
      <c r="C3" s="26" cm="1">
        <f t="array" ref="C3:C24">_xll.ScheduleDates(C1,B7,B8,"1M",B9,"MODIFIED_FOLLOWING")</f>
        <v>45959</v>
      </c>
      <c r="D3" s="27" cm="1">
        <f t="array" ref="D3:D24">_xll.GenerateBarriers(_xlfn.ANCHORARRAY(C3),B11,B12)</f>
        <v>1</v>
      </c>
      <c r="E3" s="27" cm="1">
        <f t="array" ref="E3:E24">_xll.GenerateBonusCoupons(C1,B7,_xlfn.ANCHORARRAY(C3),B10,-1,B18)</f>
        <v>-1</v>
      </c>
      <c r="F3" s="27" cm="1">
        <f t="array" ref="F3:F24">_xll.GenerateBonusCoupons(C1,B7,_xlfn.ANCHORARRAY(C3),B10,B29,B18)</f>
        <v>0.188</v>
      </c>
      <c r="G3" s="25"/>
      <c r="H3" s="29">
        <v>45868</v>
      </c>
      <c r="I3">
        <v>6314.6872999999996</v>
      </c>
      <c r="J3">
        <v>7792.9121983106288</v>
      </c>
    </row>
    <row r="4" spans="1:10" x14ac:dyDescent="0.3">
      <c r="A4" s="6" t="s">
        <v>71</v>
      </c>
      <c r="B4" s="31">
        <v>46050</v>
      </c>
      <c r="C4" s="20">
        <v>45989</v>
      </c>
      <c r="D4" s="24">
        <v>0.995</v>
      </c>
      <c r="E4" s="24">
        <v>-1</v>
      </c>
      <c r="F4" s="24">
        <v>0.188</v>
      </c>
      <c r="G4" s="25"/>
      <c r="H4" s="29">
        <v>45869</v>
      </c>
      <c r="I4">
        <v>6226.3432000000003</v>
      </c>
      <c r="J4">
        <v>-84127.257770309181</v>
      </c>
    </row>
    <row r="5" spans="1:10" x14ac:dyDescent="0.3">
      <c r="A5" s="6" t="s">
        <v>0</v>
      </c>
      <c r="B5" s="11" t="s">
        <v>4</v>
      </c>
      <c r="C5" s="20">
        <v>46020</v>
      </c>
      <c r="D5" s="24">
        <v>0.99</v>
      </c>
      <c r="E5" s="24">
        <v>-1</v>
      </c>
      <c r="F5" s="24">
        <v>0.188</v>
      </c>
      <c r="G5" s="25"/>
      <c r="H5" s="29">
        <v>45870</v>
      </c>
      <c r="I5">
        <v>6213.2013999999999</v>
      </c>
      <c r="J5">
        <v>-94039.447321071537</v>
      </c>
    </row>
    <row r="6" spans="1:10" x14ac:dyDescent="0.3">
      <c r="A6" s="6" t="s">
        <v>7</v>
      </c>
      <c r="B6" s="12">
        <v>10000000</v>
      </c>
      <c r="C6" s="20">
        <v>46051</v>
      </c>
      <c r="D6" s="24">
        <v>0.98499999999999999</v>
      </c>
      <c r="E6" s="24">
        <v>-1</v>
      </c>
      <c r="F6" s="24">
        <v>0.188</v>
      </c>
      <c r="G6" s="25"/>
      <c r="H6" s="29">
        <v>45873</v>
      </c>
      <c r="I6">
        <v>6261.7313000000004</v>
      </c>
      <c r="J6">
        <v>-31952.566691821892</v>
      </c>
    </row>
    <row r="7" spans="1:10" x14ac:dyDescent="0.3">
      <c r="A7" s="6" t="s">
        <v>8</v>
      </c>
      <c r="B7" s="13">
        <v>45867.625</v>
      </c>
      <c r="C7" s="20">
        <v>46080</v>
      </c>
      <c r="D7" s="24">
        <v>0.98</v>
      </c>
      <c r="E7" s="24">
        <v>-1</v>
      </c>
      <c r="F7" s="24">
        <v>0.188</v>
      </c>
      <c r="G7" s="25"/>
      <c r="H7" s="29">
        <v>45874</v>
      </c>
      <c r="I7">
        <v>6303.2358999999997</v>
      </c>
      <c r="J7">
        <v>18459.944915358737</v>
      </c>
    </row>
    <row r="8" spans="1:10" x14ac:dyDescent="0.3">
      <c r="A8" s="6" t="s">
        <v>9</v>
      </c>
      <c r="B8" s="10" t="s">
        <v>10</v>
      </c>
      <c r="C8" s="20">
        <v>46111</v>
      </c>
      <c r="D8" s="24">
        <v>0.97499999999999998</v>
      </c>
      <c r="E8" s="24">
        <v>-1</v>
      </c>
      <c r="F8" s="24">
        <v>0.188</v>
      </c>
      <c r="G8" s="25"/>
      <c r="H8" s="29">
        <v>45875</v>
      </c>
      <c r="I8">
        <v>6357.3769000000002</v>
      </c>
      <c r="J8">
        <v>77632.542968879599</v>
      </c>
    </row>
    <row r="9" spans="1:10" x14ac:dyDescent="0.3">
      <c r="A9" s="6" t="s">
        <v>11</v>
      </c>
      <c r="B9" s="10">
        <v>3</v>
      </c>
      <c r="C9" s="20">
        <v>46141</v>
      </c>
      <c r="D9" s="24">
        <v>0.97</v>
      </c>
      <c r="E9" s="24">
        <v>-1</v>
      </c>
      <c r="F9" s="24">
        <v>0.188</v>
      </c>
      <c r="G9" s="25"/>
      <c r="H9" s="29">
        <v>45876</v>
      </c>
      <c r="I9">
        <v>6337.5424999999996</v>
      </c>
      <c r="J9">
        <v>64260.631471132241</v>
      </c>
    </row>
    <row r="10" spans="1:10" x14ac:dyDescent="0.3">
      <c r="A10" s="6" t="s">
        <v>56</v>
      </c>
      <c r="B10" s="10" t="s">
        <v>57</v>
      </c>
      <c r="C10" s="20">
        <v>46171</v>
      </c>
      <c r="D10" s="24">
        <v>0.96499999999999997</v>
      </c>
      <c r="E10" s="24">
        <v>-1</v>
      </c>
      <c r="F10" s="24">
        <v>0.188</v>
      </c>
      <c r="G10" s="25"/>
      <c r="H10" s="29">
        <v>45877</v>
      </c>
      <c r="I10">
        <v>6323.4998999999998</v>
      </c>
      <c r="J10">
        <v>56107.48794410345</v>
      </c>
    </row>
    <row r="11" spans="1:10" x14ac:dyDescent="0.3">
      <c r="A11" s="6" t="s">
        <v>12</v>
      </c>
      <c r="B11" s="14">
        <v>1</v>
      </c>
      <c r="C11" s="20">
        <v>46202</v>
      </c>
      <c r="D11" s="24">
        <v>0.96</v>
      </c>
      <c r="E11" s="24">
        <v>-1</v>
      </c>
      <c r="F11" s="24">
        <v>0.188</v>
      </c>
      <c r="G11" s="25"/>
      <c r="H11" s="29">
        <v>45880</v>
      </c>
      <c r="I11">
        <v>6391.7595000000001</v>
      </c>
      <c r="J11">
        <v>125279.79073425457</v>
      </c>
    </row>
    <row r="12" spans="1:10" x14ac:dyDescent="0.3">
      <c r="A12" s="6" t="s">
        <v>13</v>
      </c>
      <c r="B12" s="14">
        <v>-5.0000000000000001E-3</v>
      </c>
      <c r="C12" s="20">
        <v>46232</v>
      </c>
      <c r="D12" s="24">
        <v>0.95499999999999996</v>
      </c>
      <c r="E12" s="24">
        <v>-1</v>
      </c>
      <c r="F12" s="24">
        <v>0.188</v>
      </c>
      <c r="G12" s="25"/>
      <c r="H12" s="29">
        <v>45881</v>
      </c>
      <c r="I12">
        <v>6418.1594999999998</v>
      </c>
      <c r="J12">
        <v>153013.57164794949</v>
      </c>
    </row>
    <row r="13" spans="1:10" x14ac:dyDescent="0.3">
      <c r="A13" s="6" t="s">
        <v>14</v>
      </c>
      <c r="B13" s="14">
        <v>0</v>
      </c>
      <c r="C13" s="20">
        <v>46265</v>
      </c>
      <c r="D13" s="24">
        <v>0.95</v>
      </c>
      <c r="E13" s="24">
        <v>0.05</v>
      </c>
      <c r="F13" s="24">
        <v>0.05</v>
      </c>
      <c r="G13" s="25"/>
      <c r="H13" s="29">
        <v>45882</v>
      </c>
      <c r="I13">
        <v>6508.0977999999996</v>
      </c>
      <c r="J13">
        <v>224942.54358553799</v>
      </c>
    </row>
    <row r="14" spans="1:10" x14ac:dyDescent="0.3">
      <c r="A14" s="6" t="s">
        <v>2</v>
      </c>
      <c r="B14" s="14">
        <v>0.7</v>
      </c>
      <c r="C14" s="20">
        <v>46294</v>
      </c>
      <c r="D14" s="24">
        <v>0.94499999999999995</v>
      </c>
      <c r="E14" s="24">
        <v>0.05</v>
      </c>
      <c r="F14" s="24">
        <v>0.05</v>
      </c>
      <c r="G14" s="25"/>
      <c r="H14" s="29">
        <v>45883</v>
      </c>
      <c r="I14">
        <v>6429.8462</v>
      </c>
      <c r="J14">
        <v>173217.53177813729</v>
      </c>
    </row>
    <row r="15" spans="1:10" x14ac:dyDescent="0.3">
      <c r="A15" s="6" t="s">
        <v>15</v>
      </c>
      <c r="B15" s="11" t="s">
        <v>31</v>
      </c>
      <c r="C15" s="20">
        <v>46324</v>
      </c>
      <c r="D15" s="24">
        <v>0.94</v>
      </c>
      <c r="E15" s="24">
        <v>0.05</v>
      </c>
      <c r="F15" s="24">
        <v>0.05</v>
      </c>
      <c r="G15" s="25"/>
      <c r="H15" s="29">
        <v>45884</v>
      </c>
      <c r="I15">
        <v>6568.57</v>
      </c>
      <c r="J15">
        <v>271763.56035798893</v>
      </c>
    </row>
    <row r="16" spans="1:10" x14ac:dyDescent="0.3">
      <c r="A16" s="6" t="s">
        <v>17</v>
      </c>
      <c r="B16" s="14">
        <v>1</v>
      </c>
      <c r="C16" s="20">
        <v>46356</v>
      </c>
      <c r="D16" s="24">
        <v>0.93500000000000005</v>
      </c>
      <c r="E16" s="24">
        <v>0.05</v>
      </c>
      <c r="F16" s="24">
        <v>0.05</v>
      </c>
      <c r="G16" s="25"/>
      <c r="H16" s="29">
        <v>45887</v>
      </c>
      <c r="I16">
        <v>6668.1725999999999</v>
      </c>
      <c r="J16">
        <v>324936.27058462746</v>
      </c>
    </row>
    <row r="17" spans="1:10" x14ac:dyDescent="0.3">
      <c r="A17" s="6" t="s">
        <v>18</v>
      </c>
      <c r="B17" s="14">
        <v>1</v>
      </c>
      <c r="C17" s="20">
        <v>46385</v>
      </c>
      <c r="D17" s="24">
        <v>0.92999999999999994</v>
      </c>
      <c r="E17" s="24">
        <v>0.05</v>
      </c>
      <c r="F17" s="24">
        <v>0.05</v>
      </c>
      <c r="G17" s="25"/>
      <c r="H17" s="29">
        <v>45888</v>
      </c>
      <c r="I17">
        <v>6655.3104999999996</v>
      </c>
      <c r="J17">
        <v>323638.13149381912</v>
      </c>
    </row>
    <row r="18" spans="1:10" x14ac:dyDescent="0.3">
      <c r="A18" s="6" t="s">
        <v>58</v>
      </c>
      <c r="B18" s="14">
        <v>0.05</v>
      </c>
      <c r="C18" s="20">
        <v>46416</v>
      </c>
      <c r="D18" s="24">
        <v>0.92500000000000004</v>
      </c>
      <c r="E18" s="24">
        <v>0.05</v>
      </c>
      <c r="F18" s="24">
        <v>0.05</v>
      </c>
      <c r="G18" s="25"/>
      <c r="H18" s="29">
        <v>45889</v>
      </c>
      <c r="I18">
        <v>6728.0691999999999</v>
      </c>
      <c r="J18">
        <v>355440.75791282556</v>
      </c>
    </row>
    <row r="19" spans="1:10" x14ac:dyDescent="0.3">
      <c r="A19" s="6" t="s">
        <v>19</v>
      </c>
      <c r="B19" s="14">
        <v>0.05</v>
      </c>
      <c r="C19" s="20">
        <v>46444</v>
      </c>
      <c r="D19" s="24">
        <v>0.92</v>
      </c>
      <c r="E19" s="24">
        <v>0.05</v>
      </c>
      <c r="F19" s="24">
        <v>0.05</v>
      </c>
      <c r="G19" s="25"/>
      <c r="H19" s="29">
        <v>45890</v>
      </c>
      <c r="I19">
        <v>6704.1656999999996</v>
      </c>
      <c r="J19">
        <v>350959.58038806304</v>
      </c>
    </row>
    <row r="20" spans="1:10" x14ac:dyDescent="0.3">
      <c r="A20" s="6" t="s">
        <v>20</v>
      </c>
      <c r="B20" s="14">
        <v>1</v>
      </c>
      <c r="C20" s="20">
        <v>46475</v>
      </c>
      <c r="D20" s="24">
        <v>0.91500000000000004</v>
      </c>
      <c r="E20" s="24">
        <v>0.05</v>
      </c>
      <c r="F20" s="24">
        <v>0.05</v>
      </c>
      <c r="G20" s="25"/>
      <c r="H20" s="29">
        <v>45891</v>
      </c>
      <c r="I20">
        <v>6822.8468999999996</v>
      </c>
      <c r="J20">
        <v>389071.93819682946</v>
      </c>
    </row>
    <row r="21" spans="1:10" x14ac:dyDescent="0.3">
      <c r="A21" s="6" t="s">
        <v>21</v>
      </c>
      <c r="B21" s="14">
        <v>1</v>
      </c>
      <c r="C21" s="20">
        <v>46506</v>
      </c>
      <c r="D21" s="24">
        <v>0.91</v>
      </c>
      <c r="E21" s="24">
        <v>0.05</v>
      </c>
      <c r="F21" s="24">
        <v>0.05</v>
      </c>
      <c r="G21" s="25"/>
      <c r="H21" s="29">
        <v>45894</v>
      </c>
      <c r="I21">
        <v>6951.8954999999996</v>
      </c>
      <c r="J21">
        <v>414942.53335491067</v>
      </c>
    </row>
    <row r="22" spans="1:10" x14ac:dyDescent="0.3">
      <c r="A22" s="6" t="s">
        <v>22</v>
      </c>
      <c r="B22" s="14">
        <v>0</v>
      </c>
      <c r="C22" s="20">
        <v>46538</v>
      </c>
      <c r="D22" s="24">
        <v>0.90500000000000003</v>
      </c>
      <c r="E22" s="24">
        <v>0.05</v>
      </c>
      <c r="F22" s="24">
        <v>0.05</v>
      </c>
      <c r="G22" s="25"/>
      <c r="H22" s="29">
        <v>45895</v>
      </c>
      <c r="I22">
        <v>6964.0653000000002</v>
      </c>
      <c r="J22">
        <v>418854.11075667822</v>
      </c>
    </row>
    <row r="23" spans="1:10" x14ac:dyDescent="0.3">
      <c r="A23" s="6" t="s">
        <v>23</v>
      </c>
      <c r="B23" s="14">
        <v>0</v>
      </c>
      <c r="C23" s="20">
        <v>46567</v>
      </c>
      <c r="D23" s="24">
        <v>0.9</v>
      </c>
      <c r="E23" s="24">
        <v>0.05</v>
      </c>
      <c r="F23" s="24">
        <v>0.05</v>
      </c>
      <c r="G23" s="25"/>
      <c r="H23" s="29">
        <v>45896</v>
      </c>
      <c r="I23">
        <v>6862.5623999999998</v>
      </c>
      <c r="J23">
        <v>406204.39605966944</v>
      </c>
    </row>
    <row r="24" spans="1:10" x14ac:dyDescent="0.3">
      <c r="A24" s="6" t="s">
        <v>24</v>
      </c>
      <c r="B24" s="10">
        <v>0</v>
      </c>
      <c r="C24" s="20">
        <v>46597</v>
      </c>
      <c r="D24" s="24">
        <v>0.89500000000000002</v>
      </c>
      <c r="E24" s="24">
        <v>0.05</v>
      </c>
      <c r="F24" s="24">
        <v>0.05</v>
      </c>
      <c r="G24" s="25"/>
      <c r="H24" s="29">
        <v>45897</v>
      </c>
      <c r="I24">
        <v>7011.1602000000003</v>
      </c>
      <c r="J24">
        <v>428155.22040942131</v>
      </c>
    </row>
    <row r="25" spans="1:10" x14ac:dyDescent="0.3">
      <c r="A25" s="6" t="s">
        <v>25</v>
      </c>
      <c r="B25" s="11" t="s">
        <v>32</v>
      </c>
      <c r="C25" s="20"/>
      <c r="D25" s="24"/>
      <c r="E25" s="24"/>
      <c r="F25" s="24"/>
      <c r="G25" s="25"/>
      <c r="H25" s="29">
        <v>45898</v>
      </c>
      <c r="I25">
        <v>7043.9416000000001</v>
      </c>
      <c r="J25">
        <v>432758.95225155464</v>
      </c>
    </row>
    <row r="26" spans="1:10" x14ac:dyDescent="0.3">
      <c r="A26" s="6" t="s">
        <v>27</v>
      </c>
      <c r="B26" s="14">
        <v>0</v>
      </c>
      <c r="C26" s="20"/>
      <c r="D26" s="24"/>
      <c r="E26" s="24"/>
      <c r="F26" s="24"/>
      <c r="G26" s="25"/>
      <c r="H26" s="29">
        <v>45901</v>
      </c>
      <c r="I26">
        <v>7110.2882</v>
      </c>
      <c r="J26">
        <v>438446.94181877928</v>
      </c>
    </row>
    <row r="27" spans="1:10" x14ac:dyDescent="0.3">
      <c r="A27" s="6" t="s">
        <v>28</v>
      </c>
      <c r="B27" s="14" t="s">
        <v>29</v>
      </c>
      <c r="C27" s="20"/>
      <c r="D27" s="24"/>
      <c r="E27" s="24"/>
      <c r="F27" s="24"/>
      <c r="G27" s="25"/>
      <c r="H27" s="29">
        <v>45902</v>
      </c>
      <c r="I27">
        <v>6961.6894000000002</v>
      </c>
      <c r="J27">
        <v>429800.65847317223</v>
      </c>
    </row>
    <row r="28" spans="1:10" x14ac:dyDescent="0.3">
      <c r="A28" s="7"/>
      <c r="B28" s="14"/>
      <c r="C28" s="20"/>
      <c r="D28" s="24"/>
      <c r="E28" s="24"/>
      <c r="F28" s="24"/>
      <c r="G28" s="25"/>
      <c r="H28" s="29">
        <v>45903</v>
      </c>
      <c r="I28">
        <v>6868.4615000000003</v>
      </c>
      <c r="J28">
        <v>420849.53816161276</v>
      </c>
    </row>
    <row r="29" spans="1:10" x14ac:dyDescent="0.3">
      <c r="A29" s="6" t="s">
        <v>59</v>
      </c>
      <c r="B29" s="34">
        <v>0.188</v>
      </c>
      <c r="C29" s="20"/>
      <c r="D29" s="24"/>
      <c r="E29" s="24"/>
      <c r="F29" s="24"/>
      <c r="G29" s="25"/>
      <c r="H29" s="29">
        <v>45904</v>
      </c>
      <c r="I29">
        <v>6698.4474</v>
      </c>
      <c r="J29">
        <v>387482.56317927438</v>
      </c>
    </row>
    <row r="30" spans="1:10" x14ac:dyDescent="0.3">
      <c r="A30" s="7"/>
      <c r="B30" s="14"/>
      <c r="C30" s="20"/>
      <c r="D30" s="24"/>
      <c r="E30" s="24"/>
      <c r="F30" s="24"/>
      <c r="G30" s="25"/>
      <c r="H30" s="29">
        <v>45905</v>
      </c>
      <c r="I30">
        <v>6913.9531999999999</v>
      </c>
      <c r="J30">
        <v>431564.99495297024</v>
      </c>
    </row>
    <row r="31" spans="1:10" x14ac:dyDescent="0.3">
      <c r="A31" s="6" t="s">
        <v>34</v>
      </c>
      <c r="B31" s="14">
        <v>0</v>
      </c>
      <c r="C31" s="20"/>
      <c r="D31" s="24"/>
      <c r="E31" s="24"/>
      <c r="F31" s="24"/>
      <c r="G31" s="25"/>
      <c r="H31" s="29">
        <v>45908</v>
      </c>
      <c r="I31">
        <v>6992.1169</v>
      </c>
      <c r="J31">
        <v>440371.30412939889</v>
      </c>
    </row>
    <row r="32" spans="1:10" x14ac:dyDescent="0.3">
      <c r="A32" s="6" t="s">
        <v>35</v>
      </c>
      <c r="B32" s="14" t="s">
        <v>36</v>
      </c>
      <c r="C32" s="20"/>
      <c r="D32" s="24"/>
      <c r="E32" s="24"/>
      <c r="F32" s="24"/>
      <c r="G32" s="25"/>
      <c r="H32" s="29">
        <v>45909</v>
      </c>
      <c r="I32">
        <v>6928.9651000000003</v>
      </c>
      <c r="J32">
        <v>437473.85901203653</v>
      </c>
    </row>
    <row r="33" spans="1:10" x14ac:dyDescent="0.3">
      <c r="A33" s="7"/>
      <c r="B33" s="14"/>
      <c r="C33" s="20"/>
      <c r="D33" s="24"/>
      <c r="E33" s="24"/>
      <c r="F33" s="24"/>
      <c r="G33" s="25"/>
      <c r="H33" s="29">
        <v>45910</v>
      </c>
      <c r="I33">
        <v>6932.1091999999999</v>
      </c>
      <c r="J33">
        <v>439850.15034280007</v>
      </c>
    </row>
    <row r="34" spans="1:10" x14ac:dyDescent="0.3">
      <c r="A34" s="6" t="s">
        <v>37</v>
      </c>
      <c r="B34" s="16">
        <v>2.1000000000000001E-2</v>
      </c>
      <c r="C34" s="20"/>
      <c r="D34" s="24"/>
      <c r="E34" s="24"/>
      <c r="F34" s="24"/>
      <c r="G34" s="25"/>
      <c r="H34" s="29">
        <v>45911</v>
      </c>
      <c r="I34">
        <v>7122.7051000000001</v>
      </c>
      <c r="J34">
        <v>450567.52776027663</v>
      </c>
    </row>
    <row r="35" spans="1:10" x14ac:dyDescent="0.3">
      <c r="A35" s="6" t="s">
        <v>38</v>
      </c>
      <c r="B35" s="14">
        <v>-5.5379999999999999E-2</v>
      </c>
      <c r="C35" s="20"/>
      <c r="D35" s="24"/>
      <c r="E35" s="24"/>
      <c r="F35" s="24"/>
      <c r="G35" s="25"/>
      <c r="H35" s="29">
        <v>45912</v>
      </c>
      <c r="I35">
        <v>7147.7488999999996</v>
      </c>
      <c r="J35">
        <v>452340.51145757583</v>
      </c>
    </row>
    <row r="36" spans="1:10" x14ac:dyDescent="0.3">
      <c r="A36" s="6" t="s">
        <v>39</v>
      </c>
      <c r="B36" s="14">
        <v>0.15</v>
      </c>
      <c r="C36" s="20"/>
      <c r="D36" s="24"/>
      <c r="E36" s="24"/>
      <c r="F36" s="24"/>
      <c r="G36" s="25"/>
      <c r="H36" s="29">
        <v>45915</v>
      </c>
      <c r="I36">
        <v>7137.3626999999997</v>
      </c>
      <c r="J36">
        <v>453394.42087860982</v>
      </c>
    </row>
    <row r="37" spans="1:10" x14ac:dyDescent="0.3">
      <c r="A37" s="7"/>
      <c r="B37" s="10"/>
      <c r="C37" s="20"/>
      <c r="D37" s="24"/>
      <c r="E37" s="24"/>
      <c r="F37" s="24"/>
      <c r="G37" s="25"/>
      <c r="H37" s="29">
        <v>45916</v>
      </c>
      <c r="I37">
        <v>7190.9928</v>
      </c>
      <c r="J37">
        <v>455233.00812399213</v>
      </c>
    </row>
    <row r="38" spans="1:10" x14ac:dyDescent="0.3">
      <c r="A38" s="8" t="s">
        <v>40</v>
      </c>
      <c r="B38" s="10"/>
      <c r="C38" s="20"/>
      <c r="D38" s="24"/>
      <c r="E38" s="24"/>
      <c r="F38" s="24"/>
      <c r="G38" s="25"/>
      <c r="H38" s="29">
        <v>45917</v>
      </c>
      <c r="I38">
        <v>7260.0352999999996</v>
      </c>
      <c r="J38">
        <v>456744.31946366123</v>
      </c>
    </row>
    <row r="39" spans="1:10" x14ac:dyDescent="0.3">
      <c r="A39" s="6" t="s">
        <v>41</v>
      </c>
      <c r="B39" s="17">
        <f>B47*100</f>
        <v>65.310981986843601</v>
      </c>
      <c r="C39" s="20"/>
      <c r="D39" s="24"/>
      <c r="E39" s="24"/>
      <c r="F39" s="24"/>
      <c r="G39" s="25"/>
      <c r="H39" s="29">
        <v>45918</v>
      </c>
      <c r="I39">
        <v>7199.8828000000003</v>
      </c>
      <c r="J39">
        <v>457457.74589091173</v>
      </c>
    </row>
    <row r="40" spans="1:10" x14ac:dyDescent="0.3">
      <c r="A40" s="6" t="s">
        <v>42</v>
      </c>
      <c r="B40" s="17">
        <f>B48*1%*100</f>
        <v>-6.8892198481318445</v>
      </c>
      <c r="C40" s="20"/>
      <c r="D40" s="24"/>
      <c r="E40" s="24"/>
      <c r="F40" s="24"/>
      <c r="G40" s="25"/>
      <c r="H40" s="29">
        <v>45919</v>
      </c>
      <c r="I40">
        <v>7170.3487999999998</v>
      </c>
      <c r="J40">
        <v>458322.70288249257</v>
      </c>
    </row>
    <row r="41" spans="1:10" x14ac:dyDescent="0.3">
      <c r="A41" s="6" t="s">
        <v>43</v>
      </c>
      <c r="B41" s="17">
        <f>B49*1%*100</f>
        <v>-0.61447790756429255</v>
      </c>
      <c r="C41" s="20"/>
      <c r="D41" s="24"/>
      <c r="E41" s="24"/>
      <c r="F41" s="24"/>
      <c r="G41" s="25"/>
      <c r="H41" s="29">
        <v>45922</v>
      </c>
      <c r="I41">
        <v>7225.1280999999999</v>
      </c>
      <c r="J41">
        <v>459614.29175856989</v>
      </c>
    </row>
    <row r="42" spans="1:10" x14ac:dyDescent="0.3">
      <c r="A42" s="6" t="s">
        <v>44</v>
      </c>
      <c r="B42" s="17">
        <f>B50*1/242*100</f>
        <v>5.5752817710685854E-2</v>
      </c>
      <c r="C42" s="20"/>
      <c r="D42" s="24"/>
      <c r="E42" s="24"/>
      <c r="F42" s="24"/>
      <c r="G42" s="25"/>
      <c r="H42" s="29">
        <v>45923</v>
      </c>
      <c r="I42">
        <v>7180.7137000000002</v>
      </c>
      <c r="J42">
        <v>460452.1707594624</v>
      </c>
    </row>
    <row r="43" spans="1:10" x14ac:dyDescent="0.3">
      <c r="A43" s="6" t="s">
        <v>45</v>
      </c>
      <c r="B43" s="17">
        <f>1%*B51*100</f>
        <v>-0.72895478114788359</v>
      </c>
      <c r="C43" s="20"/>
      <c r="D43" s="24"/>
      <c r="E43" s="24"/>
      <c r="F43" s="24"/>
      <c r="G43" s="25"/>
      <c r="H43" s="29">
        <v>45924</v>
      </c>
      <c r="I43">
        <v>7323.7093000000004</v>
      </c>
      <c r="J43">
        <v>461691.05577236903</v>
      </c>
    </row>
    <row r="44" spans="1:10" x14ac:dyDescent="0.3">
      <c r="A44" s="6" t="s">
        <v>46</v>
      </c>
      <c r="B44" s="17">
        <f>1%*B52*100</f>
        <v>-0.7586586729680489</v>
      </c>
      <c r="C44" s="20"/>
      <c r="D44" s="24"/>
      <c r="E44" s="24"/>
      <c r="F44" s="24"/>
      <c r="G44" s="25"/>
      <c r="H44" s="29">
        <v>45925</v>
      </c>
      <c r="I44">
        <v>7341.3238000000001</v>
      </c>
      <c r="J44">
        <v>462623.97120393056</v>
      </c>
    </row>
    <row r="45" spans="1:10" x14ac:dyDescent="0.3">
      <c r="A45" s="7"/>
      <c r="B45" s="17"/>
      <c r="C45" s="20"/>
      <c r="D45" s="24"/>
      <c r="E45" s="24"/>
      <c r="F45" s="24"/>
      <c r="G45" s="25"/>
      <c r="H45" s="29">
        <v>45926</v>
      </c>
      <c r="I45">
        <v>7240.9114</v>
      </c>
      <c r="J45">
        <v>463490.66986844828</v>
      </c>
    </row>
    <row r="46" spans="1:10" x14ac:dyDescent="0.3">
      <c r="A46" s="6" t="s">
        <v>47</v>
      </c>
      <c r="B46" s="28" cm="1">
        <f t="array" ref="B46:B52">_xll.ValuateSnowball(C1,1,B7,_xlfn.ANCHORARRAY(C3),_xlfn.ANCHORARRAY(D3),_xlfn.ANCHORARRAY(F3),B13,B19,B14,B16,B17,B20,B21,B23+B31,B22,B24,G1,E1,B7,1,B34,B35,B36,FALSE,"ALL")</f>
        <v>-6.5379855598290959E-6</v>
      </c>
      <c r="C46" s="20"/>
      <c r="D46" s="24"/>
      <c r="E46" s="24"/>
      <c r="F46" s="24"/>
      <c r="G46" s="25"/>
      <c r="H46" s="29">
        <v>45929</v>
      </c>
      <c r="I46">
        <v>7350.5599000000002</v>
      </c>
      <c r="J46">
        <v>464459.42244364071</v>
      </c>
    </row>
    <row r="47" spans="1:10" x14ac:dyDescent="0.3">
      <c r="A47" s="6" t="s">
        <v>48</v>
      </c>
      <c r="B47" s="17">
        <v>0.65310981986843597</v>
      </c>
      <c r="C47" s="20"/>
      <c r="D47" s="24"/>
      <c r="E47" s="24"/>
      <c r="F47" s="24"/>
      <c r="G47" s="25"/>
      <c r="H47" s="29">
        <v>45930</v>
      </c>
      <c r="I47">
        <v>7412.3684000000003</v>
      </c>
      <c r="J47">
        <v>465374.62490804569</v>
      </c>
    </row>
    <row r="48" spans="1:10" x14ac:dyDescent="0.3">
      <c r="A48" s="6" t="s">
        <v>49</v>
      </c>
      <c r="B48" s="17">
        <v>-6.8892198481318445</v>
      </c>
      <c r="C48" s="20"/>
      <c r="D48" s="24"/>
      <c r="E48" s="24"/>
      <c r="F48" s="24"/>
      <c r="G48" s="25"/>
      <c r="H48" s="29">
        <v>45939</v>
      </c>
      <c r="I48">
        <v>7548.9225999999999</v>
      </c>
      <c r="J48">
        <v>466284.31257170776</v>
      </c>
    </row>
    <row r="49" spans="1:10" x14ac:dyDescent="0.3">
      <c r="A49" s="6" t="s">
        <v>50</v>
      </c>
      <c r="B49" s="17">
        <v>-0.61447790756429255</v>
      </c>
      <c r="C49" s="20"/>
      <c r="D49" s="24"/>
      <c r="E49" s="24"/>
      <c r="F49" s="24"/>
      <c r="G49" s="25"/>
      <c r="H49" s="29">
        <v>45940</v>
      </c>
      <c r="I49">
        <v>7398.2241000000004</v>
      </c>
      <c r="J49">
        <v>467192.13113657827</v>
      </c>
    </row>
    <row r="50" spans="1:10" x14ac:dyDescent="0.3">
      <c r="A50" s="6" t="s">
        <v>51</v>
      </c>
      <c r="B50" s="17">
        <v>0.13492181885985977</v>
      </c>
      <c r="C50" s="20"/>
      <c r="D50" s="24"/>
      <c r="E50" s="24"/>
      <c r="F50" s="24"/>
      <c r="G50" s="25"/>
      <c r="H50" s="29">
        <v>45943</v>
      </c>
      <c r="I50">
        <v>7376.5636000000004</v>
      </c>
      <c r="J50">
        <v>468101.63315280812</v>
      </c>
    </row>
    <row r="51" spans="1:10" x14ac:dyDescent="0.3">
      <c r="A51" s="6" t="s">
        <v>52</v>
      </c>
      <c r="B51" s="17">
        <v>-0.72895478114788359</v>
      </c>
      <c r="C51" s="20"/>
      <c r="D51" s="24"/>
      <c r="E51" s="24"/>
      <c r="F51" s="24"/>
      <c r="G51" s="25"/>
      <c r="H51" s="29">
        <v>45944</v>
      </c>
      <c r="I51">
        <v>7194.8509000000004</v>
      </c>
      <c r="J51">
        <v>469005.22177318344</v>
      </c>
    </row>
    <row r="52" spans="1:10" x14ac:dyDescent="0.3">
      <c r="A52" s="6" t="s">
        <v>53</v>
      </c>
      <c r="B52" s="17">
        <v>-0.7586586729680489</v>
      </c>
      <c r="C52" s="20"/>
      <c r="D52" s="24"/>
      <c r="E52" s="24"/>
      <c r="F52" s="24"/>
      <c r="G52" s="25"/>
      <c r="H52" s="29">
        <v>45945</v>
      </c>
      <c r="I52">
        <v>7294.0014000000001</v>
      </c>
      <c r="J52">
        <v>469917.64940579754</v>
      </c>
    </row>
    <row r="53" spans="1:10" x14ac:dyDescent="0.3">
      <c r="H53" s="29">
        <v>45946</v>
      </c>
      <c r="I53">
        <v>7231.5335999999998</v>
      </c>
      <c r="J53">
        <v>470827.21624888753</v>
      </c>
    </row>
    <row r="54" spans="1:10" x14ac:dyDescent="0.3">
      <c r="H54" s="29">
        <v>45947</v>
      </c>
      <c r="I54">
        <v>7016.0661</v>
      </c>
      <c r="J54">
        <v>471725.43776124727</v>
      </c>
    </row>
    <row r="55" spans="1:10" x14ac:dyDescent="0.3">
      <c r="H55" s="29">
        <v>45950</v>
      </c>
      <c r="I55">
        <v>7069.6412</v>
      </c>
      <c r="J55">
        <v>472644.32523951295</v>
      </c>
    </row>
    <row r="56" spans="1:10" x14ac:dyDescent="0.3">
      <c r="H56" s="29">
        <v>45951</v>
      </c>
      <c r="I56">
        <v>7185.6239999999998</v>
      </c>
      <c r="J56">
        <v>473553.64673634357</v>
      </c>
    </row>
    <row r="57" spans="1:10" x14ac:dyDescent="0.3">
      <c r="H57" s="29">
        <v>45952</v>
      </c>
      <c r="I57">
        <v>7128.4776000000002</v>
      </c>
      <c r="J57">
        <v>474461.74230872298</v>
      </c>
    </row>
    <row r="58" spans="1:10" x14ac:dyDescent="0.3">
      <c r="H58" s="29">
        <v>45953</v>
      </c>
      <c r="I58">
        <v>7142.9535999999998</v>
      </c>
      <c r="J58">
        <v>475370.75134581461</v>
      </c>
    </row>
    <row r="59" spans="1:10" x14ac:dyDescent="0.3">
      <c r="H59" s="29">
        <v>45954</v>
      </c>
      <c r="I59">
        <v>7258.5343000000003</v>
      </c>
      <c r="J59">
        <v>476279.99435989611</v>
      </c>
    </row>
    <row r="60" spans="1:10" x14ac:dyDescent="0.3">
      <c r="H60" s="29">
        <v>45957</v>
      </c>
      <c r="I60">
        <v>7379.3941000000004</v>
      </c>
      <c r="J60">
        <v>477189.09095829196</v>
      </c>
    </row>
    <row r="61" spans="1:10" x14ac:dyDescent="0.3">
      <c r="H61" s="29">
        <v>45958</v>
      </c>
      <c r="I61">
        <v>7341.0303999999996</v>
      </c>
      <c r="J61">
        <v>478099.30091558507</v>
      </c>
    </row>
    <row r="62" spans="1:10" x14ac:dyDescent="0.3">
      <c r="H62" s="29">
        <v>45959</v>
      </c>
      <c r="I62">
        <v>7480.9665999999997</v>
      </c>
      <c r="J62">
        <v>479013.69863013766</v>
      </c>
    </row>
    <row r="63" spans="1:10" x14ac:dyDescent="0.3">
      <c r="H63" s="29">
        <v>45960</v>
      </c>
      <c r="I63">
        <v>7385.7109</v>
      </c>
      <c r="J63">
        <v>479013.69863013766</v>
      </c>
    </row>
    <row r="64" spans="1:10" x14ac:dyDescent="0.3">
      <c r="H64" s="29">
        <v>45961</v>
      </c>
      <c r="I64">
        <v>7331.0030999999999</v>
      </c>
      <c r="J64">
        <v>479013.69863013766</v>
      </c>
    </row>
    <row r="65" spans="8:10" x14ac:dyDescent="0.3">
      <c r="H65" s="29">
        <v>45964</v>
      </c>
      <c r="I65">
        <v>7333.6013000000003</v>
      </c>
      <c r="J65">
        <v>479013.69863013766</v>
      </c>
    </row>
    <row r="66" spans="8:10" x14ac:dyDescent="0.3">
      <c r="H66" s="29">
        <v>45965</v>
      </c>
      <c r="I66">
        <v>7210.8253000000004</v>
      </c>
      <c r="J66">
        <v>479013.69863013766</v>
      </c>
    </row>
    <row r="67" spans="8:10" x14ac:dyDescent="0.3">
      <c r="H67" s="29">
        <v>45966</v>
      </c>
      <c r="I67">
        <v>7229.3410000000003</v>
      </c>
      <c r="J67">
        <v>479013.69863013766</v>
      </c>
    </row>
    <row r="68" spans="8:10" x14ac:dyDescent="0.3">
      <c r="H68" s="29">
        <v>45967</v>
      </c>
      <c r="I68">
        <v>7345.723</v>
      </c>
      <c r="J68">
        <v>479013.69863013766</v>
      </c>
    </row>
    <row r="69" spans="8:10" x14ac:dyDescent="0.3">
      <c r="H69" s="29">
        <v>45968</v>
      </c>
      <c r="I69">
        <v>7327.9107999999997</v>
      </c>
      <c r="J69">
        <v>479013.69863013766</v>
      </c>
    </row>
    <row r="70" spans="8:10" x14ac:dyDescent="0.3">
      <c r="H70" s="29">
        <v>45971</v>
      </c>
      <c r="I70">
        <v>7343.8017</v>
      </c>
      <c r="J70">
        <v>479013.69863013766</v>
      </c>
    </row>
    <row r="71" spans="8:10" x14ac:dyDescent="0.3">
      <c r="H71" s="29">
        <v>45972</v>
      </c>
      <c r="I71">
        <v>7291.6084000000001</v>
      </c>
      <c r="J71">
        <v>479013.69863013766</v>
      </c>
    </row>
    <row r="72" spans="8:10" x14ac:dyDescent="0.3">
      <c r="H72" s="29">
        <v>45973</v>
      </c>
      <c r="I72">
        <v>7243.2483000000002</v>
      </c>
      <c r="J72">
        <v>479013.69863013766</v>
      </c>
    </row>
    <row r="73" spans="8:10" x14ac:dyDescent="0.3">
      <c r="H73" s="29">
        <v>45974</v>
      </c>
      <c r="I73">
        <v>7355.2911000000004</v>
      </c>
      <c r="J73">
        <v>479013.69863013766</v>
      </c>
    </row>
    <row r="74" spans="8:10" x14ac:dyDescent="0.3">
      <c r="H74" s="29">
        <v>45975</v>
      </c>
      <c r="I74">
        <v>7235.4616999999998</v>
      </c>
      <c r="J74">
        <v>479013.69863013766</v>
      </c>
    </row>
    <row r="75" spans="8:10" x14ac:dyDescent="0.3">
      <c r="H75" s="29">
        <v>45978</v>
      </c>
      <c r="I75">
        <v>7235.3512000000001</v>
      </c>
      <c r="J75">
        <v>479013.69863013766</v>
      </c>
    </row>
    <row r="76" spans="8:10" x14ac:dyDescent="0.3">
      <c r="H76" s="29">
        <v>45979</v>
      </c>
      <c r="I76">
        <v>7151.0176000000001</v>
      </c>
      <c r="J76">
        <v>479013.69863013766</v>
      </c>
    </row>
    <row r="77" spans="8:10" x14ac:dyDescent="0.3">
      <c r="H77" s="29">
        <v>45980</v>
      </c>
      <c r="I77">
        <v>7122.7465000000002</v>
      </c>
      <c r="J77">
        <v>479013.69863013766</v>
      </c>
    </row>
    <row r="78" spans="8:10" x14ac:dyDescent="0.3">
      <c r="H78" s="29">
        <v>45981</v>
      </c>
      <c r="I78">
        <v>7061.9497000000001</v>
      </c>
      <c r="J78">
        <v>479013.69863013766</v>
      </c>
    </row>
    <row r="79" spans="8:10" x14ac:dyDescent="0.3">
      <c r="H79" s="29">
        <v>45982</v>
      </c>
      <c r="I79">
        <v>6817.4102999999996</v>
      </c>
      <c r="J79">
        <v>479013.69863013766</v>
      </c>
    </row>
    <row r="80" spans="8:10" x14ac:dyDescent="0.3">
      <c r="H80" s="29">
        <v>45985</v>
      </c>
      <c r="I80">
        <v>6868.9664000000002</v>
      </c>
      <c r="J80">
        <v>479013.69863013766</v>
      </c>
    </row>
    <row r="81" spans="8:10" x14ac:dyDescent="0.3">
      <c r="H81" s="29">
        <v>45986</v>
      </c>
      <c r="I81">
        <v>6954.6034</v>
      </c>
      <c r="J81">
        <v>479013.69863013766</v>
      </c>
    </row>
    <row r="82" spans="8:10" x14ac:dyDescent="0.3">
      <c r="H82" s="29">
        <v>45987</v>
      </c>
      <c r="I82">
        <v>6965.0452999999998</v>
      </c>
      <c r="J82">
        <v>479013.69863013766</v>
      </c>
    </row>
    <row r="83" spans="8:10" x14ac:dyDescent="0.3">
      <c r="H83" s="29">
        <v>45988</v>
      </c>
      <c r="I83">
        <v>6951.2843999999996</v>
      </c>
      <c r="J83">
        <v>479013.69863013766</v>
      </c>
    </row>
    <row r="84" spans="8:10" x14ac:dyDescent="0.3">
      <c r="H84" s="29">
        <v>45989</v>
      </c>
      <c r="I84">
        <v>7031.5505000000003</v>
      </c>
      <c r="J84">
        <v>479013.69863013766</v>
      </c>
    </row>
    <row r="85" spans="8:10" x14ac:dyDescent="0.3">
      <c r="H85" s="29">
        <v>45992</v>
      </c>
      <c r="I85">
        <v>7101.8323</v>
      </c>
      <c r="J85">
        <v>479013.69863013766</v>
      </c>
    </row>
    <row r="86" spans="8:10" x14ac:dyDescent="0.3">
      <c r="H86" s="29">
        <v>45993</v>
      </c>
      <c r="I86">
        <v>7040.3008</v>
      </c>
      <c r="J86">
        <v>479013.69863013766</v>
      </c>
    </row>
    <row r="87" spans="8:10" x14ac:dyDescent="0.3">
      <c r="H87" s="29">
        <v>45994</v>
      </c>
      <c r="I87">
        <v>6996.3552</v>
      </c>
      <c r="J87">
        <v>479013.69863013766</v>
      </c>
    </row>
    <row r="88" spans="8:10" x14ac:dyDescent="0.3">
      <c r="H88" s="29">
        <v>45995</v>
      </c>
      <c r="I88">
        <v>7012.8060999999998</v>
      </c>
      <c r="J88">
        <v>479013.69863013766</v>
      </c>
    </row>
    <row r="89" spans="8:10" x14ac:dyDescent="0.3">
      <c r="H89" s="29">
        <v>45996</v>
      </c>
      <c r="I89">
        <v>7097.8388999999997</v>
      </c>
      <c r="J89">
        <v>479013.69863013766</v>
      </c>
    </row>
    <row r="90" spans="8:10" x14ac:dyDescent="0.3">
      <c r="H90" s="29">
        <v>45999</v>
      </c>
      <c r="I90">
        <v>7172.3671000000004</v>
      </c>
      <c r="J90">
        <v>479013.69863013766</v>
      </c>
    </row>
    <row r="91" spans="8:10" x14ac:dyDescent="0.3">
      <c r="H91" s="29">
        <v>46000</v>
      </c>
      <c r="I91">
        <v>7121.3256000000001</v>
      </c>
      <c r="J91">
        <v>479013.69863013766</v>
      </c>
    </row>
    <row r="92" spans="8:10" x14ac:dyDescent="0.3">
      <c r="H92" s="29">
        <v>46001</v>
      </c>
      <c r="I92">
        <v>7155.9943999999996</v>
      </c>
      <c r="J92">
        <v>479013.69863013766</v>
      </c>
    </row>
    <row r="93" spans="8:10" x14ac:dyDescent="0.3">
      <c r="H93" s="29">
        <v>46002</v>
      </c>
      <c r="I93">
        <v>7082.8932000000004</v>
      </c>
      <c r="J93">
        <v>479013.69863013766</v>
      </c>
    </row>
    <row r="94" spans="8:10" x14ac:dyDescent="0.3">
      <c r="H94" s="29">
        <v>46003</v>
      </c>
      <c r="I94">
        <v>7169.7910000000002</v>
      </c>
      <c r="J94">
        <v>479013.69863013766</v>
      </c>
    </row>
    <row r="95" spans="8:10" x14ac:dyDescent="0.3">
      <c r="H95" s="29">
        <v>46006</v>
      </c>
      <c r="I95">
        <v>7113.9620000000004</v>
      </c>
      <c r="J95">
        <v>479013.69863013766</v>
      </c>
    </row>
    <row r="96" spans="8:10" x14ac:dyDescent="0.3">
      <c r="H96" s="29">
        <v>46007</v>
      </c>
      <c r="I96">
        <v>7001.3188</v>
      </c>
      <c r="J96">
        <v>479013.69863013766</v>
      </c>
    </row>
    <row r="97" spans="8:10" x14ac:dyDescent="0.3">
      <c r="H97" s="29">
        <v>46008</v>
      </c>
      <c r="I97">
        <v>7137.8338999999996</v>
      </c>
      <c r="J97">
        <v>479013.69863013766</v>
      </c>
    </row>
    <row r="98" spans="8:10" x14ac:dyDescent="0.3">
      <c r="H98" s="29">
        <v>46009</v>
      </c>
      <c r="I98">
        <v>7100.8359</v>
      </c>
      <c r="J98">
        <v>479013.69863013766</v>
      </c>
    </row>
    <row r="99" spans="8:10" x14ac:dyDescent="0.3">
      <c r="H99" s="29">
        <v>46010</v>
      </c>
      <c r="I99">
        <v>7169.5510999999997</v>
      </c>
      <c r="J99">
        <v>479013.69863013766</v>
      </c>
    </row>
    <row r="100" spans="8:10" x14ac:dyDescent="0.3">
      <c r="H100" s="29">
        <v>46013</v>
      </c>
      <c r="I100">
        <v>7255.6607000000004</v>
      </c>
      <c r="J100">
        <v>479013.69863013766</v>
      </c>
    </row>
    <row r="101" spans="8:10" x14ac:dyDescent="0.3">
      <c r="H101" s="29">
        <v>46014</v>
      </c>
      <c r="I101">
        <v>7256.7864</v>
      </c>
      <c r="J101">
        <v>479013.69863013766</v>
      </c>
    </row>
    <row r="102" spans="8:10" x14ac:dyDescent="0.3">
      <c r="H102" s="29">
        <v>46015</v>
      </c>
      <c r="I102">
        <v>7352.0396000000001</v>
      </c>
      <c r="J102">
        <v>479013.69863013766</v>
      </c>
    </row>
    <row r="103" spans="8:10" x14ac:dyDescent="0.3">
      <c r="H103" s="29">
        <v>46016</v>
      </c>
      <c r="I103">
        <v>7410.7119000000002</v>
      </c>
      <c r="J103">
        <v>479013.69863013766</v>
      </c>
    </row>
    <row r="104" spans="8:10" x14ac:dyDescent="0.3">
      <c r="H104" s="29">
        <v>46017</v>
      </c>
      <c r="I104">
        <v>7458.8386</v>
      </c>
      <c r="J104">
        <v>479013.69863013766</v>
      </c>
    </row>
    <row r="105" spans="8:10" x14ac:dyDescent="0.3">
      <c r="H105" s="29">
        <v>46020</v>
      </c>
      <c r="I105">
        <v>7430.6147000000001</v>
      </c>
      <c r="J105">
        <v>479013.69863013766</v>
      </c>
    </row>
    <row r="106" spans="8:10" x14ac:dyDescent="0.3">
      <c r="H106" s="29">
        <v>46021</v>
      </c>
      <c r="I106">
        <v>7458.9359999999997</v>
      </c>
      <c r="J106">
        <v>479013.69863013766</v>
      </c>
    </row>
    <row r="107" spans="8:10" x14ac:dyDescent="0.3">
      <c r="H107" s="29">
        <v>46022</v>
      </c>
      <c r="I107">
        <v>7465.5742</v>
      </c>
      <c r="J107">
        <v>479013.69863013766</v>
      </c>
    </row>
    <row r="108" spans="8:10" x14ac:dyDescent="0.3">
      <c r="H108" s="29">
        <v>46027</v>
      </c>
      <c r="I108">
        <v>7651.1980999999996</v>
      </c>
      <c r="J108">
        <v>479013.69863013766</v>
      </c>
    </row>
    <row r="109" spans="8:10" x14ac:dyDescent="0.3">
      <c r="H109" s="29">
        <v>46028</v>
      </c>
      <c r="I109">
        <v>7814.1355999999996</v>
      </c>
      <c r="J109">
        <v>479013.69863013766</v>
      </c>
    </row>
    <row r="110" spans="8:10" x14ac:dyDescent="0.3">
      <c r="H110" s="29">
        <v>46029</v>
      </c>
      <c r="I110">
        <v>7875.0821999999998</v>
      </c>
      <c r="J110">
        <v>479013.69863013766</v>
      </c>
    </row>
    <row r="111" spans="8:10" x14ac:dyDescent="0.3">
      <c r="H111" s="29">
        <v>46030</v>
      </c>
      <c r="I111">
        <v>7894.5447000000004</v>
      </c>
      <c r="J111">
        <v>479013.69863013766</v>
      </c>
    </row>
    <row r="112" spans="8:10" x14ac:dyDescent="0.3">
      <c r="H112" s="29">
        <v>46031</v>
      </c>
      <c r="I112">
        <v>8056.6858000000002</v>
      </c>
      <c r="J112">
        <v>479013.69863013766</v>
      </c>
    </row>
    <row r="113" spans="8:10" x14ac:dyDescent="0.3">
      <c r="H113" s="29">
        <v>46034</v>
      </c>
      <c r="I113">
        <v>8249.1275000000005</v>
      </c>
      <c r="J113">
        <v>479013.69863013766</v>
      </c>
    </row>
    <row r="114" spans="8:10" x14ac:dyDescent="0.3">
      <c r="H114" s="29">
        <v>46035</v>
      </c>
      <c r="I114">
        <v>8143.28</v>
      </c>
      <c r="J114">
        <v>479013.69863013766</v>
      </c>
    </row>
    <row r="115" spans="8:10" x14ac:dyDescent="0.3">
      <c r="H115" s="29">
        <v>46036</v>
      </c>
      <c r="I115">
        <v>8227.6970000000001</v>
      </c>
      <c r="J115">
        <v>479013.69863013766</v>
      </c>
    </row>
    <row r="116" spans="8:10" x14ac:dyDescent="0.3">
      <c r="H116" s="29">
        <v>46037</v>
      </c>
      <c r="I116">
        <v>8223.2682999999997</v>
      </c>
      <c r="J116">
        <v>479013.69863013766</v>
      </c>
    </row>
    <row r="117" spans="8:10" x14ac:dyDescent="0.3">
      <c r="H117" s="29">
        <v>46038</v>
      </c>
      <c r="I117">
        <v>8232.6740000000009</v>
      </c>
      <c r="J117">
        <v>479013.69863013766</v>
      </c>
    </row>
    <row r="118" spans="8:10" x14ac:dyDescent="0.3">
      <c r="H118" s="29">
        <v>46041</v>
      </c>
      <c r="I118">
        <v>8287.9470000000001</v>
      </c>
      <c r="J118">
        <v>479013.69863013766</v>
      </c>
    </row>
    <row r="119" spans="8:10" x14ac:dyDescent="0.3">
      <c r="H119" s="29">
        <v>46042</v>
      </c>
      <c r="I119">
        <v>8247.8048999999992</v>
      </c>
      <c r="J119">
        <v>479013.69863013766</v>
      </c>
    </row>
    <row r="120" spans="8:10" x14ac:dyDescent="0.3">
      <c r="H120" s="29">
        <v>46043</v>
      </c>
      <c r="I120">
        <v>8340.1133000000009</v>
      </c>
      <c r="J120">
        <v>479013.69863013766</v>
      </c>
    </row>
    <row r="121" spans="8:10" x14ac:dyDescent="0.3">
      <c r="H121" s="29">
        <v>46044</v>
      </c>
      <c r="I121">
        <v>8387.5949999999993</v>
      </c>
      <c r="J121">
        <v>479013.69863013766</v>
      </c>
    </row>
    <row r="122" spans="8:10" x14ac:dyDescent="0.3">
      <c r="H122" s="29">
        <v>46045</v>
      </c>
      <c r="I122">
        <v>8590.1659</v>
      </c>
      <c r="J122">
        <v>479013.69863013766</v>
      </c>
    </row>
    <row r="123" spans="8:10" x14ac:dyDescent="0.3">
      <c r="H123" s="29">
        <v>46048</v>
      </c>
      <c r="I123">
        <v>8506.6931999999997</v>
      </c>
      <c r="J123">
        <v>479013.69863013766</v>
      </c>
    </row>
    <row r="124" spans="8:10" x14ac:dyDescent="0.3">
      <c r="H124" s="29">
        <v>46049</v>
      </c>
      <c r="I124">
        <v>8548.9321</v>
      </c>
      <c r="J124">
        <v>479013.69863013766</v>
      </c>
    </row>
    <row r="126" spans="8:10" x14ac:dyDescent="0.3">
      <c r="H126" t="s">
        <v>66</v>
      </c>
    </row>
  </sheetData>
  <phoneticPr fontId="2" type="noConversion"/>
  <dataValidations count="3">
    <dataValidation type="list" showInputMessage="1" showErrorMessage="1" sqref="B5" xr:uid="{BF77E526-4D90-4653-8AAD-E3EBF0AD4644}">
      <formula1>"000852.SH,000905.SH,000300.SH,000016.SH,513180.SH"</formula1>
    </dataValidation>
    <dataValidation type="list" showInputMessage="1" showErrorMessage="1" sqref="B15" xr:uid="{6D28A50B-D205-4B12-B255-B060687D796D}">
      <formula1>"每日观察,到期观察"</formula1>
    </dataValidation>
    <dataValidation type="list" showInputMessage="1" showErrorMessage="1" sqref="B25" xr:uid="{CAFD7C42-C7C5-43A5-95D1-43BAF2771A71}">
      <formula1>"含头含尾,含头不含尾"</formula1>
    </dataValidation>
  </dataValidations>
  <pageMargins left="0.7" right="0.7" top="0.75" bottom="0.75" header="0.3" footer="0.3"/>
  <legacy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5DDE4A8-0BB5-479A-B546-20580DD78613}">
  <dimension ref="A1:J128"/>
  <sheetViews>
    <sheetView workbookViewId="0">
      <selection activeCell="J62" sqref="H62:J62"/>
    </sheetView>
  </sheetViews>
  <sheetFormatPr defaultColWidth="22.1328125" defaultRowHeight="13.5" x14ac:dyDescent="0.3"/>
  <cols>
    <col min="1" max="1" width="19.1328125" style="2" customWidth="1"/>
    <col min="2" max="2" width="22.1328125" style="1"/>
    <col min="3" max="3" width="22.1328125" style="21"/>
    <col min="4" max="6" width="22.1328125" style="3"/>
    <col min="7" max="7" width="22.1328125" style="2"/>
    <col min="8" max="8" width="11.59765625" bestFit="1" customWidth="1"/>
  </cols>
  <sheetData>
    <row r="1" spans="1:10" x14ac:dyDescent="0.3">
      <c r="A1" s="6" t="s">
        <v>6</v>
      </c>
      <c r="B1" s="9" t="s">
        <v>74</v>
      </c>
      <c r="C1" s="18" t="s">
        <v>55</v>
      </c>
      <c r="D1" s="22">
        <f>IF(B17="同敲出票息",-1,B17)</f>
        <v>-1</v>
      </c>
      <c r="E1" s="22" t="b">
        <f>(B14="每日观察")</f>
        <v>1</v>
      </c>
      <c r="F1" s="22">
        <f>IF(B17="同敲出票息",B27,B17)</f>
        <v>0.12670000000000001</v>
      </c>
      <c r="G1" s="7" t="b">
        <f>IF(B23="含头含尾",TRUE,FALSE)</f>
        <v>1</v>
      </c>
      <c r="I1" t="s">
        <v>30</v>
      </c>
    </row>
    <row r="2" spans="1:10" x14ac:dyDescent="0.3">
      <c r="A2" s="6" t="s">
        <v>5</v>
      </c>
      <c r="B2" s="10" t="str">
        <f>_xlfn.TEXTJOIN(,TRUE,IF(B12&gt;0,"增强型",""),IF(B14="每日观察","","欧式"),IF(B17="同敲出票息",,"红利"),IF(AND(B19=B18,B18&lt;0.9),"不追保",""),IF(B15&lt;1,"OTM",""),"雪球")</f>
        <v>雪球</v>
      </c>
      <c r="C2" s="19" t="s">
        <v>1</v>
      </c>
      <c r="D2" s="23" t="s">
        <v>12</v>
      </c>
      <c r="E2" s="23" t="s">
        <v>54</v>
      </c>
      <c r="F2" s="23" t="s">
        <v>33</v>
      </c>
      <c r="G2" s="25"/>
      <c r="H2" s="29">
        <v>45863</v>
      </c>
      <c r="I2">
        <v>6706.6098000000002</v>
      </c>
      <c r="J2" cm="1">
        <f t="array" ref="J2">_xll.ValuateSnowball($C$1,$B$3,$B$7,_xlfn.ANCHORARRAY($C$3),_xlfn.ANCHORARRAY($D$3),_xlfn.ANCHORARRAY($F$3),$B$12,$F$1,$B$13,$B$15,$B$16,$B$18,$B$19,$B$21+$B$29,$B$20,$B$22,$G$1,$E$1,H2+0.625,I2,$B$32,$B$33,$B$34,FALSE,"NPV")* $B$6 / $B$3</f>
        <v>-41.022353143641347</v>
      </c>
    </row>
    <row r="3" spans="1:10" x14ac:dyDescent="0.3">
      <c r="A3" s="6" t="s">
        <v>70</v>
      </c>
      <c r="B3" s="10">
        <v>6706.6098000000002</v>
      </c>
      <c r="C3" s="26" cm="1">
        <f t="array" ref="C3:C24">_xll.ScheduleDates(C1,B7,B8,"1M",B9,"MODIFIED_FOLLOWING")</f>
        <v>45957</v>
      </c>
      <c r="D3" s="27" cm="1">
        <f t="array" ref="D3:D24">_xll.GenerateBarriers(_xlfn.ANCHORARRAY(C3),B10,B11)</f>
        <v>1</v>
      </c>
      <c r="E3" s="27" cm="1">
        <f t="array" ref="E3:E24">IF(_xlfn.ANCHORARRAY(C3),-1,)</f>
        <v>-1</v>
      </c>
      <c r="F3" s="27" cm="1">
        <f t="array" ref="F3:F24">IF(_xlfn.ANCHORARRAY(C3),B27,)</f>
        <v>0.12670000000000001</v>
      </c>
      <c r="G3" s="25"/>
      <c r="H3" s="29">
        <v>45866</v>
      </c>
      <c r="I3">
        <v>6729.9790000000003</v>
      </c>
      <c r="J3">
        <v>18787.454225849753</v>
      </c>
    </row>
    <row r="4" spans="1:10" x14ac:dyDescent="0.3">
      <c r="A4" s="6" t="s">
        <v>71</v>
      </c>
      <c r="B4" s="31">
        <v>46050</v>
      </c>
      <c r="C4" s="20">
        <v>45986</v>
      </c>
      <c r="D4" s="24">
        <v>0.995</v>
      </c>
      <c r="E4" s="24">
        <v>-1</v>
      </c>
      <c r="F4" s="24">
        <v>0.12670000000000001</v>
      </c>
      <c r="G4" s="25"/>
      <c r="H4" s="29">
        <v>45867</v>
      </c>
      <c r="I4">
        <v>6773.8842999999997</v>
      </c>
      <c r="J4">
        <v>48048.958927414962</v>
      </c>
    </row>
    <row r="5" spans="1:10" x14ac:dyDescent="0.3">
      <c r="A5" s="6" t="s">
        <v>0</v>
      </c>
      <c r="B5" s="11" t="s">
        <v>30</v>
      </c>
      <c r="C5" s="20">
        <v>46016</v>
      </c>
      <c r="D5" s="24">
        <v>0.99</v>
      </c>
      <c r="E5" s="24">
        <v>-1</v>
      </c>
      <c r="F5" s="24">
        <v>0.12670000000000001</v>
      </c>
      <c r="G5" s="25"/>
      <c r="H5" s="29">
        <v>45868</v>
      </c>
      <c r="I5">
        <v>6718.4818999999998</v>
      </c>
      <c r="J5">
        <v>21838.070819260156</v>
      </c>
    </row>
    <row r="6" spans="1:10" x14ac:dyDescent="0.3">
      <c r="A6" s="6" t="s">
        <v>7</v>
      </c>
      <c r="B6" s="12">
        <v>10000000</v>
      </c>
      <c r="C6" s="20">
        <v>46048</v>
      </c>
      <c r="D6" s="24">
        <v>0.98499999999999999</v>
      </c>
      <c r="E6" s="24">
        <v>-1</v>
      </c>
      <c r="F6" s="24">
        <v>0.12670000000000001</v>
      </c>
      <c r="G6" s="25"/>
      <c r="H6" s="29">
        <v>45869</v>
      </c>
      <c r="I6">
        <v>6661.1862000000001</v>
      </c>
      <c r="J6">
        <v>-8318.3013945830171</v>
      </c>
    </row>
    <row r="7" spans="1:10" x14ac:dyDescent="0.3">
      <c r="A7" s="6" t="s">
        <v>8</v>
      </c>
      <c r="B7" s="13">
        <v>45863.625</v>
      </c>
      <c r="C7" s="20">
        <v>46078</v>
      </c>
      <c r="D7" s="24">
        <v>0.98</v>
      </c>
      <c r="E7" s="24">
        <v>-1</v>
      </c>
      <c r="F7" s="24">
        <v>0.12670000000000001</v>
      </c>
      <c r="G7" s="25"/>
      <c r="H7" s="29">
        <v>45870</v>
      </c>
      <c r="I7">
        <v>6670.4719999999998</v>
      </c>
      <c r="J7">
        <v>2694.1556127478493</v>
      </c>
    </row>
    <row r="8" spans="1:10" x14ac:dyDescent="0.3">
      <c r="A8" s="6" t="s">
        <v>9</v>
      </c>
      <c r="B8" s="10" t="s">
        <v>10</v>
      </c>
      <c r="C8" s="20">
        <v>46106</v>
      </c>
      <c r="D8" s="24">
        <v>0.97499999999999998</v>
      </c>
      <c r="E8" s="24">
        <v>-1</v>
      </c>
      <c r="F8" s="24">
        <v>0.12670000000000001</v>
      </c>
      <c r="G8" s="25"/>
      <c r="H8" s="29">
        <v>45873</v>
      </c>
      <c r="I8">
        <v>6739.6935999999996</v>
      </c>
      <c r="J8">
        <v>48515.602782257651</v>
      </c>
    </row>
    <row r="9" spans="1:10" x14ac:dyDescent="0.3">
      <c r="A9" s="6" t="s">
        <v>11</v>
      </c>
      <c r="B9" s="10">
        <v>3</v>
      </c>
      <c r="C9" s="20">
        <v>46139</v>
      </c>
      <c r="D9" s="24">
        <v>0.97</v>
      </c>
      <c r="E9" s="24">
        <v>-1</v>
      </c>
      <c r="F9" s="24">
        <v>0.12670000000000001</v>
      </c>
      <c r="G9" s="25"/>
      <c r="H9" s="29">
        <v>45874</v>
      </c>
      <c r="I9">
        <v>6787.4805999999999</v>
      </c>
      <c r="J9">
        <v>78423.914691859449</v>
      </c>
    </row>
    <row r="10" spans="1:10" x14ac:dyDescent="0.3">
      <c r="A10" s="6" t="s">
        <v>12</v>
      </c>
      <c r="B10" s="14">
        <v>1</v>
      </c>
      <c r="C10" s="20">
        <v>46167</v>
      </c>
      <c r="D10" s="24">
        <v>0.96499999999999997</v>
      </c>
      <c r="E10" s="24">
        <v>-1</v>
      </c>
      <c r="F10" s="24">
        <v>0.12670000000000001</v>
      </c>
      <c r="G10" s="25"/>
      <c r="H10" s="29">
        <v>45875</v>
      </c>
      <c r="I10">
        <v>6861.3091000000004</v>
      </c>
      <c r="J10">
        <v>117186.82431336289</v>
      </c>
    </row>
    <row r="11" spans="1:10" x14ac:dyDescent="0.3">
      <c r="A11" s="6" t="s">
        <v>13</v>
      </c>
      <c r="B11" s="14">
        <v>-5.0000000000000001E-3</v>
      </c>
      <c r="C11" s="20">
        <v>46198</v>
      </c>
      <c r="D11" s="24">
        <v>0.96</v>
      </c>
      <c r="E11" s="24">
        <v>-1</v>
      </c>
      <c r="F11" s="24">
        <v>0.12670000000000001</v>
      </c>
      <c r="G11" s="25"/>
      <c r="H11" s="29">
        <v>45876</v>
      </c>
      <c r="I11">
        <v>6862.1496999999999</v>
      </c>
      <c r="J11">
        <v>121862.63552236621</v>
      </c>
    </row>
    <row r="12" spans="1:10" x14ac:dyDescent="0.3">
      <c r="A12" s="6" t="s">
        <v>14</v>
      </c>
      <c r="B12" s="14">
        <v>0</v>
      </c>
      <c r="C12" s="20">
        <v>46230</v>
      </c>
      <c r="D12" s="24">
        <v>0.95499999999999996</v>
      </c>
      <c r="E12" s="24">
        <v>-1</v>
      </c>
      <c r="F12" s="24">
        <v>0.12670000000000001</v>
      </c>
      <c r="G12" s="25"/>
      <c r="H12" s="29">
        <v>45877</v>
      </c>
      <c r="I12">
        <v>6838.1298999999999</v>
      </c>
      <c r="J12">
        <v>115841.23118102794</v>
      </c>
    </row>
    <row r="13" spans="1:10" x14ac:dyDescent="0.3">
      <c r="A13" s="6" t="s">
        <v>2</v>
      </c>
      <c r="B13" s="14">
        <v>0.65</v>
      </c>
      <c r="C13" s="20">
        <v>46259</v>
      </c>
      <c r="D13" s="24">
        <v>0.95</v>
      </c>
      <c r="E13" s="24">
        <v>-1</v>
      </c>
      <c r="F13" s="24">
        <v>0.12670000000000001</v>
      </c>
      <c r="G13" s="25"/>
      <c r="H13" s="29">
        <v>45880</v>
      </c>
      <c r="I13">
        <v>6943.9366</v>
      </c>
      <c r="J13">
        <v>161589.42288704141</v>
      </c>
    </row>
    <row r="14" spans="1:10" x14ac:dyDescent="0.3">
      <c r="A14" s="6" t="s">
        <v>15</v>
      </c>
      <c r="B14" s="11" t="s">
        <v>31</v>
      </c>
      <c r="C14" s="20">
        <v>46293</v>
      </c>
      <c r="D14" s="24">
        <v>0.94499999999999995</v>
      </c>
      <c r="E14" s="24">
        <v>-1</v>
      </c>
      <c r="F14" s="24">
        <v>0.12670000000000001</v>
      </c>
      <c r="G14" s="25"/>
      <c r="H14" s="29">
        <v>45881</v>
      </c>
      <c r="I14">
        <v>6963.6109999999999</v>
      </c>
      <c r="J14">
        <v>172120.08887442006</v>
      </c>
    </row>
    <row r="15" spans="1:10" x14ac:dyDescent="0.3">
      <c r="A15" s="6" t="s">
        <v>17</v>
      </c>
      <c r="B15" s="14">
        <v>1</v>
      </c>
      <c r="C15" s="20">
        <v>46321</v>
      </c>
      <c r="D15" s="24">
        <v>0.94</v>
      </c>
      <c r="E15" s="24">
        <v>-1</v>
      </c>
      <c r="F15" s="24">
        <v>0.12670000000000001</v>
      </c>
      <c r="G15" s="25"/>
      <c r="H15" s="29">
        <v>45882</v>
      </c>
      <c r="I15">
        <v>7064.3338999999996</v>
      </c>
      <c r="J15">
        <v>204852.03905104997</v>
      </c>
    </row>
    <row r="16" spans="1:10" x14ac:dyDescent="0.3">
      <c r="A16" s="6" t="s">
        <v>18</v>
      </c>
      <c r="B16" s="14">
        <v>1</v>
      </c>
      <c r="C16" s="20">
        <v>46351</v>
      </c>
      <c r="D16" s="24">
        <v>0.93500000000000005</v>
      </c>
      <c r="E16" s="24">
        <v>-1</v>
      </c>
      <c r="F16" s="24">
        <v>0.12670000000000001</v>
      </c>
      <c r="G16" s="25"/>
      <c r="H16" s="29">
        <v>45883</v>
      </c>
      <c r="I16">
        <v>6976.4875000000002</v>
      </c>
      <c r="J16">
        <v>183840.48246066979</v>
      </c>
    </row>
    <row r="17" spans="1:10" x14ac:dyDescent="0.3">
      <c r="A17" s="6" t="s">
        <v>19</v>
      </c>
      <c r="B17" s="14" t="s">
        <v>72</v>
      </c>
      <c r="C17" s="20">
        <v>46381</v>
      </c>
      <c r="D17" s="24">
        <v>0.92999999999999994</v>
      </c>
      <c r="E17" s="24">
        <v>-1</v>
      </c>
      <c r="F17" s="24">
        <v>0.12670000000000001</v>
      </c>
      <c r="G17" s="25"/>
      <c r="H17" s="29">
        <v>45884</v>
      </c>
      <c r="I17">
        <v>7117.5009</v>
      </c>
      <c r="J17">
        <v>223728.83483283198</v>
      </c>
    </row>
    <row r="18" spans="1:10" x14ac:dyDescent="0.3">
      <c r="A18" s="6" t="s">
        <v>20</v>
      </c>
      <c r="B18" s="14">
        <v>1</v>
      </c>
      <c r="C18" s="20">
        <v>46412</v>
      </c>
      <c r="D18" s="24">
        <v>0.92500000000000004</v>
      </c>
      <c r="E18" s="24">
        <v>-1</v>
      </c>
      <c r="F18" s="24">
        <v>0.12670000000000001</v>
      </c>
      <c r="G18" s="25"/>
      <c r="H18" s="29">
        <v>45887</v>
      </c>
      <c r="I18">
        <v>7237.6018000000004</v>
      </c>
      <c r="J18">
        <v>248018.66007788005</v>
      </c>
    </row>
    <row r="19" spans="1:10" x14ac:dyDescent="0.3">
      <c r="A19" s="6" t="s">
        <v>21</v>
      </c>
      <c r="B19" s="14">
        <v>1</v>
      </c>
      <c r="C19" s="20">
        <v>46443</v>
      </c>
      <c r="D19" s="24">
        <v>0.92</v>
      </c>
      <c r="E19" s="24">
        <v>-1</v>
      </c>
      <c r="F19" s="24">
        <v>0.12670000000000001</v>
      </c>
      <c r="G19" s="25"/>
      <c r="H19" s="29">
        <v>45888</v>
      </c>
      <c r="I19">
        <v>7242.8494000000001</v>
      </c>
      <c r="J19">
        <v>251404.00751765585</v>
      </c>
    </row>
    <row r="20" spans="1:10" x14ac:dyDescent="0.3">
      <c r="A20" s="6" t="s">
        <v>22</v>
      </c>
      <c r="B20" s="14">
        <v>0</v>
      </c>
      <c r="C20" s="20">
        <v>46471</v>
      </c>
      <c r="D20" s="24">
        <v>0.91500000000000004</v>
      </c>
      <c r="E20" s="24">
        <v>-1</v>
      </c>
      <c r="F20" s="24">
        <v>0.12670000000000001</v>
      </c>
      <c r="G20" s="25"/>
      <c r="H20" s="29">
        <v>45889</v>
      </c>
      <c r="I20">
        <v>7305.4612999999999</v>
      </c>
      <c r="J20">
        <v>261796.59788227594</v>
      </c>
    </row>
    <row r="21" spans="1:10" x14ac:dyDescent="0.3">
      <c r="A21" s="6" t="s">
        <v>23</v>
      </c>
      <c r="B21" s="14">
        <v>0</v>
      </c>
      <c r="C21" s="20">
        <v>46503</v>
      </c>
      <c r="D21" s="24">
        <v>0.91</v>
      </c>
      <c r="E21" s="24">
        <v>-1</v>
      </c>
      <c r="F21" s="24">
        <v>0.12670000000000001</v>
      </c>
      <c r="G21" s="25"/>
      <c r="H21" s="29">
        <v>45890</v>
      </c>
      <c r="I21">
        <v>7253.3428999999996</v>
      </c>
      <c r="J21">
        <v>257924.64194240951</v>
      </c>
    </row>
    <row r="22" spans="1:10" x14ac:dyDescent="0.3">
      <c r="A22" s="6" t="s">
        <v>24</v>
      </c>
      <c r="B22" s="10">
        <v>0</v>
      </c>
      <c r="C22" s="20">
        <v>46532</v>
      </c>
      <c r="D22" s="24">
        <v>0.90500000000000003</v>
      </c>
      <c r="E22" s="24">
        <v>-1</v>
      </c>
      <c r="F22" s="24">
        <v>0.12670000000000001</v>
      </c>
      <c r="G22" s="25"/>
      <c r="H22" s="29">
        <v>45891</v>
      </c>
      <c r="I22">
        <v>7362.9395999999997</v>
      </c>
      <c r="J22">
        <v>271966.97960053326</v>
      </c>
    </row>
    <row r="23" spans="1:10" x14ac:dyDescent="0.3">
      <c r="A23" s="6" t="s">
        <v>25</v>
      </c>
      <c r="B23" s="11" t="s">
        <v>32</v>
      </c>
      <c r="C23" s="20">
        <v>46563</v>
      </c>
      <c r="D23" s="24">
        <v>0.9</v>
      </c>
      <c r="E23" s="24">
        <v>-1</v>
      </c>
      <c r="F23" s="24">
        <v>0.12670000000000001</v>
      </c>
      <c r="G23" s="25"/>
      <c r="H23" s="29">
        <v>45894</v>
      </c>
      <c r="I23">
        <v>7477.7280000000001</v>
      </c>
      <c r="J23">
        <v>281938.68791453325</v>
      </c>
    </row>
    <row r="24" spans="1:10" x14ac:dyDescent="0.3">
      <c r="A24" s="6" t="s">
        <v>27</v>
      </c>
      <c r="B24" s="14">
        <v>0</v>
      </c>
      <c r="C24" s="20">
        <v>46594</v>
      </c>
      <c r="D24" s="24">
        <v>0.89500000000000002</v>
      </c>
      <c r="E24" s="24">
        <v>-1</v>
      </c>
      <c r="F24" s="24">
        <v>0.12670000000000001</v>
      </c>
      <c r="G24" s="25"/>
      <c r="H24" s="29">
        <v>45895</v>
      </c>
      <c r="I24">
        <v>7476.4672</v>
      </c>
      <c r="J24">
        <v>283604.83516398497</v>
      </c>
    </row>
    <row r="25" spans="1:10" x14ac:dyDescent="0.3">
      <c r="A25" s="6" t="s">
        <v>28</v>
      </c>
      <c r="B25" s="10" t="s">
        <v>29</v>
      </c>
      <c r="C25" s="20"/>
      <c r="D25" s="24"/>
      <c r="E25" s="24"/>
      <c r="F25" s="24"/>
      <c r="G25" s="25"/>
      <c r="H25" s="29">
        <v>45896</v>
      </c>
      <c r="I25">
        <v>7336.5036</v>
      </c>
      <c r="J25">
        <v>276015.7932432486</v>
      </c>
    </row>
    <row r="26" spans="1:10" x14ac:dyDescent="0.3">
      <c r="A26" s="7"/>
      <c r="B26" s="10"/>
      <c r="C26" s="20"/>
      <c r="D26" s="24"/>
      <c r="E26" s="24"/>
      <c r="F26" s="24"/>
      <c r="G26" s="25"/>
      <c r="H26" s="29">
        <v>45897</v>
      </c>
      <c r="I26">
        <v>7447.1100999999999</v>
      </c>
      <c r="J26">
        <v>285511.88710084313</v>
      </c>
    </row>
    <row r="27" spans="1:10" x14ac:dyDescent="0.3">
      <c r="A27" s="6" t="s">
        <v>33</v>
      </c>
      <c r="B27" s="32">
        <v>0.12670000000000001</v>
      </c>
      <c r="C27" s="20"/>
      <c r="D27" s="24"/>
      <c r="E27" s="24"/>
      <c r="F27" s="24"/>
      <c r="G27" s="25"/>
      <c r="H27" s="29">
        <v>45898</v>
      </c>
      <c r="I27">
        <v>7438.6767</v>
      </c>
      <c r="J27">
        <v>286811.67581536126</v>
      </c>
    </row>
    <row r="28" spans="1:10" x14ac:dyDescent="0.3">
      <c r="A28" s="7"/>
      <c r="B28" s="10"/>
      <c r="C28" s="20"/>
      <c r="D28" s="24"/>
      <c r="E28" s="24"/>
      <c r="F28" s="24"/>
      <c r="G28" s="25"/>
      <c r="H28" s="29">
        <v>45901</v>
      </c>
      <c r="I28">
        <v>7501.1482999999998</v>
      </c>
      <c r="J28">
        <v>291290.78373355564</v>
      </c>
    </row>
    <row r="29" spans="1:10" x14ac:dyDescent="0.3">
      <c r="A29" s="6" t="s">
        <v>34</v>
      </c>
      <c r="B29" s="14">
        <v>0</v>
      </c>
      <c r="C29" s="20"/>
      <c r="D29" s="24"/>
      <c r="E29" s="24"/>
      <c r="F29" s="24"/>
      <c r="G29" s="25"/>
      <c r="H29" s="29">
        <v>45902</v>
      </c>
      <c r="I29">
        <v>7313.8824000000004</v>
      </c>
      <c r="J29">
        <v>282539.28916878428</v>
      </c>
    </row>
    <row r="30" spans="1:10" x14ac:dyDescent="0.3">
      <c r="A30" s="6" t="s">
        <v>35</v>
      </c>
      <c r="B30" s="14" t="s">
        <v>36</v>
      </c>
      <c r="C30" s="20"/>
      <c r="D30" s="24"/>
      <c r="E30" s="24"/>
      <c r="F30" s="24"/>
      <c r="G30" s="25"/>
      <c r="H30" s="29">
        <v>45903</v>
      </c>
      <c r="I30">
        <v>7206.8757999999998</v>
      </c>
      <c r="J30">
        <v>274703.32472376694</v>
      </c>
    </row>
    <row r="31" spans="1:10" x14ac:dyDescent="0.3">
      <c r="A31" s="7"/>
      <c r="B31" s="14"/>
      <c r="C31" s="20"/>
      <c r="D31" s="24"/>
      <c r="E31" s="24"/>
      <c r="F31" s="24"/>
      <c r="G31" s="25"/>
      <c r="H31" s="29">
        <v>45904</v>
      </c>
      <c r="I31">
        <v>7041.1544000000004</v>
      </c>
      <c r="J31">
        <v>252750.99338999842</v>
      </c>
    </row>
    <row r="32" spans="1:10" x14ac:dyDescent="0.3">
      <c r="A32" s="6" t="s">
        <v>37</v>
      </c>
      <c r="B32" s="16">
        <v>2.1000000000000001E-2</v>
      </c>
      <c r="C32" s="20"/>
      <c r="D32" s="24"/>
      <c r="E32" s="24"/>
      <c r="F32" s="24"/>
      <c r="G32" s="25"/>
      <c r="H32" s="29">
        <v>45905</v>
      </c>
      <c r="I32">
        <v>7245.6670000000004</v>
      </c>
      <c r="J32">
        <v>283302.50971889886</v>
      </c>
    </row>
    <row r="33" spans="1:10" x14ac:dyDescent="0.3">
      <c r="A33" s="6" t="s">
        <v>38</v>
      </c>
      <c r="B33" s="14">
        <v>-6.7248000000000002E-2</v>
      </c>
      <c r="C33" s="20"/>
      <c r="D33" s="24"/>
      <c r="E33" s="24"/>
      <c r="F33" s="24"/>
      <c r="G33" s="25"/>
      <c r="H33" s="29">
        <v>45908</v>
      </c>
      <c r="I33">
        <v>7311.0343000000003</v>
      </c>
      <c r="J33">
        <v>290412.86164210294</v>
      </c>
    </row>
    <row r="34" spans="1:10" x14ac:dyDescent="0.3">
      <c r="A34" s="6" t="s">
        <v>39</v>
      </c>
      <c r="B34" s="14">
        <v>0.17499999999999999</v>
      </c>
      <c r="C34" s="20"/>
      <c r="D34" s="24"/>
      <c r="E34" s="24"/>
      <c r="F34" s="24"/>
      <c r="G34" s="25"/>
      <c r="H34" s="29">
        <v>45909</v>
      </c>
      <c r="I34">
        <v>7226.0276999999996</v>
      </c>
      <c r="J34">
        <v>286052.61442005564</v>
      </c>
    </row>
    <row r="35" spans="1:10" x14ac:dyDescent="0.3">
      <c r="A35" s="7"/>
      <c r="B35" s="10"/>
      <c r="C35" s="20"/>
      <c r="D35" s="24"/>
      <c r="E35" s="24"/>
      <c r="F35" s="24"/>
      <c r="G35" s="25"/>
      <c r="H35" s="29">
        <v>45910</v>
      </c>
      <c r="I35">
        <v>7230.1678000000002</v>
      </c>
      <c r="J35">
        <v>288633.48514709371</v>
      </c>
    </row>
    <row r="36" spans="1:10" x14ac:dyDescent="0.3">
      <c r="A36" s="8" t="s">
        <v>40</v>
      </c>
      <c r="B36" s="10"/>
      <c r="C36" s="20"/>
      <c r="D36" s="24"/>
      <c r="E36" s="24"/>
      <c r="F36" s="24"/>
      <c r="G36" s="25"/>
      <c r="H36" s="29">
        <v>45911</v>
      </c>
      <c r="I36">
        <v>7399.8854000000001</v>
      </c>
      <c r="J36">
        <v>300088.71632568381</v>
      </c>
    </row>
    <row r="37" spans="1:10" x14ac:dyDescent="0.3">
      <c r="A37" s="6" t="s">
        <v>41</v>
      </c>
      <c r="B37" s="17">
        <f>B45*100</f>
        <v>40.880872287805126</v>
      </c>
      <c r="C37" s="20"/>
      <c r="D37" s="24"/>
      <c r="E37" s="24"/>
      <c r="F37" s="24"/>
      <c r="G37" s="25"/>
      <c r="H37" s="29">
        <v>45912</v>
      </c>
      <c r="I37">
        <v>7422.8843999999999</v>
      </c>
      <c r="J37">
        <v>302359.69204492349</v>
      </c>
    </row>
    <row r="38" spans="1:10" x14ac:dyDescent="0.3">
      <c r="A38" s="6" t="s">
        <v>42</v>
      </c>
      <c r="B38" s="17">
        <f>B46*1%*100</f>
        <v>-4.6666293935793135</v>
      </c>
      <c r="C38" s="20"/>
      <c r="D38" s="24"/>
      <c r="E38" s="24"/>
      <c r="F38" s="24"/>
      <c r="G38" s="25"/>
      <c r="H38" s="29">
        <v>45915</v>
      </c>
      <c r="I38">
        <v>7415.5711000000001</v>
      </c>
      <c r="J38">
        <v>303627.44440800318</v>
      </c>
    </row>
    <row r="39" spans="1:10" x14ac:dyDescent="0.3">
      <c r="A39" s="6" t="s">
        <v>43</v>
      </c>
      <c r="B39" s="17">
        <f>B47*1%*100</f>
        <v>-0.8387272421190084</v>
      </c>
      <c r="C39" s="20"/>
      <c r="D39" s="24"/>
      <c r="E39" s="24"/>
      <c r="F39" s="24"/>
      <c r="G39" s="25"/>
      <c r="H39" s="29">
        <v>45916</v>
      </c>
      <c r="I39">
        <v>7483.6282000000001</v>
      </c>
      <c r="J39">
        <v>306505.72542778752</v>
      </c>
    </row>
    <row r="40" spans="1:10" x14ac:dyDescent="0.3">
      <c r="A40" s="6" t="s">
        <v>44</v>
      </c>
      <c r="B40" s="17">
        <f>B48*1/242*100</f>
        <v>4.9454833394446673E-2</v>
      </c>
      <c r="C40" s="20"/>
      <c r="D40" s="24"/>
      <c r="E40" s="24"/>
      <c r="F40" s="24"/>
      <c r="G40" s="25"/>
      <c r="H40" s="29">
        <v>45917</v>
      </c>
      <c r="I40">
        <v>7554.8125</v>
      </c>
      <c r="J40">
        <v>308654.28409705148</v>
      </c>
    </row>
    <row r="41" spans="1:10" x14ac:dyDescent="0.3">
      <c r="A41" s="6" t="s">
        <v>45</v>
      </c>
      <c r="B41" s="17">
        <f>1%*B49*100</f>
        <v>-0.77498819132661989</v>
      </c>
      <c r="C41" s="20"/>
      <c r="D41" s="24"/>
      <c r="E41" s="24"/>
      <c r="F41" s="24"/>
      <c r="G41" s="25"/>
      <c r="H41" s="29">
        <v>45918</v>
      </c>
      <c r="I41">
        <v>7476.402</v>
      </c>
      <c r="J41">
        <v>308913.94377313764</v>
      </c>
    </row>
    <row r="42" spans="1:10" x14ac:dyDescent="0.3">
      <c r="A42" s="6" t="s">
        <v>46</v>
      </c>
      <c r="B42" s="17">
        <f>1%*B50*100</f>
        <v>-0.67007592012864325</v>
      </c>
      <c r="C42" s="20"/>
      <c r="D42" s="24"/>
      <c r="E42" s="24"/>
      <c r="F42" s="24"/>
      <c r="G42" s="25"/>
      <c r="H42" s="29">
        <v>45919</v>
      </c>
      <c r="I42">
        <v>7438.1886999999997</v>
      </c>
      <c r="J42">
        <v>309599.13543634239</v>
      </c>
    </row>
    <row r="43" spans="1:10" x14ac:dyDescent="0.3">
      <c r="A43" s="7"/>
      <c r="B43" s="17">
        <f>B44* B6</f>
        <v>-41.022356727093978</v>
      </c>
      <c r="C43" s="20"/>
      <c r="D43" s="24"/>
      <c r="E43" s="24"/>
      <c r="F43" s="24"/>
      <c r="G43" s="25"/>
      <c r="H43" s="29">
        <v>45922</v>
      </c>
      <c r="I43">
        <v>7489.4784</v>
      </c>
      <c r="J43">
        <v>311455.09119704843</v>
      </c>
    </row>
    <row r="44" spans="1:10" x14ac:dyDescent="0.3">
      <c r="A44" s="6" t="s">
        <v>47</v>
      </c>
      <c r="B44" s="28" cm="1">
        <f t="array" ref="B44:B50">_xll.ValuateSnowball(C1,1,B7,_xlfn.ANCHORARRAY(C3),_xlfn.ANCHORARRAY(D3),_xlfn.ANCHORARRAY(F3),B12,F1,B13,B15,B16,B18,B19,B21+B29,B20,B22,G1,E1,B7,1,B32,B33,B34,FALSE,"ALL")</f>
        <v>-4.1022356727093978E-6</v>
      </c>
      <c r="C44" s="20"/>
      <c r="D44" s="24"/>
      <c r="E44" s="24"/>
      <c r="F44" s="24"/>
      <c r="G44" s="25"/>
      <c r="H44" s="29">
        <v>45923</v>
      </c>
      <c r="I44">
        <v>7408.0690999999997</v>
      </c>
      <c r="J44">
        <v>311686.9603677328</v>
      </c>
    </row>
    <row r="45" spans="1:10" x14ac:dyDescent="0.3">
      <c r="A45" s="6" t="s">
        <v>48</v>
      </c>
      <c r="B45" s="17">
        <v>0.40880872287805126</v>
      </c>
      <c r="C45" s="20"/>
      <c r="D45" s="24"/>
      <c r="E45" s="24"/>
      <c r="F45" s="24"/>
      <c r="G45" s="25"/>
      <c r="H45" s="29">
        <v>45924</v>
      </c>
      <c r="I45">
        <v>7534.2223000000004</v>
      </c>
      <c r="J45">
        <v>313964.53605958121</v>
      </c>
    </row>
    <row r="46" spans="1:10" x14ac:dyDescent="0.3">
      <c r="A46" s="6" t="s">
        <v>49</v>
      </c>
      <c r="B46" s="17">
        <v>-4.6666293935793135</v>
      </c>
      <c r="C46" s="20"/>
      <c r="D46" s="24"/>
      <c r="E46" s="24"/>
      <c r="F46" s="24"/>
      <c r="G46" s="25"/>
      <c r="H46" s="29">
        <v>45925</v>
      </c>
      <c r="I46">
        <v>7506.5123999999996</v>
      </c>
      <c r="J46">
        <v>314874.06376073166</v>
      </c>
    </row>
    <row r="47" spans="1:10" x14ac:dyDescent="0.3">
      <c r="A47" s="6" t="s">
        <v>50</v>
      </c>
      <c r="B47" s="17">
        <v>-0.8387272421190084</v>
      </c>
      <c r="C47" s="20"/>
      <c r="D47" s="24"/>
      <c r="E47" s="24"/>
      <c r="F47" s="24"/>
      <c r="G47" s="25"/>
      <c r="H47" s="29">
        <v>45926</v>
      </c>
      <c r="I47">
        <v>7397.5893999999998</v>
      </c>
      <c r="J47">
        <v>315220.56535201735</v>
      </c>
    </row>
    <row r="48" spans="1:10" x14ac:dyDescent="0.3">
      <c r="A48" s="6" t="s">
        <v>51</v>
      </c>
      <c r="B48" s="17">
        <v>0.11968069681456095</v>
      </c>
      <c r="C48" s="20"/>
      <c r="D48" s="24"/>
      <c r="E48" s="24"/>
      <c r="F48" s="24"/>
      <c r="G48" s="25"/>
      <c r="H48" s="29">
        <v>45929</v>
      </c>
      <c r="I48">
        <v>7497.8307999999997</v>
      </c>
      <c r="J48">
        <v>316891.67546476185</v>
      </c>
    </row>
    <row r="49" spans="1:10" x14ac:dyDescent="0.3">
      <c r="A49" s="6" t="s">
        <v>52</v>
      </c>
      <c r="B49" s="17">
        <v>-0.77498819132661989</v>
      </c>
      <c r="C49" s="20"/>
      <c r="D49" s="24"/>
      <c r="E49" s="24"/>
      <c r="F49" s="24"/>
      <c r="G49" s="25"/>
      <c r="H49" s="29">
        <v>45930</v>
      </c>
      <c r="I49">
        <v>7574.9630999999999</v>
      </c>
      <c r="J49">
        <v>318015.74602297787</v>
      </c>
    </row>
    <row r="50" spans="1:10" x14ac:dyDescent="0.3">
      <c r="A50" s="6" t="s">
        <v>53</v>
      </c>
      <c r="B50" s="17">
        <v>-0.67007592012864325</v>
      </c>
      <c r="C50" s="20"/>
      <c r="D50" s="24"/>
      <c r="E50" s="24"/>
      <c r="F50" s="24"/>
      <c r="G50" s="25"/>
      <c r="H50" s="29">
        <v>45939</v>
      </c>
      <c r="I50">
        <v>7648.0523000000003</v>
      </c>
      <c r="J50">
        <v>318984.65230548364</v>
      </c>
    </row>
    <row r="51" spans="1:10" x14ac:dyDescent="0.3">
      <c r="H51" s="29">
        <v>45940</v>
      </c>
      <c r="I51">
        <v>7533.8200999999999</v>
      </c>
      <c r="J51">
        <v>319845.64062061254</v>
      </c>
    </row>
    <row r="52" spans="1:10" x14ac:dyDescent="0.3">
      <c r="H52" s="29">
        <v>45943</v>
      </c>
      <c r="I52">
        <v>7519.7636000000002</v>
      </c>
      <c r="J52">
        <v>320760.72473880084</v>
      </c>
    </row>
    <row r="53" spans="1:10" x14ac:dyDescent="0.3">
      <c r="H53" s="29">
        <v>45944</v>
      </c>
      <c r="I53">
        <v>7373.1522000000004</v>
      </c>
      <c r="J53">
        <v>321542.57729605329</v>
      </c>
    </row>
    <row r="54" spans="1:10" x14ac:dyDescent="0.3">
      <c r="H54" s="29">
        <v>45945</v>
      </c>
      <c r="I54">
        <v>7483.4489999999996</v>
      </c>
      <c r="J54">
        <v>322577.86804257252</v>
      </c>
    </row>
    <row r="55" spans="1:10" x14ac:dyDescent="0.3">
      <c r="H55" s="29">
        <v>45946</v>
      </c>
      <c r="I55">
        <v>7401.8374999999996</v>
      </c>
      <c r="J55">
        <v>323465.67830564053</v>
      </c>
    </row>
    <row r="56" spans="1:10" x14ac:dyDescent="0.3">
      <c r="H56" s="29">
        <v>45947</v>
      </c>
      <c r="I56">
        <v>7185.4781000000003</v>
      </c>
      <c r="J56">
        <v>324064.11105679569</v>
      </c>
    </row>
    <row r="57" spans="1:10" x14ac:dyDescent="0.3">
      <c r="H57" s="29">
        <v>45950</v>
      </c>
      <c r="I57">
        <v>7239.1845000000003</v>
      </c>
      <c r="J57">
        <v>325227.45462842577</v>
      </c>
    </row>
    <row r="58" spans="1:10" x14ac:dyDescent="0.3">
      <c r="H58" s="29">
        <v>45951</v>
      </c>
      <c r="I58">
        <v>7344.0468000000001</v>
      </c>
      <c r="J58">
        <v>326174.96036747482</v>
      </c>
    </row>
    <row r="59" spans="1:10" x14ac:dyDescent="0.3">
      <c r="H59" s="29">
        <v>45952</v>
      </c>
      <c r="I59">
        <v>7312.21</v>
      </c>
      <c r="J59">
        <v>327071.92802644643</v>
      </c>
    </row>
    <row r="60" spans="1:10" x14ac:dyDescent="0.3">
      <c r="H60" s="29">
        <v>45953</v>
      </c>
      <c r="I60">
        <v>7308.0991999999997</v>
      </c>
      <c r="J60">
        <v>327968.42387190938</v>
      </c>
    </row>
    <row r="61" spans="1:10" x14ac:dyDescent="0.3">
      <c r="H61" s="29">
        <v>45954</v>
      </c>
      <c r="I61">
        <v>7419.2352000000001</v>
      </c>
      <c r="J61">
        <v>328865.55164969398</v>
      </c>
    </row>
    <row r="62" spans="1:10" x14ac:dyDescent="0.3">
      <c r="H62" s="29">
        <v>45957</v>
      </c>
      <c r="I62">
        <v>7495.3831</v>
      </c>
      <c r="J62">
        <v>329767.12328767165</v>
      </c>
    </row>
    <row r="63" spans="1:10" x14ac:dyDescent="0.3">
      <c r="H63" s="29">
        <v>45958</v>
      </c>
      <c r="I63">
        <v>7479.2209999999995</v>
      </c>
      <c r="J63">
        <v>329767.12328767165</v>
      </c>
    </row>
    <row r="64" spans="1:10" x14ac:dyDescent="0.3">
      <c r="H64" s="29">
        <v>45959</v>
      </c>
      <c r="I64">
        <v>7569.1170000000002</v>
      </c>
      <c r="J64">
        <v>329767.12328767165</v>
      </c>
    </row>
    <row r="65" spans="8:10" x14ac:dyDescent="0.3">
      <c r="H65" s="29">
        <v>45960</v>
      </c>
      <c r="I65">
        <v>7485.0847999999996</v>
      </c>
      <c r="J65">
        <v>329767.12328767165</v>
      </c>
    </row>
    <row r="66" spans="8:10" x14ac:dyDescent="0.3">
      <c r="H66" s="29">
        <v>45961</v>
      </c>
      <c r="I66">
        <v>7506.6746000000003</v>
      </c>
      <c r="J66">
        <v>329767.12328767165</v>
      </c>
    </row>
    <row r="67" spans="8:10" x14ac:dyDescent="0.3">
      <c r="H67" s="29">
        <v>45964</v>
      </c>
      <c r="I67">
        <v>7538.1178</v>
      </c>
      <c r="J67">
        <v>329767.12328767165</v>
      </c>
    </row>
    <row r="68" spans="8:10" x14ac:dyDescent="0.3">
      <c r="H68" s="29">
        <v>45965</v>
      </c>
      <c r="I68">
        <v>7435.7308000000003</v>
      </c>
      <c r="J68">
        <v>329767.12328767165</v>
      </c>
    </row>
    <row r="69" spans="8:10" x14ac:dyDescent="0.3">
      <c r="H69" s="29">
        <v>45966</v>
      </c>
      <c r="I69">
        <v>7464.8631999999998</v>
      </c>
      <c r="J69">
        <v>329767.12328767165</v>
      </c>
    </row>
    <row r="70" spans="8:10" x14ac:dyDescent="0.3">
      <c r="H70" s="29">
        <v>45967</v>
      </c>
      <c r="I70">
        <v>7551.8298999999997</v>
      </c>
      <c r="J70">
        <v>329767.12328767165</v>
      </c>
    </row>
    <row r="71" spans="8:10" x14ac:dyDescent="0.3">
      <c r="H71" s="29">
        <v>45968</v>
      </c>
      <c r="I71">
        <v>7541.8779999999997</v>
      </c>
      <c r="J71">
        <v>329767.12328767165</v>
      </c>
    </row>
    <row r="72" spans="8:10" x14ac:dyDescent="0.3">
      <c r="H72" s="29">
        <v>45971</v>
      </c>
      <c r="I72">
        <v>7563.2534999999998</v>
      </c>
      <c r="J72">
        <v>329767.12328767165</v>
      </c>
    </row>
    <row r="73" spans="8:10" x14ac:dyDescent="0.3">
      <c r="H73" s="29">
        <v>45972</v>
      </c>
      <c r="I73">
        <v>7540.7910000000002</v>
      </c>
      <c r="J73">
        <v>329767.12328767165</v>
      </c>
    </row>
    <row r="74" spans="8:10" x14ac:dyDescent="0.3">
      <c r="H74" s="29">
        <v>45973</v>
      </c>
      <c r="I74">
        <v>7486.3765999999996</v>
      </c>
      <c r="J74">
        <v>329767.12328767165</v>
      </c>
    </row>
    <row r="75" spans="8:10" x14ac:dyDescent="0.3">
      <c r="H75" s="29">
        <v>45974</v>
      </c>
      <c r="I75">
        <v>7590.5762999999997</v>
      </c>
      <c r="J75">
        <v>329767.12328767165</v>
      </c>
    </row>
    <row r="76" spans="8:10" x14ac:dyDescent="0.3">
      <c r="H76" s="29">
        <v>45975</v>
      </c>
      <c r="I76">
        <v>7502.7566999999999</v>
      </c>
      <c r="J76">
        <v>329767.12328767165</v>
      </c>
    </row>
    <row r="77" spans="8:10" x14ac:dyDescent="0.3">
      <c r="H77" s="29">
        <v>45978</v>
      </c>
      <c r="I77">
        <v>7523.0757999999996</v>
      </c>
      <c r="J77">
        <v>329767.12328767165</v>
      </c>
    </row>
    <row r="78" spans="8:10" x14ac:dyDescent="0.3">
      <c r="H78" s="29">
        <v>45979</v>
      </c>
      <c r="I78">
        <v>7448.1007</v>
      </c>
      <c r="J78">
        <v>329767.12328767165</v>
      </c>
    </row>
    <row r="79" spans="8:10" x14ac:dyDescent="0.3">
      <c r="H79" s="29">
        <v>45980</v>
      </c>
      <c r="I79">
        <v>7387.2084000000004</v>
      </c>
      <c r="J79">
        <v>329767.12328767165</v>
      </c>
    </row>
    <row r="80" spans="8:10" x14ac:dyDescent="0.3">
      <c r="H80" s="29">
        <v>45981</v>
      </c>
      <c r="I80">
        <v>7340.4117999999999</v>
      </c>
      <c r="J80">
        <v>329767.12328767165</v>
      </c>
    </row>
    <row r="81" spans="8:10" x14ac:dyDescent="0.3">
      <c r="H81" s="29">
        <v>45982</v>
      </c>
      <c r="I81">
        <v>7067.7030000000004</v>
      </c>
      <c r="J81">
        <v>329767.12328767165</v>
      </c>
    </row>
    <row r="82" spans="8:10" x14ac:dyDescent="0.3">
      <c r="H82" s="29">
        <v>45985</v>
      </c>
      <c r="I82">
        <v>7156.4084999999995</v>
      </c>
      <c r="J82">
        <v>329767.12328767165</v>
      </c>
    </row>
    <row r="83" spans="8:10" x14ac:dyDescent="0.3">
      <c r="H83" s="29">
        <v>45986</v>
      </c>
      <c r="I83">
        <v>7249.9471000000003</v>
      </c>
      <c r="J83">
        <v>329767.12328767165</v>
      </c>
    </row>
    <row r="84" spans="8:10" x14ac:dyDescent="0.3">
      <c r="H84" s="29">
        <v>45987</v>
      </c>
      <c r="I84">
        <v>7248.4489000000003</v>
      </c>
      <c r="J84">
        <v>329767.12328767165</v>
      </c>
    </row>
    <row r="85" spans="8:10" x14ac:dyDescent="0.3">
      <c r="H85" s="29">
        <v>45988</v>
      </c>
      <c r="I85">
        <v>7257.4539999999997</v>
      </c>
      <c r="J85">
        <v>329767.12328767165</v>
      </c>
    </row>
    <row r="86" spans="8:10" x14ac:dyDescent="0.3">
      <c r="H86" s="29">
        <v>45989</v>
      </c>
      <c r="I86">
        <v>7334.2097000000003</v>
      </c>
      <c r="J86">
        <v>329767.12328767165</v>
      </c>
    </row>
    <row r="87" spans="8:10" x14ac:dyDescent="0.3">
      <c r="H87" s="29">
        <v>45992</v>
      </c>
      <c r="I87">
        <v>7386.6810999999998</v>
      </c>
      <c r="J87">
        <v>329767.12328767165</v>
      </c>
    </row>
    <row r="88" spans="8:10" x14ac:dyDescent="0.3">
      <c r="H88" s="29">
        <v>45993</v>
      </c>
      <c r="I88">
        <v>7313.1779999999999</v>
      </c>
      <c r="J88">
        <v>329767.12328767165</v>
      </c>
    </row>
    <row r="89" spans="8:10" x14ac:dyDescent="0.3">
      <c r="H89" s="29">
        <v>45994</v>
      </c>
      <c r="I89">
        <v>7248.2740000000003</v>
      </c>
      <c r="J89">
        <v>329767.12328767165</v>
      </c>
    </row>
    <row r="90" spans="8:10" x14ac:dyDescent="0.3">
      <c r="H90" s="29">
        <v>45995</v>
      </c>
      <c r="I90">
        <v>7248.6572999999999</v>
      </c>
      <c r="J90">
        <v>329767.12328767165</v>
      </c>
    </row>
    <row r="91" spans="8:10" x14ac:dyDescent="0.3">
      <c r="H91" s="29">
        <v>45996</v>
      </c>
      <c r="I91">
        <v>7342.4924000000001</v>
      </c>
      <c r="J91">
        <v>329767.12328767165</v>
      </c>
    </row>
    <row r="92" spans="8:10" x14ac:dyDescent="0.3">
      <c r="H92" s="29">
        <v>45999</v>
      </c>
      <c r="I92">
        <v>7423.0461999999998</v>
      </c>
      <c r="J92">
        <v>329767.12328767165</v>
      </c>
    </row>
    <row r="93" spans="8:10" x14ac:dyDescent="0.3">
      <c r="H93" s="29">
        <v>46000</v>
      </c>
      <c r="I93">
        <v>7380.5834999999997</v>
      </c>
      <c r="J93">
        <v>329767.12328767165</v>
      </c>
    </row>
    <row r="94" spans="8:10" x14ac:dyDescent="0.3">
      <c r="H94" s="29">
        <v>46001</v>
      </c>
      <c r="I94">
        <v>7408.2440999999999</v>
      </c>
      <c r="J94">
        <v>329767.12328767165</v>
      </c>
    </row>
    <row r="95" spans="8:10" x14ac:dyDescent="0.3">
      <c r="H95" s="29">
        <v>46002</v>
      </c>
      <c r="I95">
        <v>7311.9952000000003</v>
      </c>
      <c r="J95">
        <v>329767.12328767165</v>
      </c>
    </row>
    <row r="96" spans="8:10" x14ac:dyDescent="0.3">
      <c r="H96" s="29">
        <v>46003</v>
      </c>
      <c r="I96">
        <v>7370.9416000000001</v>
      </c>
      <c r="J96">
        <v>329767.12328767165</v>
      </c>
    </row>
    <row r="97" spans="8:10" x14ac:dyDescent="0.3">
      <c r="H97" s="29">
        <v>46006</v>
      </c>
      <c r="I97">
        <v>7309.0775000000003</v>
      </c>
      <c r="J97">
        <v>329767.12328767165</v>
      </c>
    </row>
    <row r="98" spans="8:10" x14ac:dyDescent="0.3">
      <c r="H98" s="29">
        <v>46007</v>
      </c>
      <c r="I98">
        <v>7181.62</v>
      </c>
      <c r="J98">
        <v>329767.12328767165</v>
      </c>
    </row>
    <row r="99" spans="8:10" x14ac:dyDescent="0.3">
      <c r="H99" s="29">
        <v>46008</v>
      </c>
      <c r="I99">
        <v>7288.7384000000002</v>
      </c>
      <c r="J99">
        <v>329767.12328767165</v>
      </c>
    </row>
    <row r="100" spans="8:10" x14ac:dyDescent="0.3">
      <c r="H100" s="29">
        <v>46009</v>
      </c>
      <c r="I100">
        <v>7272.4023999999999</v>
      </c>
      <c r="J100">
        <v>329767.12328767165</v>
      </c>
    </row>
    <row r="101" spans="8:10" x14ac:dyDescent="0.3">
      <c r="H101" s="29">
        <v>46010</v>
      </c>
      <c r="I101">
        <v>7329.8056999999999</v>
      </c>
      <c r="J101">
        <v>329767.12328767165</v>
      </c>
    </row>
    <row r="102" spans="8:10" x14ac:dyDescent="0.3">
      <c r="H102" s="29">
        <v>46013</v>
      </c>
      <c r="I102">
        <v>7408.3487999999998</v>
      </c>
      <c r="J102">
        <v>329767.12328767165</v>
      </c>
    </row>
    <row r="103" spans="8:10" x14ac:dyDescent="0.3">
      <c r="H103" s="29">
        <v>46014</v>
      </c>
      <c r="I103">
        <v>7392.4204</v>
      </c>
      <c r="J103">
        <v>329767.12328767165</v>
      </c>
    </row>
    <row r="104" spans="8:10" x14ac:dyDescent="0.3">
      <c r="H104" s="29">
        <v>46015</v>
      </c>
      <c r="I104">
        <v>7506.3814000000002</v>
      </c>
      <c r="J104">
        <v>329767.12328767165</v>
      </c>
    </row>
    <row r="105" spans="8:10" x14ac:dyDescent="0.3">
      <c r="H105" s="29">
        <v>46016</v>
      </c>
      <c r="I105">
        <v>7579.3791000000001</v>
      </c>
      <c r="J105">
        <v>329767.12328767165</v>
      </c>
    </row>
    <row r="106" spans="8:10" x14ac:dyDescent="0.3">
      <c r="H106" s="29">
        <v>46017</v>
      </c>
      <c r="I106">
        <v>7605.5299000000005</v>
      </c>
      <c r="J106">
        <v>329767.12328767165</v>
      </c>
    </row>
    <row r="107" spans="8:10" x14ac:dyDescent="0.3">
      <c r="H107" s="29">
        <v>46020</v>
      </c>
      <c r="I107">
        <v>7594.1575000000003</v>
      </c>
      <c r="J107">
        <v>329767.12328767165</v>
      </c>
    </row>
    <row r="108" spans="8:10" x14ac:dyDescent="0.3">
      <c r="H108" s="29">
        <v>46021</v>
      </c>
      <c r="I108">
        <v>7597.299</v>
      </c>
      <c r="J108">
        <v>329767.12328767165</v>
      </c>
    </row>
    <row r="109" spans="8:10" x14ac:dyDescent="0.3">
      <c r="H109" s="29">
        <v>46022</v>
      </c>
      <c r="I109">
        <v>7595.2844999999998</v>
      </c>
      <c r="J109">
        <v>329767.12328767165</v>
      </c>
    </row>
    <row r="110" spans="8:10" x14ac:dyDescent="0.3">
      <c r="H110" s="29">
        <v>46027</v>
      </c>
      <c r="I110">
        <v>7753.88</v>
      </c>
      <c r="J110">
        <v>329767.12328767165</v>
      </c>
    </row>
    <row r="111" spans="8:10" x14ac:dyDescent="0.3">
      <c r="H111" s="29">
        <v>46028</v>
      </c>
      <c r="I111">
        <v>7864.9034000000001</v>
      </c>
      <c r="J111">
        <v>329767.12328767165</v>
      </c>
    </row>
    <row r="112" spans="8:10" x14ac:dyDescent="0.3">
      <c r="H112" s="29">
        <v>46029</v>
      </c>
      <c r="I112">
        <v>7906.4197000000004</v>
      </c>
      <c r="J112">
        <v>329767.12328767165</v>
      </c>
    </row>
    <row r="113" spans="8:10" x14ac:dyDescent="0.3">
      <c r="H113" s="29">
        <v>46030</v>
      </c>
      <c r="I113">
        <v>7971.5887000000002</v>
      </c>
      <c r="J113">
        <v>329767.12328767165</v>
      </c>
    </row>
    <row r="114" spans="8:10" x14ac:dyDescent="0.3">
      <c r="H114" s="29">
        <v>46031</v>
      </c>
      <c r="I114">
        <v>8129.1831000000002</v>
      </c>
      <c r="J114">
        <v>329767.12328767165</v>
      </c>
    </row>
    <row r="115" spans="8:10" x14ac:dyDescent="0.3">
      <c r="H115" s="29">
        <v>46034</v>
      </c>
      <c r="I115">
        <v>8357.0107000000007</v>
      </c>
      <c r="J115">
        <v>329767.12328767165</v>
      </c>
    </row>
    <row r="116" spans="8:10" x14ac:dyDescent="0.3">
      <c r="H116" s="29">
        <v>46035</v>
      </c>
      <c r="I116">
        <v>8203.1327000000001</v>
      </c>
      <c r="J116">
        <v>329767.12328767165</v>
      </c>
    </row>
    <row r="117" spans="8:10" x14ac:dyDescent="0.3">
      <c r="H117" s="29">
        <v>46036</v>
      </c>
      <c r="I117">
        <v>8257.1715999999997</v>
      </c>
      <c r="J117">
        <v>329767.12328767165</v>
      </c>
    </row>
    <row r="118" spans="8:10" x14ac:dyDescent="0.3">
      <c r="H118" s="29">
        <v>46037</v>
      </c>
      <c r="I118">
        <v>8240.7751000000007</v>
      </c>
      <c r="J118">
        <v>329767.12328767165</v>
      </c>
    </row>
    <row r="119" spans="8:10" x14ac:dyDescent="0.3">
      <c r="H119" s="29">
        <v>46038</v>
      </c>
      <c r="I119">
        <v>8232.7293000000009</v>
      </c>
      <c r="J119">
        <v>329767.12328767165</v>
      </c>
    </row>
    <row r="120" spans="8:10" x14ac:dyDescent="0.3">
      <c r="H120" s="29">
        <v>46041</v>
      </c>
      <c r="I120">
        <v>8265.6461999999992</v>
      </c>
      <c r="J120">
        <v>329767.12328767165</v>
      </c>
    </row>
    <row r="121" spans="8:10" x14ac:dyDescent="0.3">
      <c r="H121" s="29">
        <v>46042</v>
      </c>
      <c r="I121">
        <v>8182.7521999999999</v>
      </c>
      <c r="J121">
        <v>329767.12328767165</v>
      </c>
    </row>
    <row r="122" spans="8:10" x14ac:dyDescent="0.3">
      <c r="H122" s="29">
        <v>46043</v>
      </c>
      <c r="I122">
        <v>8247.6797999999999</v>
      </c>
      <c r="J122">
        <v>329767.12328767165</v>
      </c>
    </row>
    <row r="123" spans="8:10" x14ac:dyDescent="0.3">
      <c r="H123" s="29">
        <v>46044</v>
      </c>
      <c r="I123">
        <v>8309.3456000000006</v>
      </c>
      <c r="J123">
        <v>329767.12328767165</v>
      </c>
    </row>
    <row r="124" spans="8:10" x14ac:dyDescent="0.3">
      <c r="H124" s="29">
        <v>46045</v>
      </c>
      <c r="I124">
        <v>8470.7438000000002</v>
      </c>
      <c r="J124">
        <v>329767.12328767165</v>
      </c>
    </row>
    <row r="125" spans="8:10" x14ac:dyDescent="0.3">
      <c r="H125" s="29">
        <v>46048</v>
      </c>
      <c r="I125">
        <v>8365.4344999999994</v>
      </c>
      <c r="J125">
        <v>329767.12328767165</v>
      </c>
    </row>
    <row r="126" spans="8:10" x14ac:dyDescent="0.3">
      <c r="H126" s="29">
        <v>46049</v>
      </c>
      <c r="I126">
        <v>8382.1532999999999</v>
      </c>
      <c r="J126">
        <v>329767.12328767165</v>
      </c>
    </row>
    <row r="128" spans="8:10" x14ac:dyDescent="0.3">
      <c r="H128" t="s">
        <v>66</v>
      </c>
    </row>
  </sheetData>
  <phoneticPr fontId="2" type="noConversion"/>
  <dataValidations count="3">
    <dataValidation type="list" showInputMessage="1" showErrorMessage="1" sqref="B5" xr:uid="{0F81D657-7145-4C53-9600-085179571B8D}">
      <formula1>"000852.SH,000905.SH,000300.SH,000016.SH,513180.SH"</formula1>
    </dataValidation>
    <dataValidation type="list" showInputMessage="1" showErrorMessage="1" sqref="B14" xr:uid="{2E113E83-A14F-450A-8323-FB49C612E3A9}">
      <formula1>"每日观察,到期观察"</formula1>
    </dataValidation>
    <dataValidation type="list" showInputMessage="1" showErrorMessage="1" sqref="B23" xr:uid="{B882A52E-CD74-4DCC-A874-0102BDEB3093}">
      <formula1>"含头含尾,含头不含尾"</formula1>
    </dataValidation>
  </dataValidations>
  <pageMargins left="0.7" right="0.7" top="0.75" bottom="0.75" header="0.3" footer="0.3"/>
  <legacy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6BC0B29-693C-452A-B291-0D0325C25E7C}">
  <dimension ref="A1:J133"/>
  <sheetViews>
    <sheetView workbookViewId="0">
      <selection activeCell="E67" sqref="E67"/>
    </sheetView>
  </sheetViews>
  <sheetFormatPr defaultColWidth="22.1328125" defaultRowHeight="13.5" x14ac:dyDescent="0.3"/>
  <cols>
    <col min="1" max="1" width="19.1328125" style="2" customWidth="1"/>
    <col min="2" max="2" width="22.1328125" style="1"/>
    <col min="3" max="3" width="22.1328125" style="21"/>
    <col min="4" max="6" width="22.1328125" style="3"/>
    <col min="7" max="7" width="22.1328125" style="2"/>
    <col min="8" max="8" width="11.59765625" bestFit="1" customWidth="1"/>
  </cols>
  <sheetData>
    <row r="1" spans="1:10" x14ac:dyDescent="0.3">
      <c r="A1" s="6" t="s">
        <v>6</v>
      </c>
      <c r="B1" s="9" t="s">
        <v>73</v>
      </c>
      <c r="C1" s="18" t="s">
        <v>55</v>
      </c>
      <c r="D1" s="22">
        <f>IF(B17="同敲出票息",-1,B17)</f>
        <v>-1</v>
      </c>
      <c r="E1" s="22" t="b">
        <f>(B14="每日观察")</f>
        <v>1</v>
      </c>
      <c r="F1" s="22">
        <f>IF(B17="同敲出票息",B27,B17)</f>
        <v>0.12850265701446567</v>
      </c>
      <c r="G1" s="7" t="b">
        <f>IF(B23="含头含尾",TRUE,FALSE)</f>
        <v>1</v>
      </c>
      <c r="I1" t="s">
        <v>30</v>
      </c>
    </row>
    <row r="2" spans="1:10" x14ac:dyDescent="0.3">
      <c r="A2" s="6" t="s">
        <v>5</v>
      </c>
      <c r="B2" s="10" t="str">
        <f>_xlfn.TEXTJOIN(,TRUE,IF(B12&gt;0,"增强型",""),IF(B14="每日观察","","欧式"),IF(B17="同敲出票息",,"红利"),IF(AND(B19=B18,B18&lt;0.9),"不追保",""),IF(B15&lt;1,"OTM",""),"雪球")</f>
        <v>雪球</v>
      </c>
      <c r="C2" s="19" t="s">
        <v>1</v>
      </c>
      <c r="D2" s="23" t="s">
        <v>12</v>
      </c>
      <c r="E2" s="23" t="s">
        <v>54</v>
      </c>
      <c r="F2" s="23" t="s">
        <v>33</v>
      </c>
      <c r="G2" s="25"/>
      <c r="H2" s="29">
        <v>45856</v>
      </c>
      <c r="I2">
        <v>6552.0740999999998</v>
      </c>
      <c r="J2" cm="1">
        <f t="array" ref="J2">_xll.ValuateSnowball($C$1,$B$3,$B$7,_xlfn.ANCHORARRAY($C$3),_xlfn.ANCHORARRAY($D$3),_xlfn.ANCHORARRAY($F$3),$B$12,$F$1,$B$13,$B$15,$B$16,$B$18,$B$19,$B$21+$B$29,$B$20,$B$22,$G$1,$E$1,H2+0.625,I2,$B$32,$B$33,$B$34,FALSE,"NPV")* $B$6 / $B$3</f>
        <v>10514.503843034729</v>
      </c>
    </row>
    <row r="3" spans="1:10" x14ac:dyDescent="0.3">
      <c r="A3" s="6" t="s">
        <v>70</v>
      </c>
      <c r="B3" s="10">
        <v>6535.26</v>
      </c>
      <c r="C3" s="26" cm="1">
        <f t="array" ref="C3:C24">_xll.ScheduleDates(C1,B7,B8,"1M",B9,"MODIFIED_FOLLOWING")</f>
        <v>45950</v>
      </c>
      <c r="D3" s="27" cm="1">
        <f t="array" ref="D3:D24">_xll.GenerateBarriers(_xlfn.ANCHORARRAY(C3),B10,B11)</f>
        <v>1</v>
      </c>
      <c r="E3" s="27" cm="1">
        <f t="array" ref="E3:E24">IF(_xlfn.ANCHORARRAY(C3),-1,)</f>
        <v>-1</v>
      </c>
      <c r="F3" s="27" cm="1">
        <f t="array" ref="F3:F24">IF(_xlfn.ANCHORARRAY(C3),B27,)</f>
        <v>0.12850265701446567</v>
      </c>
      <c r="G3" s="25"/>
      <c r="H3" s="29">
        <v>45859</v>
      </c>
      <c r="I3">
        <v>6612.2588999999998</v>
      </c>
      <c r="J3">
        <v>50363.243581909483</v>
      </c>
    </row>
    <row r="4" spans="1:10" x14ac:dyDescent="0.3">
      <c r="A4" s="6" t="s">
        <v>71</v>
      </c>
      <c r="B4" s="31">
        <v>46050</v>
      </c>
      <c r="C4" s="20">
        <v>45979</v>
      </c>
      <c r="D4" s="24">
        <v>0.995</v>
      </c>
      <c r="E4" s="24">
        <v>-1</v>
      </c>
      <c r="F4" s="24">
        <v>0.12850265701446567</v>
      </c>
      <c r="G4" s="25"/>
      <c r="H4" s="29">
        <v>45860</v>
      </c>
      <c r="I4">
        <v>6637.1035000000002</v>
      </c>
      <c r="J4">
        <v>68300.469938986353</v>
      </c>
    </row>
    <row r="5" spans="1:10" x14ac:dyDescent="0.3">
      <c r="A5" s="6" t="s">
        <v>0</v>
      </c>
      <c r="B5" s="11" t="s">
        <v>30</v>
      </c>
      <c r="C5" s="20">
        <v>46009</v>
      </c>
      <c r="D5" s="24">
        <v>0.99</v>
      </c>
      <c r="E5" s="24">
        <v>-1</v>
      </c>
      <c r="F5" s="24">
        <v>0.12850265701446567</v>
      </c>
      <c r="G5" s="25"/>
      <c r="H5" s="29">
        <v>45861</v>
      </c>
      <c r="I5">
        <v>6607.22</v>
      </c>
      <c r="J5">
        <v>57068.686015685162</v>
      </c>
    </row>
    <row r="6" spans="1:10" x14ac:dyDescent="0.3">
      <c r="A6" s="6" t="s">
        <v>7</v>
      </c>
      <c r="B6" s="12">
        <v>10000000</v>
      </c>
      <c r="C6" s="20">
        <v>46041</v>
      </c>
      <c r="D6" s="24">
        <v>0.98499999999999999</v>
      </c>
      <c r="E6" s="24">
        <v>-1</v>
      </c>
      <c r="F6" s="24">
        <v>0.12850265701446567</v>
      </c>
      <c r="G6" s="25"/>
      <c r="H6" s="29">
        <v>45862</v>
      </c>
      <c r="I6">
        <v>6701.12</v>
      </c>
      <c r="J6">
        <v>108276.02989139341</v>
      </c>
    </row>
    <row r="7" spans="1:10" x14ac:dyDescent="0.3">
      <c r="A7" s="6" t="s">
        <v>8</v>
      </c>
      <c r="B7" s="13">
        <v>45856.625</v>
      </c>
      <c r="C7" s="20">
        <v>46077</v>
      </c>
      <c r="D7" s="24">
        <v>0.98</v>
      </c>
      <c r="E7" s="24">
        <v>-1</v>
      </c>
      <c r="F7" s="24">
        <v>0.12850265701446567</v>
      </c>
      <c r="G7" s="25"/>
      <c r="H7" s="29">
        <v>45863</v>
      </c>
      <c r="I7">
        <v>6706.6098000000002</v>
      </c>
      <c r="J7">
        <v>115052.35247683711</v>
      </c>
    </row>
    <row r="8" spans="1:10" x14ac:dyDescent="0.3">
      <c r="A8" s="6" t="s">
        <v>9</v>
      </c>
      <c r="B8" s="10" t="s">
        <v>10</v>
      </c>
      <c r="C8" s="20">
        <v>46099</v>
      </c>
      <c r="D8" s="24">
        <v>0.97499999999999998</v>
      </c>
      <c r="E8" s="24">
        <v>-1</v>
      </c>
      <c r="F8" s="24">
        <v>0.12850265701446567</v>
      </c>
      <c r="G8" s="25"/>
      <c r="H8" s="29">
        <v>45866</v>
      </c>
      <c r="I8">
        <v>6729.9790000000003</v>
      </c>
      <c r="J8">
        <v>129309.23944941876</v>
      </c>
    </row>
    <row r="9" spans="1:10" x14ac:dyDescent="0.3">
      <c r="A9" s="6" t="s">
        <v>11</v>
      </c>
      <c r="B9" s="10">
        <v>3</v>
      </c>
      <c r="C9" s="20">
        <v>46132</v>
      </c>
      <c r="D9" s="24">
        <v>0.97</v>
      </c>
      <c r="E9" s="24">
        <v>-1</v>
      </c>
      <c r="F9" s="24">
        <v>0.12850265701446567</v>
      </c>
      <c r="G9" s="25"/>
      <c r="H9" s="29">
        <v>45867</v>
      </c>
      <c r="I9">
        <v>6773.8842999999997</v>
      </c>
      <c r="J9">
        <v>150719.39363313498</v>
      </c>
    </row>
    <row r="10" spans="1:10" x14ac:dyDescent="0.3">
      <c r="A10" s="6" t="s">
        <v>12</v>
      </c>
      <c r="B10" s="14">
        <v>1</v>
      </c>
      <c r="C10" s="20">
        <v>46160</v>
      </c>
      <c r="D10" s="24">
        <v>0.96499999999999997</v>
      </c>
      <c r="E10" s="24">
        <v>-1</v>
      </c>
      <c r="F10" s="24">
        <v>0.12850265701446567</v>
      </c>
      <c r="G10" s="25"/>
      <c r="H10" s="29">
        <v>45868</v>
      </c>
      <c r="I10">
        <v>6718.4818999999998</v>
      </c>
      <c r="J10">
        <v>132973.25553358631</v>
      </c>
    </row>
    <row r="11" spans="1:10" x14ac:dyDescent="0.3">
      <c r="A11" s="6" t="s">
        <v>13</v>
      </c>
      <c r="B11" s="14">
        <v>-5.0000000000000001E-3</v>
      </c>
      <c r="C11" s="20">
        <v>46191</v>
      </c>
      <c r="D11" s="24">
        <v>0.96</v>
      </c>
      <c r="E11" s="24">
        <v>-1</v>
      </c>
      <c r="F11" s="24">
        <v>0.12850265701446567</v>
      </c>
      <c r="G11" s="25"/>
      <c r="H11" s="29">
        <v>45869</v>
      </c>
      <c r="I11">
        <v>6661.1862000000001</v>
      </c>
      <c r="J11">
        <v>112057.78944163612</v>
      </c>
    </row>
    <row r="12" spans="1:10" x14ac:dyDescent="0.3">
      <c r="A12" s="6" t="s">
        <v>14</v>
      </c>
      <c r="B12" s="14">
        <v>0</v>
      </c>
      <c r="C12" s="20">
        <v>46223</v>
      </c>
      <c r="D12" s="24">
        <v>0.95499999999999996</v>
      </c>
      <c r="E12" s="24">
        <v>-1</v>
      </c>
      <c r="F12" s="24">
        <v>0.12850265701446567</v>
      </c>
      <c r="G12" s="25"/>
      <c r="H12" s="29">
        <v>45870</v>
      </c>
      <c r="I12">
        <v>6670.4719999999998</v>
      </c>
      <c r="J12">
        <v>120788.18052015519</v>
      </c>
    </row>
    <row r="13" spans="1:10" x14ac:dyDescent="0.3">
      <c r="A13" s="6" t="s">
        <v>2</v>
      </c>
      <c r="B13" s="14">
        <v>0.65</v>
      </c>
      <c r="C13" s="20">
        <v>46252</v>
      </c>
      <c r="D13" s="24">
        <v>0.95</v>
      </c>
      <c r="E13" s="24">
        <v>-1</v>
      </c>
      <c r="F13" s="24">
        <v>0.12850265701446567</v>
      </c>
      <c r="G13" s="25"/>
      <c r="H13" s="29">
        <v>45873</v>
      </c>
      <c r="I13">
        <v>6739.6935999999996</v>
      </c>
      <c r="J13">
        <v>154025.03790974664</v>
      </c>
    </row>
    <row r="14" spans="1:10" x14ac:dyDescent="0.3">
      <c r="A14" s="6" t="s">
        <v>15</v>
      </c>
      <c r="B14" s="11" t="s">
        <v>31</v>
      </c>
      <c r="C14" s="20">
        <v>46283</v>
      </c>
      <c r="D14" s="24">
        <v>0.94499999999999995</v>
      </c>
      <c r="E14" s="24">
        <v>-1</v>
      </c>
      <c r="F14" s="24">
        <v>0.12850265701446567</v>
      </c>
      <c r="G14" s="25"/>
      <c r="H14" s="29">
        <v>45874</v>
      </c>
      <c r="I14">
        <v>6787.4805999999999</v>
      </c>
      <c r="J14">
        <v>175338.91595974469</v>
      </c>
    </row>
    <row r="15" spans="1:10" x14ac:dyDescent="0.3">
      <c r="A15" s="6" t="s">
        <v>17</v>
      </c>
      <c r="B15" s="14">
        <v>1</v>
      </c>
      <c r="C15" s="20">
        <v>46314</v>
      </c>
      <c r="D15" s="24">
        <v>0.94</v>
      </c>
      <c r="E15" s="24">
        <v>-1</v>
      </c>
      <c r="F15" s="24">
        <v>0.12850265701446567</v>
      </c>
      <c r="G15" s="25"/>
      <c r="H15" s="29">
        <v>45875</v>
      </c>
      <c r="I15">
        <v>6861.3091000000004</v>
      </c>
      <c r="J15">
        <v>201874.09945767559</v>
      </c>
    </row>
    <row r="16" spans="1:10" x14ac:dyDescent="0.3">
      <c r="A16" s="6" t="s">
        <v>18</v>
      </c>
      <c r="B16" s="14">
        <v>1</v>
      </c>
      <c r="C16" s="20">
        <v>46344</v>
      </c>
      <c r="D16" s="24">
        <v>0.93500000000000005</v>
      </c>
      <c r="E16" s="24">
        <v>-1</v>
      </c>
      <c r="F16" s="24">
        <v>0.12850265701446567</v>
      </c>
      <c r="G16" s="25"/>
      <c r="H16" s="29">
        <v>45876</v>
      </c>
      <c r="I16">
        <v>6862.1496999999999</v>
      </c>
      <c r="J16">
        <v>205643.94842756048</v>
      </c>
    </row>
    <row r="17" spans="1:10" x14ac:dyDescent="0.3">
      <c r="A17" s="6" t="s">
        <v>19</v>
      </c>
      <c r="B17" s="14" t="s">
        <v>72</v>
      </c>
      <c r="C17" s="20">
        <v>46374</v>
      </c>
      <c r="D17" s="24">
        <v>0.92999999999999994</v>
      </c>
      <c r="E17" s="24">
        <v>-1</v>
      </c>
      <c r="F17" s="24">
        <v>0.12850265701446567</v>
      </c>
      <c r="G17" s="25"/>
      <c r="H17" s="29">
        <v>45877</v>
      </c>
      <c r="I17">
        <v>6838.1298999999999</v>
      </c>
      <c r="J17">
        <v>202476.4199643574</v>
      </c>
    </row>
    <row r="18" spans="1:10" x14ac:dyDescent="0.3">
      <c r="A18" s="6" t="s">
        <v>20</v>
      </c>
      <c r="B18" s="14">
        <v>1</v>
      </c>
      <c r="C18" s="20">
        <v>46405</v>
      </c>
      <c r="D18" s="24">
        <v>0.92500000000000004</v>
      </c>
      <c r="E18" s="24">
        <v>-1</v>
      </c>
      <c r="F18" s="24">
        <v>0.12850265701446567</v>
      </c>
      <c r="G18" s="25"/>
      <c r="H18" s="29">
        <v>45880</v>
      </c>
      <c r="I18">
        <v>6943.9366</v>
      </c>
      <c r="J18">
        <v>232115.1302968181</v>
      </c>
    </row>
    <row r="19" spans="1:10" x14ac:dyDescent="0.3">
      <c r="A19" s="6" t="s">
        <v>21</v>
      </c>
      <c r="B19" s="14">
        <v>1</v>
      </c>
      <c r="C19" s="20">
        <v>46436</v>
      </c>
      <c r="D19" s="24">
        <v>0.92</v>
      </c>
      <c r="E19" s="24">
        <v>-1</v>
      </c>
      <c r="F19" s="24">
        <v>0.12850265701446567</v>
      </c>
      <c r="G19" s="25"/>
      <c r="H19" s="29">
        <v>45881</v>
      </c>
      <c r="I19">
        <v>6963.6109999999999</v>
      </c>
      <c r="J19">
        <v>239204.42346044807</v>
      </c>
    </row>
    <row r="20" spans="1:10" x14ac:dyDescent="0.3">
      <c r="A20" s="6" t="s">
        <v>22</v>
      </c>
      <c r="B20" s="14">
        <v>0</v>
      </c>
      <c r="C20" s="20">
        <v>46464</v>
      </c>
      <c r="D20" s="24">
        <v>0.91500000000000004</v>
      </c>
      <c r="E20" s="24">
        <v>-1</v>
      </c>
      <c r="F20" s="24">
        <v>0.12850265701446567</v>
      </c>
      <c r="G20" s="25"/>
      <c r="H20" s="29">
        <v>45882</v>
      </c>
      <c r="I20">
        <v>7064.3338999999996</v>
      </c>
      <c r="J20">
        <v>258844.96894343666</v>
      </c>
    </row>
    <row r="21" spans="1:10" x14ac:dyDescent="0.3">
      <c r="A21" s="6" t="s">
        <v>23</v>
      </c>
      <c r="B21" s="14">
        <v>0</v>
      </c>
      <c r="C21" s="20">
        <v>46496</v>
      </c>
      <c r="D21" s="24">
        <v>0.91</v>
      </c>
      <c r="E21" s="24">
        <v>-1</v>
      </c>
      <c r="F21" s="24">
        <v>0.12850265701446567</v>
      </c>
      <c r="G21" s="25"/>
      <c r="H21" s="29">
        <v>45883</v>
      </c>
      <c r="I21">
        <v>6976.4875000000002</v>
      </c>
      <c r="J21">
        <v>247572.09824237059</v>
      </c>
    </row>
    <row r="22" spans="1:10" x14ac:dyDescent="0.3">
      <c r="A22" s="6" t="s">
        <v>24</v>
      </c>
      <c r="B22" s="10">
        <v>0</v>
      </c>
      <c r="C22" s="20">
        <v>46525</v>
      </c>
      <c r="D22" s="24">
        <v>0.90500000000000003</v>
      </c>
      <c r="E22" s="24">
        <v>-1</v>
      </c>
      <c r="F22" s="24">
        <v>0.12850265701446567</v>
      </c>
      <c r="G22" s="25"/>
      <c r="H22" s="29">
        <v>45884</v>
      </c>
      <c r="I22">
        <v>7117.5009</v>
      </c>
      <c r="J22">
        <v>270430.31597177364</v>
      </c>
    </row>
    <row r="23" spans="1:10" x14ac:dyDescent="0.3">
      <c r="A23" s="6" t="s">
        <v>25</v>
      </c>
      <c r="B23" s="11" t="s">
        <v>32</v>
      </c>
      <c r="C23" s="20">
        <v>46556</v>
      </c>
      <c r="D23" s="24">
        <v>0.9</v>
      </c>
      <c r="E23" s="24">
        <v>-1</v>
      </c>
      <c r="F23" s="24">
        <v>0.12850265701446567</v>
      </c>
      <c r="G23" s="25"/>
      <c r="H23" s="29">
        <v>45887</v>
      </c>
      <c r="I23">
        <v>7237.6018000000004</v>
      </c>
      <c r="J23">
        <v>283233.91807601409</v>
      </c>
    </row>
    <row r="24" spans="1:10" x14ac:dyDescent="0.3">
      <c r="A24" s="6" t="s">
        <v>27</v>
      </c>
      <c r="B24" s="14">
        <v>0</v>
      </c>
      <c r="C24" s="20">
        <v>46587</v>
      </c>
      <c r="D24" s="24">
        <v>0.89500000000000002</v>
      </c>
      <c r="E24" s="24">
        <v>-1</v>
      </c>
      <c r="F24" s="24">
        <v>0.12850265701446567</v>
      </c>
      <c r="G24" s="25"/>
      <c r="H24" s="29">
        <v>45888</v>
      </c>
      <c r="I24">
        <v>7242.8494000000001</v>
      </c>
      <c r="J24">
        <v>285468.76657189889</v>
      </c>
    </row>
    <row r="25" spans="1:10" x14ac:dyDescent="0.3">
      <c r="A25" s="6" t="s">
        <v>28</v>
      </c>
      <c r="B25" s="10" t="s">
        <v>29</v>
      </c>
      <c r="C25" s="20"/>
      <c r="D25" s="24"/>
      <c r="E25" s="24"/>
      <c r="F25" s="24"/>
      <c r="G25" s="25"/>
      <c r="H25" s="29">
        <v>45889</v>
      </c>
      <c r="I25">
        <v>7305.4612999999999</v>
      </c>
      <c r="J25">
        <v>290767.80496649485</v>
      </c>
    </row>
    <row r="26" spans="1:10" x14ac:dyDescent="0.3">
      <c r="A26" s="7"/>
      <c r="B26" s="10">
        <v>12.85</v>
      </c>
      <c r="C26" s="20"/>
      <c r="D26" s="24"/>
      <c r="E26" s="24"/>
      <c r="F26" s="24"/>
      <c r="G26" s="25"/>
      <c r="H26" s="29">
        <v>45890</v>
      </c>
      <c r="I26">
        <v>7253.3428999999996</v>
      </c>
      <c r="J26">
        <v>289745.8940997452</v>
      </c>
    </row>
    <row r="27" spans="1:10" x14ac:dyDescent="0.3">
      <c r="A27" s="6" t="s">
        <v>33</v>
      </c>
      <c r="B27" s="32">
        <f t="array" ref="B27">_xll.ApproximateSnowballCoupon(C1,1,B7,_xlfn.ANCHORARRAY(C3),_xlfn.ANCHORARRAY(D3),_xlfn.ANCHORARRAY(E3),B12,D1,B13,B15,B16,B18,B19,B21+B29,B20,B22,G1,E1,B32,B33,B34,-B24)</f>
        <v>0.12850265701446567</v>
      </c>
      <c r="C27" s="20"/>
      <c r="D27" s="24"/>
      <c r="E27" s="24"/>
      <c r="F27" s="24"/>
      <c r="G27" s="25"/>
      <c r="H27" s="29">
        <v>45891</v>
      </c>
      <c r="I27">
        <v>7362.9395999999997</v>
      </c>
      <c r="J27">
        <v>296253.09899596759</v>
      </c>
    </row>
    <row r="28" spans="1:10" x14ac:dyDescent="0.3">
      <c r="A28" s="7"/>
      <c r="B28" s="10">
        <v>0.12850397695217292</v>
      </c>
      <c r="C28" s="20"/>
      <c r="D28" s="24"/>
      <c r="E28" s="24"/>
      <c r="F28" s="24"/>
      <c r="G28" s="25"/>
      <c r="H28" s="29">
        <v>45894</v>
      </c>
      <c r="I28">
        <v>7477.7280000000001</v>
      </c>
      <c r="J28">
        <v>300539.36620026024</v>
      </c>
    </row>
    <row r="29" spans="1:10" x14ac:dyDescent="0.3">
      <c r="A29" s="6" t="s">
        <v>34</v>
      </c>
      <c r="B29" s="14">
        <v>0</v>
      </c>
      <c r="C29" s="20"/>
      <c r="D29" s="24"/>
      <c r="E29" s="24"/>
      <c r="F29" s="24"/>
      <c r="G29" s="25"/>
      <c r="H29" s="29">
        <v>45895</v>
      </c>
      <c r="I29">
        <v>7476.4672</v>
      </c>
      <c r="J29">
        <v>301759.877203296</v>
      </c>
    </row>
    <row r="30" spans="1:10" x14ac:dyDescent="0.3">
      <c r="A30" s="6" t="s">
        <v>35</v>
      </c>
      <c r="B30" s="14" t="s">
        <v>36</v>
      </c>
      <c r="C30" s="20"/>
      <c r="D30" s="24"/>
      <c r="E30" s="24"/>
      <c r="F30" s="24"/>
      <c r="G30" s="25"/>
      <c r="H30" s="29">
        <v>45896</v>
      </c>
      <c r="I30">
        <v>7336.5036</v>
      </c>
      <c r="J30">
        <v>299799.85247947997</v>
      </c>
    </row>
    <row r="31" spans="1:10" x14ac:dyDescent="0.3">
      <c r="A31" s="7"/>
      <c r="B31" s="14"/>
      <c r="C31" s="20"/>
      <c r="D31" s="24"/>
      <c r="E31" s="24"/>
      <c r="F31" s="24"/>
      <c r="G31" s="25"/>
      <c r="H31" s="29">
        <v>45897</v>
      </c>
      <c r="I31">
        <v>7447.1100999999999</v>
      </c>
      <c r="J31">
        <v>303726.18445340486</v>
      </c>
    </row>
    <row r="32" spans="1:10" x14ac:dyDescent="0.3">
      <c r="A32" s="6" t="s">
        <v>37</v>
      </c>
      <c r="B32" s="16">
        <v>2.1000000000000001E-2</v>
      </c>
      <c r="C32" s="20"/>
      <c r="D32" s="24"/>
      <c r="E32" s="24"/>
      <c r="F32" s="24"/>
      <c r="G32" s="25"/>
      <c r="H32" s="29">
        <v>45898</v>
      </c>
      <c r="I32">
        <v>7438.6767</v>
      </c>
      <c r="J32">
        <v>304817.0046765536</v>
      </c>
    </row>
    <row r="33" spans="1:10" x14ac:dyDescent="0.3">
      <c r="A33" s="6" t="s">
        <v>38</v>
      </c>
      <c r="B33" s="14">
        <v>-6.8598999999999993E-2</v>
      </c>
      <c r="C33" s="20"/>
      <c r="D33" s="24"/>
      <c r="E33" s="24"/>
      <c r="F33" s="24"/>
      <c r="G33" s="25"/>
      <c r="H33" s="29">
        <v>45901</v>
      </c>
      <c r="I33">
        <v>7501.1482999999998</v>
      </c>
      <c r="J33">
        <v>306800.46644785517</v>
      </c>
    </row>
    <row r="34" spans="1:10" x14ac:dyDescent="0.3">
      <c r="A34" s="6" t="s">
        <v>39</v>
      </c>
      <c r="B34" s="14">
        <v>0.17499999999999999</v>
      </c>
      <c r="C34" s="20"/>
      <c r="D34" s="24"/>
      <c r="E34" s="24"/>
      <c r="F34" s="24"/>
      <c r="G34" s="25"/>
      <c r="H34" s="29">
        <v>45902</v>
      </c>
      <c r="I34">
        <v>7313.8824000000004</v>
      </c>
      <c r="J34">
        <v>304868.43873332138</v>
      </c>
    </row>
    <row r="35" spans="1:10" x14ac:dyDescent="0.3">
      <c r="A35" s="7"/>
      <c r="B35" s="10"/>
      <c r="C35" s="20"/>
      <c r="D35" s="24"/>
      <c r="E35" s="24"/>
      <c r="F35" s="24"/>
      <c r="G35" s="25"/>
      <c r="H35" s="29">
        <v>45903</v>
      </c>
      <c r="I35">
        <v>7206.8757999999998</v>
      </c>
      <c r="J35">
        <v>302873.29006941261</v>
      </c>
    </row>
    <row r="36" spans="1:10" x14ac:dyDescent="0.3">
      <c r="A36" s="8" t="s">
        <v>40</v>
      </c>
      <c r="B36" s="10"/>
      <c r="C36" s="20"/>
      <c r="D36" s="24"/>
      <c r="E36" s="24"/>
      <c r="F36" s="24"/>
      <c r="G36" s="25"/>
      <c r="H36" s="29">
        <v>45904</v>
      </c>
      <c r="I36">
        <v>7041.1544000000004</v>
      </c>
      <c r="J36">
        <v>294851.92356623959</v>
      </c>
    </row>
    <row r="37" spans="1:10" x14ac:dyDescent="0.3">
      <c r="A37" s="6" t="s">
        <v>41</v>
      </c>
      <c r="B37" s="17">
        <f>B45*100</f>
        <v>41.465057766416621</v>
      </c>
      <c r="C37" s="20"/>
      <c r="D37" s="24"/>
      <c r="E37" s="24"/>
      <c r="F37" s="24"/>
      <c r="G37" s="25"/>
      <c r="H37" s="29">
        <v>45905</v>
      </c>
      <c r="I37">
        <v>7245.6670000000004</v>
      </c>
      <c r="J37">
        <v>307307.6960575651</v>
      </c>
    </row>
    <row r="38" spans="1:10" x14ac:dyDescent="0.3">
      <c r="A38" s="6" t="s">
        <v>42</v>
      </c>
      <c r="B38" s="17">
        <f>B46*1%*100</f>
        <v>-4.7147542945058518</v>
      </c>
      <c r="C38" s="20"/>
      <c r="D38" s="24"/>
      <c r="E38" s="24"/>
      <c r="F38" s="24"/>
      <c r="G38" s="25"/>
      <c r="H38" s="29">
        <v>45908</v>
      </c>
      <c r="I38">
        <v>7311.0343000000003</v>
      </c>
      <c r="J38">
        <v>310179.07096136932</v>
      </c>
    </row>
    <row r="39" spans="1:10" x14ac:dyDescent="0.3">
      <c r="A39" s="6" t="s">
        <v>43</v>
      </c>
      <c r="B39" s="17">
        <f>B47*1%*100</f>
        <v>-0.84611561031473492</v>
      </c>
      <c r="C39" s="20"/>
      <c r="D39" s="24"/>
      <c r="E39" s="24"/>
      <c r="F39" s="24"/>
      <c r="G39" s="25"/>
      <c r="H39" s="29">
        <v>45909</v>
      </c>
      <c r="I39">
        <v>7226.0276999999996</v>
      </c>
      <c r="J39">
        <v>309677.07401487324</v>
      </c>
    </row>
    <row r="40" spans="1:10" x14ac:dyDescent="0.3">
      <c r="A40" s="6" t="s">
        <v>44</v>
      </c>
      <c r="B40" s="17">
        <f>B48*1/242*100</f>
        <v>5.0152313876816734E-2</v>
      </c>
      <c r="C40" s="20"/>
      <c r="D40" s="24"/>
      <c r="E40" s="24"/>
      <c r="F40" s="24"/>
      <c r="G40" s="25"/>
      <c r="H40" s="29">
        <v>45910</v>
      </c>
      <c r="I40">
        <v>7230.1678000000002</v>
      </c>
      <c r="J40">
        <v>311201.49483394629</v>
      </c>
    </row>
    <row r="41" spans="1:10" x14ac:dyDescent="0.3">
      <c r="A41" s="6" t="s">
        <v>45</v>
      </c>
      <c r="B41" s="17">
        <f>1%*B49*100</f>
        <v>-0.77874056359136246</v>
      </c>
      <c r="C41" s="20"/>
      <c r="D41" s="24"/>
      <c r="E41" s="24"/>
      <c r="F41" s="24"/>
      <c r="G41" s="25"/>
      <c r="H41" s="29">
        <v>45911</v>
      </c>
      <c r="I41">
        <v>7399.8854000000001</v>
      </c>
      <c r="J41">
        <v>314738.76240165962</v>
      </c>
    </row>
    <row r="42" spans="1:10" x14ac:dyDescent="0.3">
      <c r="A42" s="6" t="s">
        <v>46</v>
      </c>
      <c r="B42" s="17">
        <f>1%*B50*100</f>
        <v>-0.68049931503804117</v>
      </c>
      <c r="C42" s="20"/>
      <c r="D42" s="24"/>
      <c r="E42" s="24"/>
      <c r="F42" s="24"/>
      <c r="G42" s="25"/>
      <c r="H42" s="29">
        <v>45912</v>
      </c>
      <c r="I42">
        <v>7422.8843999999999</v>
      </c>
      <c r="J42">
        <v>315925.78134398413</v>
      </c>
    </row>
    <row r="43" spans="1:10" x14ac:dyDescent="0.3">
      <c r="A43" s="7"/>
      <c r="B43" s="33">
        <f>B44*B6</f>
        <v>0</v>
      </c>
      <c r="C43" s="20"/>
      <c r="D43" s="24"/>
      <c r="E43" s="24"/>
      <c r="F43" s="24"/>
      <c r="G43" s="25"/>
      <c r="H43" s="29">
        <v>45915</v>
      </c>
      <c r="I43">
        <v>7415.5711000000001</v>
      </c>
      <c r="J43">
        <v>316917.5869979405</v>
      </c>
    </row>
    <row r="44" spans="1:10" x14ac:dyDescent="0.3">
      <c r="A44" s="6" t="s">
        <v>47</v>
      </c>
      <c r="B44" s="28" cm="1">
        <f t="array" ref="B44:B50">_xll.ValuateSnowball(C1,1,B7,_xlfn.ANCHORARRAY(C3),_xlfn.ANCHORARRAY(D3),_xlfn.ANCHORARRAY(F3),B12,F1,B13,B15,B16,B18,B19,B21+B29,B20,B22,G1,E1,B7,1,B32,B33,B34,FALSE,"ALL")</f>
        <v>0</v>
      </c>
      <c r="C44" s="20"/>
      <c r="D44" s="24"/>
      <c r="E44" s="24"/>
      <c r="F44" s="24"/>
      <c r="G44" s="25"/>
      <c r="H44" s="29">
        <v>45916</v>
      </c>
      <c r="I44">
        <v>7483.6282000000001</v>
      </c>
      <c r="J44">
        <v>318107.48858292197</v>
      </c>
    </row>
    <row r="45" spans="1:10" x14ac:dyDescent="0.3">
      <c r="A45" s="6" t="s">
        <v>48</v>
      </c>
      <c r="B45" s="17">
        <v>0.41465057766416624</v>
      </c>
      <c r="C45" s="20"/>
      <c r="D45" s="24"/>
      <c r="E45" s="24"/>
      <c r="F45" s="24"/>
      <c r="G45" s="25"/>
      <c r="H45" s="29">
        <v>45917</v>
      </c>
      <c r="I45">
        <v>7554.8125</v>
      </c>
      <c r="J45">
        <v>319140.12202875054</v>
      </c>
    </row>
    <row r="46" spans="1:10" x14ac:dyDescent="0.3">
      <c r="A46" s="6" t="s">
        <v>49</v>
      </c>
      <c r="B46" s="17">
        <v>-4.7147542945058518</v>
      </c>
      <c r="C46" s="20"/>
      <c r="D46" s="24"/>
      <c r="E46" s="24"/>
      <c r="F46" s="24"/>
      <c r="G46" s="25"/>
      <c r="H46" s="29">
        <v>45918</v>
      </c>
      <c r="I46">
        <v>7476.402</v>
      </c>
      <c r="J46">
        <v>319993.09977435484</v>
      </c>
    </row>
    <row r="47" spans="1:10" x14ac:dyDescent="0.3">
      <c r="A47" s="6" t="s">
        <v>50</v>
      </c>
      <c r="B47" s="17">
        <v>-0.84611561031473492</v>
      </c>
      <c r="C47" s="20"/>
      <c r="D47" s="24"/>
      <c r="E47" s="24"/>
      <c r="F47" s="24"/>
      <c r="G47" s="25"/>
      <c r="H47" s="29">
        <v>45919</v>
      </c>
      <c r="I47">
        <v>7438.1886999999997</v>
      </c>
      <c r="J47">
        <v>320885.93734515231</v>
      </c>
    </row>
    <row r="48" spans="1:10" x14ac:dyDescent="0.3">
      <c r="A48" s="6" t="s">
        <v>51</v>
      </c>
      <c r="B48" s="17">
        <v>0.1213685995818965</v>
      </c>
      <c r="C48" s="20"/>
      <c r="D48" s="24"/>
      <c r="E48" s="24"/>
      <c r="F48" s="24"/>
      <c r="G48" s="25"/>
      <c r="H48" s="29">
        <v>45922</v>
      </c>
      <c r="I48">
        <v>7489.4784</v>
      </c>
      <c r="J48">
        <v>321858.8946477414</v>
      </c>
    </row>
    <row r="49" spans="1:10" x14ac:dyDescent="0.3">
      <c r="A49" s="6" t="s">
        <v>52</v>
      </c>
      <c r="B49" s="17">
        <v>-0.77874056359136246</v>
      </c>
      <c r="C49" s="20"/>
      <c r="D49" s="24"/>
      <c r="E49" s="24"/>
      <c r="F49" s="24"/>
      <c r="G49" s="25"/>
      <c r="H49" s="29">
        <v>45923</v>
      </c>
      <c r="I49">
        <v>7408.0690999999997</v>
      </c>
      <c r="J49">
        <v>322727.06624314748</v>
      </c>
    </row>
    <row r="50" spans="1:10" x14ac:dyDescent="0.3">
      <c r="A50" s="6" t="s">
        <v>53</v>
      </c>
      <c r="B50" s="17">
        <v>-0.68049931503804117</v>
      </c>
      <c r="C50" s="20"/>
      <c r="D50" s="24"/>
      <c r="E50" s="24"/>
      <c r="F50" s="24"/>
      <c r="G50" s="25"/>
      <c r="H50" s="29">
        <v>45924</v>
      </c>
      <c r="I50">
        <v>7534.2223000000004</v>
      </c>
      <c r="J50">
        <v>323688.35191051726</v>
      </c>
    </row>
    <row r="51" spans="1:10" x14ac:dyDescent="0.3">
      <c r="H51" s="29">
        <v>45925</v>
      </c>
      <c r="I51">
        <v>7506.5123999999996</v>
      </c>
      <c r="J51">
        <v>324587.19536580873</v>
      </c>
    </row>
    <row r="52" spans="1:10" x14ac:dyDescent="0.3">
      <c r="H52" s="29">
        <v>45926</v>
      </c>
      <c r="I52">
        <v>7397.5893999999998</v>
      </c>
      <c r="J52">
        <v>325473.57065736526</v>
      </c>
    </row>
    <row r="53" spans="1:10" x14ac:dyDescent="0.3">
      <c r="H53" s="29">
        <v>45929</v>
      </c>
      <c r="I53">
        <v>7497.8307999999997</v>
      </c>
      <c r="J53">
        <v>326383.38528852951</v>
      </c>
    </row>
    <row r="54" spans="1:10" x14ac:dyDescent="0.3">
      <c r="H54" s="29">
        <v>45930</v>
      </c>
      <c r="I54">
        <v>7574.9630999999999</v>
      </c>
      <c r="J54">
        <v>327281.89086477185</v>
      </c>
    </row>
    <row r="55" spans="1:10" x14ac:dyDescent="0.3">
      <c r="H55" s="29">
        <v>45939</v>
      </c>
      <c r="I55">
        <v>7648.0523000000003</v>
      </c>
      <c r="J55">
        <v>328176.99755632982</v>
      </c>
    </row>
    <row r="56" spans="1:10" x14ac:dyDescent="0.3">
      <c r="H56" s="29">
        <v>45940</v>
      </c>
      <c r="I56">
        <v>7533.8200999999999</v>
      </c>
      <c r="J56">
        <v>329074.46787743294</v>
      </c>
    </row>
    <row r="57" spans="1:10" x14ac:dyDescent="0.3">
      <c r="H57" s="29">
        <v>45943</v>
      </c>
      <c r="I57">
        <v>7519.7636000000002</v>
      </c>
      <c r="J57">
        <v>329969.91461745836</v>
      </c>
    </row>
    <row r="58" spans="1:10" x14ac:dyDescent="0.3">
      <c r="H58" s="29">
        <v>45944</v>
      </c>
      <c r="I58">
        <v>7373.1522000000004</v>
      </c>
      <c r="J58">
        <v>330866.05205847818</v>
      </c>
    </row>
    <row r="59" spans="1:10" x14ac:dyDescent="0.3">
      <c r="H59" s="29">
        <v>45945</v>
      </c>
      <c r="I59">
        <v>7483.4489999999996</v>
      </c>
      <c r="J59">
        <v>331762.85574107792</v>
      </c>
    </row>
    <row r="60" spans="1:10" x14ac:dyDescent="0.3">
      <c r="H60" s="29">
        <v>45946</v>
      </c>
      <c r="I60">
        <v>7401.8374999999996</v>
      </c>
      <c r="J60">
        <v>332659.29320677649</v>
      </c>
    </row>
    <row r="61" spans="1:10" x14ac:dyDescent="0.3">
      <c r="H61" s="29">
        <v>45947</v>
      </c>
      <c r="I61">
        <v>7185.4781000000003</v>
      </c>
      <c r="J61">
        <v>333556.2411656098</v>
      </c>
    </row>
    <row r="62" spans="1:10" x14ac:dyDescent="0.3">
      <c r="H62" s="29">
        <v>45950</v>
      </c>
      <c r="I62">
        <v>7239.1845000000003</v>
      </c>
      <c r="J62">
        <v>334458.97031162347</v>
      </c>
    </row>
    <row r="63" spans="1:10" x14ac:dyDescent="0.3">
      <c r="H63" s="29">
        <v>45951</v>
      </c>
      <c r="I63">
        <v>7344.0468000000001</v>
      </c>
      <c r="J63">
        <v>334458.97031162347</v>
      </c>
    </row>
    <row r="64" spans="1:10" x14ac:dyDescent="0.3">
      <c r="H64" s="29">
        <v>45952</v>
      </c>
      <c r="I64">
        <v>7312.21</v>
      </c>
      <c r="J64">
        <v>334458.97031162347</v>
      </c>
    </row>
    <row r="65" spans="8:10" x14ac:dyDescent="0.3">
      <c r="H65" s="29">
        <v>45953</v>
      </c>
      <c r="I65">
        <v>7308.0991999999997</v>
      </c>
      <c r="J65">
        <v>334458.97031162347</v>
      </c>
    </row>
    <row r="66" spans="8:10" x14ac:dyDescent="0.3">
      <c r="H66" s="29">
        <v>45954</v>
      </c>
      <c r="I66">
        <v>7419.2352000000001</v>
      </c>
      <c r="J66">
        <v>334458.97031162347</v>
      </c>
    </row>
    <row r="67" spans="8:10" x14ac:dyDescent="0.3">
      <c r="H67" s="29">
        <v>45957</v>
      </c>
      <c r="I67">
        <v>7495.3831</v>
      </c>
      <c r="J67">
        <v>334458.97031162347</v>
      </c>
    </row>
    <row r="68" spans="8:10" x14ac:dyDescent="0.3">
      <c r="H68" s="29">
        <v>45958</v>
      </c>
      <c r="I68">
        <v>7479.2209999999995</v>
      </c>
      <c r="J68">
        <v>334458.97031162347</v>
      </c>
    </row>
    <row r="69" spans="8:10" x14ac:dyDescent="0.3">
      <c r="H69" s="29">
        <v>45959</v>
      </c>
      <c r="I69">
        <v>7569.1170000000002</v>
      </c>
      <c r="J69">
        <v>334458.97031162347</v>
      </c>
    </row>
    <row r="70" spans="8:10" x14ac:dyDescent="0.3">
      <c r="H70" s="29">
        <v>45960</v>
      </c>
      <c r="I70">
        <v>7485.0847999999996</v>
      </c>
      <c r="J70">
        <v>334458.97031162347</v>
      </c>
    </row>
    <row r="71" spans="8:10" x14ac:dyDescent="0.3">
      <c r="H71" s="29">
        <v>45961</v>
      </c>
      <c r="I71">
        <v>7506.6746000000003</v>
      </c>
      <c r="J71">
        <v>334458.97031162347</v>
      </c>
    </row>
    <row r="72" spans="8:10" x14ac:dyDescent="0.3">
      <c r="H72" s="29">
        <v>45964</v>
      </c>
      <c r="I72">
        <v>7538.1178</v>
      </c>
      <c r="J72">
        <v>334458.97031162347</v>
      </c>
    </row>
    <row r="73" spans="8:10" x14ac:dyDescent="0.3">
      <c r="H73" s="29">
        <v>45965</v>
      </c>
      <c r="I73">
        <v>7435.7308000000003</v>
      </c>
      <c r="J73">
        <v>334458.97031162347</v>
      </c>
    </row>
    <row r="74" spans="8:10" x14ac:dyDescent="0.3">
      <c r="H74" s="29">
        <v>45966</v>
      </c>
      <c r="I74">
        <v>7464.8631999999998</v>
      </c>
      <c r="J74">
        <v>334458.97031162347</v>
      </c>
    </row>
    <row r="75" spans="8:10" x14ac:dyDescent="0.3">
      <c r="H75" s="29">
        <v>45967</v>
      </c>
      <c r="I75">
        <v>7551.8298999999997</v>
      </c>
      <c r="J75">
        <v>334458.97031162347</v>
      </c>
    </row>
    <row r="76" spans="8:10" x14ac:dyDescent="0.3">
      <c r="H76" s="29">
        <v>45968</v>
      </c>
      <c r="I76">
        <v>7541.8779999999997</v>
      </c>
      <c r="J76">
        <v>334458.97031162347</v>
      </c>
    </row>
    <row r="77" spans="8:10" x14ac:dyDescent="0.3">
      <c r="H77" s="29">
        <v>45971</v>
      </c>
      <c r="I77">
        <v>7563.2534999999998</v>
      </c>
      <c r="J77">
        <v>334458.97031162347</v>
      </c>
    </row>
    <row r="78" spans="8:10" x14ac:dyDescent="0.3">
      <c r="H78" s="29">
        <v>45972</v>
      </c>
      <c r="I78">
        <v>7540.7910000000002</v>
      </c>
      <c r="J78">
        <v>334458.97031162347</v>
      </c>
    </row>
    <row r="79" spans="8:10" x14ac:dyDescent="0.3">
      <c r="H79" s="29">
        <v>45973</v>
      </c>
      <c r="I79">
        <v>7486.3765999999996</v>
      </c>
      <c r="J79">
        <v>334458.97031162347</v>
      </c>
    </row>
    <row r="80" spans="8:10" x14ac:dyDescent="0.3">
      <c r="H80" s="29">
        <v>45974</v>
      </c>
      <c r="I80">
        <v>7590.5762999999997</v>
      </c>
      <c r="J80">
        <v>334458.97031162347</v>
      </c>
    </row>
    <row r="81" spans="8:10" x14ac:dyDescent="0.3">
      <c r="H81" s="29">
        <v>45975</v>
      </c>
      <c r="I81">
        <v>7502.7566999999999</v>
      </c>
      <c r="J81">
        <v>334458.97031162347</v>
      </c>
    </row>
    <row r="82" spans="8:10" x14ac:dyDescent="0.3">
      <c r="H82" s="29">
        <v>45978</v>
      </c>
      <c r="I82">
        <v>7523.0757999999996</v>
      </c>
      <c r="J82">
        <v>334458.97031162347</v>
      </c>
    </row>
    <row r="83" spans="8:10" x14ac:dyDescent="0.3">
      <c r="H83" s="29">
        <v>45979</v>
      </c>
      <c r="I83">
        <v>7448.1007</v>
      </c>
      <c r="J83">
        <v>334458.97031162347</v>
      </c>
    </row>
    <row r="84" spans="8:10" x14ac:dyDescent="0.3">
      <c r="H84" s="29">
        <v>45980</v>
      </c>
      <c r="I84">
        <v>7387.2084000000004</v>
      </c>
      <c r="J84">
        <v>334458.97031162347</v>
      </c>
    </row>
    <row r="85" spans="8:10" x14ac:dyDescent="0.3">
      <c r="H85" s="29">
        <v>45981</v>
      </c>
      <c r="I85">
        <v>7340.4117999999999</v>
      </c>
      <c r="J85">
        <v>334458.97031162347</v>
      </c>
    </row>
    <row r="86" spans="8:10" x14ac:dyDescent="0.3">
      <c r="H86" s="29">
        <v>45982</v>
      </c>
      <c r="I86">
        <v>7067.7030000000004</v>
      </c>
      <c r="J86">
        <v>334458.97031162347</v>
      </c>
    </row>
    <row r="87" spans="8:10" x14ac:dyDescent="0.3">
      <c r="H87" s="29">
        <v>45985</v>
      </c>
      <c r="I87">
        <v>7156.4084999999995</v>
      </c>
      <c r="J87">
        <v>334458.97031162347</v>
      </c>
    </row>
    <row r="88" spans="8:10" x14ac:dyDescent="0.3">
      <c r="H88" s="29">
        <v>45986</v>
      </c>
      <c r="I88">
        <v>7249.9471000000003</v>
      </c>
      <c r="J88">
        <v>334458.97031162347</v>
      </c>
    </row>
    <row r="89" spans="8:10" x14ac:dyDescent="0.3">
      <c r="H89" s="29">
        <v>45987</v>
      </c>
      <c r="I89">
        <v>7248.4489000000003</v>
      </c>
      <c r="J89">
        <v>334458.97031162347</v>
      </c>
    </row>
    <row r="90" spans="8:10" x14ac:dyDescent="0.3">
      <c r="H90" s="29">
        <v>45988</v>
      </c>
      <c r="I90">
        <v>7257.4539999999997</v>
      </c>
      <c r="J90">
        <v>334458.97031162347</v>
      </c>
    </row>
    <row r="91" spans="8:10" x14ac:dyDescent="0.3">
      <c r="H91" s="29">
        <v>45989</v>
      </c>
      <c r="I91">
        <v>7334.2097000000003</v>
      </c>
      <c r="J91">
        <v>334458.97031162347</v>
      </c>
    </row>
    <row r="92" spans="8:10" x14ac:dyDescent="0.3">
      <c r="H92" s="29">
        <v>45992</v>
      </c>
      <c r="I92">
        <v>7386.6810999999998</v>
      </c>
      <c r="J92">
        <v>334458.97031162347</v>
      </c>
    </row>
    <row r="93" spans="8:10" x14ac:dyDescent="0.3">
      <c r="H93" s="29">
        <v>45993</v>
      </c>
      <c r="I93">
        <v>7313.1779999999999</v>
      </c>
      <c r="J93">
        <v>334458.97031162347</v>
      </c>
    </row>
    <row r="94" spans="8:10" x14ac:dyDescent="0.3">
      <c r="H94" s="29">
        <v>45994</v>
      </c>
      <c r="I94">
        <v>7248.2740000000003</v>
      </c>
      <c r="J94">
        <v>334458.97031162347</v>
      </c>
    </row>
    <row r="95" spans="8:10" x14ac:dyDescent="0.3">
      <c r="H95" s="29">
        <v>45995</v>
      </c>
      <c r="I95">
        <v>7248.6572999999999</v>
      </c>
      <c r="J95">
        <v>334458.97031162347</v>
      </c>
    </row>
    <row r="96" spans="8:10" x14ac:dyDescent="0.3">
      <c r="H96" s="29">
        <v>45996</v>
      </c>
      <c r="I96">
        <v>7342.4924000000001</v>
      </c>
      <c r="J96">
        <v>334458.97031162347</v>
      </c>
    </row>
    <row r="97" spans="8:10" x14ac:dyDescent="0.3">
      <c r="H97" s="29">
        <v>45999</v>
      </c>
      <c r="I97">
        <v>7423.0461999999998</v>
      </c>
      <c r="J97">
        <v>334458.97031162347</v>
      </c>
    </row>
    <row r="98" spans="8:10" x14ac:dyDescent="0.3">
      <c r="H98" s="29">
        <v>46000</v>
      </c>
      <c r="I98">
        <v>7380.5834999999997</v>
      </c>
      <c r="J98">
        <v>334458.97031162347</v>
      </c>
    </row>
    <row r="99" spans="8:10" x14ac:dyDescent="0.3">
      <c r="H99" s="29">
        <v>46001</v>
      </c>
      <c r="I99">
        <v>7408.2440999999999</v>
      </c>
      <c r="J99">
        <v>334458.97031162347</v>
      </c>
    </row>
    <row r="100" spans="8:10" x14ac:dyDescent="0.3">
      <c r="H100" s="29">
        <v>46002</v>
      </c>
      <c r="I100">
        <v>7311.9952000000003</v>
      </c>
      <c r="J100">
        <v>334458.97031162347</v>
      </c>
    </row>
    <row r="101" spans="8:10" x14ac:dyDescent="0.3">
      <c r="H101" s="29">
        <v>46003</v>
      </c>
      <c r="I101">
        <v>7370.9416000000001</v>
      </c>
      <c r="J101">
        <v>334458.97031162347</v>
      </c>
    </row>
    <row r="102" spans="8:10" x14ac:dyDescent="0.3">
      <c r="H102" s="29">
        <v>46006</v>
      </c>
      <c r="I102">
        <v>7309.0775000000003</v>
      </c>
      <c r="J102">
        <v>334458.97031162347</v>
      </c>
    </row>
    <row r="103" spans="8:10" x14ac:dyDescent="0.3">
      <c r="H103" s="29">
        <v>46007</v>
      </c>
      <c r="I103">
        <v>7181.62</v>
      </c>
      <c r="J103">
        <v>334458.97031162347</v>
      </c>
    </row>
    <row r="104" spans="8:10" x14ac:dyDescent="0.3">
      <c r="H104" s="29">
        <v>46008</v>
      </c>
      <c r="I104">
        <v>7288.7384000000002</v>
      </c>
      <c r="J104">
        <v>334458.97031162347</v>
      </c>
    </row>
    <row r="105" spans="8:10" x14ac:dyDescent="0.3">
      <c r="H105" s="29">
        <v>46009</v>
      </c>
      <c r="I105">
        <v>7272.4023999999999</v>
      </c>
      <c r="J105">
        <v>334458.97031162347</v>
      </c>
    </row>
    <row r="106" spans="8:10" x14ac:dyDescent="0.3">
      <c r="H106" s="29">
        <v>46010</v>
      </c>
      <c r="I106">
        <v>7329.8056999999999</v>
      </c>
      <c r="J106">
        <v>334458.97031162347</v>
      </c>
    </row>
    <row r="107" spans="8:10" x14ac:dyDescent="0.3">
      <c r="H107" s="29">
        <v>46013</v>
      </c>
      <c r="I107">
        <v>7408.3487999999998</v>
      </c>
      <c r="J107">
        <v>334458.97031162347</v>
      </c>
    </row>
    <row r="108" spans="8:10" x14ac:dyDescent="0.3">
      <c r="H108" s="29">
        <v>46014</v>
      </c>
      <c r="I108">
        <v>7392.4204</v>
      </c>
      <c r="J108">
        <v>334458.97031162347</v>
      </c>
    </row>
    <row r="109" spans="8:10" x14ac:dyDescent="0.3">
      <c r="H109" s="29">
        <v>46015</v>
      </c>
      <c r="I109">
        <v>7506.3814000000002</v>
      </c>
      <c r="J109">
        <v>334458.97031162347</v>
      </c>
    </row>
    <row r="110" spans="8:10" x14ac:dyDescent="0.3">
      <c r="H110" s="29">
        <v>46016</v>
      </c>
      <c r="I110">
        <v>7579.3791000000001</v>
      </c>
      <c r="J110">
        <v>334458.97031162347</v>
      </c>
    </row>
    <row r="111" spans="8:10" x14ac:dyDescent="0.3">
      <c r="H111" s="29">
        <v>46017</v>
      </c>
      <c r="I111">
        <v>7605.5299000000005</v>
      </c>
      <c r="J111">
        <v>334458.97031162347</v>
      </c>
    </row>
    <row r="112" spans="8:10" x14ac:dyDescent="0.3">
      <c r="H112" s="29">
        <v>46020</v>
      </c>
      <c r="I112">
        <v>7594.1575000000003</v>
      </c>
      <c r="J112">
        <v>334458.97031162347</v>
      </c>
    </row>
    <row r="113" spans="8:10" x14ac:dyDescent="0.3">
      <c r="H113" s="29">
        <v>46021</v>
      </c>
      <c r="I113">
        <v>7597.299</v>
      </c>
      <c r="J113">
        <v>334458.97031162347</v>
      </c>
    </row>
    <row r="114" spans="8:10" x14ac:dyDescent="0.3">
      <c r="H114" s="29">
        <v>46022</v>
      </c>
      <c r="I114">
        <v>7595.2844999999998</v>
      </c>
      <c r="J114">
        <v>334458.97031162347</v>
      </c>
    </row>
    <row r="115" spans="8:10" x14ac:dyDescent="0.3">
      <c r="H115" s="29">
        <v>46027</v>
      </c>
      <c r="I115">
        <v>7753.88</v>
      </c>
      <c r="J115">
        <v>334458.97031162347</v>
      </c>
    </row>
    <row r="116" spans="8:10" x14ac:dyDescent="0.3">
      <c r="H116" s="29">
        <v>46028</v>
      </c>
      <c r="I116">
        <v>7864.9034000000001</v>
      </c>
      <c r="J116">
        <v>334458.97031162347</v>
      </c>
    </row>
    <row r="117" spans="8:10" x14ac:dyDescent="0.3">
      <c r="H117" s="29">
        <v>46029</v>
      </c>
      <c r="I117">
        <v>7906.4197000000004</v>
      </c>
      <c r="J117">
        <v>334458.97031162347</v>
      </c>
    </row>
    <row r="118" spans="8:10" x14ac:dyDescent="0.3">
      <c r="H118" s="29">
        <v>46030</v>
      </c>
      <c r="I118">
        <v>7971.5887000000002</v>
      </c>
      <c r="J118">
        <v>334458.97031162347</v>
      </c>
    </row>
    <row r="119" spans="8:10" x14ac:dyDescent="0.3">
      <c r="H119" s="29">
        <v>46031</v>
      </c>
      <c r="I119">
        <v>8129.1831000000002</v>
      </c>
      <c r="J119">
        <v>334458.97031162347</v>
      </c>
    </row>
    <row r="120" spans="8:10" x14ac:dyDescent="0.3">
      <c r="H120" s="29">
        <v>46034</v>
      </c>
      <c r="I120">
        <v>8357.0107000000007</v>
      </c>
      <c r="J120">
        <v>334458.97031162347</v>
      </c>
    </row>
    <row r="121" spans="8:10" x14ac:dyDescent="0.3">
      <c r="H121" s="29">
        <v>46035</v>
      </c>
      <c r="I121">
        <v>8203.1327000000001</v>
      </c>
      <c r="J121">
        <v>334458.97031162347</v>
      </c>
    </row>
    <row r="122" spans="8:10" x14ac:dyDescent="0.3">
      <c r="H122" s="29">
        <v>46036</v>
      </c>
      <c r="I122">
        <v>8257.1715999999997</v>
      </c>
      <c r="J122">
        <v>334458.97031162347</v>
      </c>
    </row>
    <row r="123" spans="8:10" x14ac:dyDescent="0.3">
      <c r="H123" s="29">
        <v>46037</v>
      </c>
      <c r="I123">
        <v>8240.7751000000007</v>
      </c>
      <c r="J123">
        <v>334458.97031162347</v>
      </c>
    </row>
    <row r="124" spans="8:10" x14ac:dyDescent="0.3">
      <c r="H124" s="29">
        <v>46038</v>
      </c>
      <c r="I124">
        <v>8232.7293000000009</v>
      </c>
      <c r="J124">
        <v>334458.97031162347</v>
      </c>
    </row>
    <row r="125" spans="8:10" x14ac:dyDescent="0.3">
      <c r="H125" s="29">
        <v>46041</v>
      </c>
      <c r="I125">
        <v>8265.6461999999992</v>
      </c>
      <c r="J125">
        <v>334458.97031162347</v>
      </c>
    </row>
    <row r="126" spans="8:10" x14ac:dyDescent="0.3">
      <c r="H126" s="29">
        <v>46042</v>
      </c>
      <c r="I126">
        <v>8182.7521999999999</v>
      </c>
      <c r="J126">
        <v>334458.97031162347</v>
      </c>
    </row>
    <row r="127" spans="8:10" x14ac:dyDescent="0.3">
      <c r="H127" s="29">
        <v>46043</v>
      </c>
      <c r="I127">
        <v>8247.6797999999999</v>
      </c>
      <c r="J127">
        <v>334458.97031162347</v>
      </c>
    </row>
    <row r="128" spans="8:10" x14ac:dyDescent="0.3">
      <c r="H128" s="29">
        <v>46044</v>
      </c>
      <c r="I128">
        <v>8309.3456000000006</v>
      </c>
      <c r="J128">
        <v>334458.97031162347</v>
      </c>
    </row>
    <row r="129" spans="8:10" x14ac:dyDescent="0.3">
      <c r="H129" s="29">
        <v>46045</v>
      </c>
      <c r="I129">
        <v>8470.7438000000002</v>
      </c>
      <c r="J129">
        <v>334458.97031162347</v>
      </c>
    </row>
    <row r="130" spans="8:10" x14ac:dyDescent="0.3">
      <c r="H130" s="29">
        <v>46048</v>
      </c>
      <c r="I130">
        <v>8365.4344999999994</v>
      </c>
      <c r="J130">
        <v>334458.97031162347</v>
      </c>
    </row>
    <row r="131" spans="8:10" x14ac:dyDescent="0.3">
      <c r="H131" s="29">
        <v>46049</v>
      </c>
      <c r="I131">
        <v>8382.1532999999999</v>
      </c>
      <c r="J131">
        <v>334458.97031162347</v>
      </c>
    </row>
    <row r="133" spans="8:10" x14ac:dyDescent="0.3">
      <c r="H133" t="s">
        <v>66</v>
      </c>
    </row>
  </sheetData>
  <phoneticPr fontId="2" type="noConversion"/>
  <dataValidations count="3">
    <dataValidation type="list" showInputMessage="1" showErrorMessage="1" sqref="B5" xr:uid="{15E214D7-8C01-481F-A807-0EBF1EDCB011}">
      <formula1>"000852.SH,000905.SH,000300.SH,000016.SH,513180.SH"</formula1>
    </dataValidation>
    <dataValidation type="list" showInputMessage="1" showErrorMessage="1" sqref="B14" xr:uid="{1AB67945-4E96-4727-AA83-AB1378365C71}">
      <formula1>"每日观察,到期观察"</formula1>
    </dataValidation>
    <dataValidation type="list" showInputMessage="1" showErrorMessage="1" sqref="B23" xr:uid="{58830D33-25BC-49C0-84D5-2E43DD6DEE06}">
      <formula1>"含头含尾,含头不含尾"</formula1>
    </dataValidation>
  </dataValidations>
  <pageMargins left="0.7" right="0.7" top="0.75" bottom="0.75" header="0.3" footer="0.3"/>
  <legacyDrawing r:id="rId1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EE84F0B-2220-4560-9647-DF1FB5DCB3FA}">
  <dimension ref="A1:AA133"/>
  <sheetViews>
    <sheetView tabSelected="1" workbookViewId="0">
      <selection activeCell="K5" sqref="K5"/>
    </sheetView>
  </sheetViews>
  <sheetFormatPr defaultRowHeight="13.5" x14ac:dyDescent="0.3"/>
  <cols>
    <col min="1" max="1" width="11.59765625" bestFit="1" customWidth="1"/>
  </cols>
  <sheetData>
    <row r="1" spans="1:27" x14ac:dyDescent="0.3">
      <c r="B1" t="s">
        <v>67</v>
      </c>
      <c r="C1" t="s">
        <v>68</v>
      </c>
      <c r="D1" t="s">
        <v>69</v>
      </c>
      <c r="E1" t="s">
        <v>30</v>
      </c>
      <c r="H1" t="s">
        <v>88</v>
      </c>
      <c r="I1" s="44">
        <v>1</v>
      </c>
      <c r="J1" s="44">
        <v>2</v>
      </c>
      <c r="K1" s="44">
        <v>3</v>
      </c>
      <c r="L1" s="44">
        <v>4</v>
      </c>
      <c r="M1" s="44">
        <v>5</v>
      </c>
      <c r="N1" s="44">
        <v>6</v>
      </c>
      <c r="O1" s="44">
        <v>7</v>
      </c>
      <c r="P1" s="44">
        <v>8</v>
      </c>
      <c r="Q1" s="44">
        <v>9</v>
      </c>
      <c r="R1" s="44">
        <v>10</v>
      </c>
      <c r="S1" s="44">
        <v>11</v>
      </c>
      <c r="T1" s="44">
        <v>12</v>
      </c>
      <c r="U1" s="44">
        <v>13</v>
      </c>
      <c r="V1" s="44">
        <v>14</v>
      </c>
      <c r="W1" s="44">
        <v>15</v>
      </c>
      <c r="X1" s="44">
        <v>16</v>
      </c>
      <c r="Y1" s="44">
        <v>17</v>
      </c>
      <c r="Z1" s="44">
        <v>18</v>
      </c>
      <c r="AA1" s="44">
        <v>19</v>
      </c>
    </row>
    <row r="2" spans="1:27" x14ac:dyDescent="0.3">
      <c r="A2" s="29">
        <v>45856</v>
      </c>
      <c r="B2">
        <v>2764.5160000000001</v>
      </c>
      <c r="C2">
        <v>4058.5486000000001</v>
      </c>
      <c r="D2">
        <v>6099.6103999999996</v>
      </c>
      <c r="E2">
        <v>6552.0740999999998</v>
      </c>
      <c r="H2">
        <f>SUM(I2:BG2)</f>
        <v>10514.503843034729</v>
      </c>
      <c r="I2">
        <v>10514.503843034729</v>
      </c>
    </row>
    <row r="3" spans="1:27" x14ac:dyDescent="0.3">
      <c r="A3" s="29">
        <v>45859</v>
      </c>
      <c r="B3">
        <v>2772.2384999999999</v>
      </c>
      <c r="C3">
        <v>4085.6071999999999</v>
      </c>
      <c r="D3">
        <v>6161.3086000000003</v>
      </c>
      <c r="E3">
        <v>6612.2588999999998</v>
      </c>
      <c r="H3">
        <f t="shared" ref="H3:H66" si="0">SUM(I3:BG3)</f>
        <v>50363.243581909483</v>
      </c>
      <c r="I3">
        <v>50363.243581909483</v>
      </c>
    </row>
    <row r="4" spans="1:27" x14ac:dyDescent="0.3">
      <c r="A4" s="29">
        <v>45860</v>
      </c>
      <c r="B4">
        <v>2792.1822999999999</v>
      </c>
      <c r="C4">
        <v>4118.9582</v>
      </c>
      <c r="D4">
        <v>6213.4071999999996</v>
      </c>
      <c r="E4">
        <v>6637.1035000000002</v>
      </c>
      <c r="H4">
        <f t="shared" si="0"/>
        <v>68300.469938986353</v>
      </c>
      <c r="I4">
        <v>68300.469938986353</v>
      </c>
    </row>
    <row r="5" spans="1:27" x14ac:dyDescent="0.3">
      <c r="A5" s="29">
        <v>45861</v>
      </c>
      <c r="B5">
        <v>2801.2002000000002</v>
      </c>
      <c r="C5">
        <v>4119.7685000000001</v>
      </c>
      <c r="D5">
        <v>6196.7577000000001</v>
      </c>
      <c r="E5">
        <v>6607.22</v>
      </c>
      <c r="H5">
        <f t="shared" si="0"/>
        <v>57068.686015685162</v>
      </c>
      <c r="I5">
        <v>57068.686015685162</v>
      </c>
    </row>
    <row r="6" spans="1:27" x14ac:dyDescent="0.3">
      <c r="A6" s="29">
        <v>45862</v>
      </c>
      <c r="B6">
        <v>2812.4427999999998</v>
      </c>
      <c r="C6">
        <v>4149.0367999999999</v>
      </c>
      <c r="D6">
        <v>6293.5983999999999</v>
      </c>
      <c r="E6">
        <v>6701.12</v>
      </c>
      <c r="H6">
        <f t="shared" si="0"/>
        <v>108276.02989139341</v>
      </c>
      <c r="I6">
        <v>108276.02989139341</v>
      </c>
    </row>
    <row r="7" spans="1:27" x14ac:dyDescent="0.3">
      <c r="A7" s="29">
        <v>45863</v>
      </c>
      <c r="B7">
        <v>2795.5127000000002</v>
      </c>
      <c r="C7">
        <v>4127.1634000000004</v>
      </c>
      <c r="D7">
        <v>6299.5907999999999</v>
      </c>
      <c r="E7">
        <v>6706.6098000000002</v>
      </c>
      <c r="H7">
        <f t="shared" si="0"/>
        <v>115011.33012369348</v>
      </c>
      <c r="I7">
        <v>115052.35247683711</v>
      </c>
      <c r="J7">
        <v>-41.022353143641347</v>
      </c>
    </row>
    <row r="8" spans="1:27" x14ac:dyDescent="0.3">
      <c r="A8" s="29">
        <v>45866</v>
      </c>
      <c r="B8">
        <v>2802.7674000000002</v>
      </c>
      <c r="C8">
        <v>4135.8242</v>
      </c>
      <c r="D8">
        <v>6323.4197999999997</v>
      </c>
      <c r="E8">
        <v>6729.9790000000003</v>
      </c>
      <c r="H8">
        <f t="shared" si="0"/>
        <v>148096.6936752685</v>
      </c>
      <c r="I8">
        <v>129309.23944941876</v>
      </c>
      <c r="J8">
        <v>18787.454225849753</v>
      </c>
    </row>
    <row r="9" spans="1:27" x14ac:dyDescent="0.3">
      <c r="A9" s="29">
        <v>45867</v>
      </c>
      <c r="B9">
        <v>2808.5916999999999</v>
      </c>
      <c r="C9">
        <v>4152.0246999999999</v>
      </c>
      <c r="D9">
        <v>6356.1327000000001</v>
      </c>
      <c r="E9">
        <v>6773.8842999999997</v>
      </c>
      <c r="H9">
        <f t="shared" si="0"/>
        <v>242226.87181082909</v>
      </c>
      <c r="I9">
        <v>150719.39363313498</v>
      </c>
      <c r="J9">
        <v>48048.958927414962</v>
      </c>
      <c r="K9">
        <v>43458.519250279161</v>
      </c>
    </row>
    <row r="10" spans="1:27" x14ac:dyDescent="0.3">
      <c r="A10" s="29">
        <v>45868</v>
      </c>
      <c r="B10">
        <v>2819.3508000000002</v>
      </c>
      <c r="C10">
        <v>4151.2379000000001</v>
      </c>
      <c r="D10">
        <v>6314.6872999999996</v>
      </c>
      <c r="E10">
        <v>6718.4818999999998</v>
      </c>
      <c r="H10">
        <f t="shared" si="0"/>
        <v>162604.23855115709</v>
      </c>
      <c r="I10">
        <v>132973.25553358631</v>
      </c>
      <c r="J10">
        <v>21838.070819260156</v>
      </c>
      <c r="K10">
        <v>7792.9121983106288</v>
      </c>
    </row>
    <row r="11" spans="1:27" x14ac:dyDescent="0.3">
      <c r="A11" s="29">
        <v>45869</v>
      </c>
      <c r="B11">
        <v>2775.9935</v>
      </c>
      <c r="C11">
        <v>4075.5911999999998</v>
      </c>
      <c r="D11">
        <v>6226.3432000000003</v>
      </c>
      <c r="E11">
        <v>6661.1862000000001</v>
      </c>
      <c r="H11">
        <f t="shared" si="0"/>
        <v>19612.230276743925</v>
      </c>
      <c r="I11">
        <v>112057.78944163612</v>
      </c>
      <c r="J11">
        <v>-8318.3013945830171</v>
      </c>
      <c r="K11">
        <v>-84127.257770309181</v>
      </c>
    </row>
    <row r="12" spans="1:27" x14ac:dyDescent="0.3">
      <c r="A12" s="29">
        <v>45870</v>
      </c>
      <c r="B12">
        <v>2754.1302000000001</v>
      </c>
      <c r="C12">
        <v>4054.9286000000002</v>
      </c>
      <c r="D12">
        <v>6213.2013999999999</v>
      </c>
      <c r="E12">
        <v>6670.4719999999998</v>
      </c>
      <c r="H12">
        <f t="shared" si="0"/>
        <v>29442.888811831508</v>
      </c>
      <c r="I12">
        <v>120788.18052015519</v>
      </c>
      <c r="J12">
        <v>2694.1556127478493</v>
      </c>
      <c r="K12">
        <v>-94039.447321071537</v>
      </c>
    </row>
    <row r="13" spans="1:27" x14ac:dyDescent="0.3">
      <c r="A13" s="29">
        <v>45873</v>
      </c>
      <c r="B13">
        <v>2769.3933999999999</v>
      </c>
      <c r="C13">
        <v>4070.7022999999999</v>
      </c>
      <c r="D13">
        <v>6261.7313000000004</v>
      </c>
      <c r="E13">
        <v>6739.6935999999996</v>
      </c>
      <c r="H13">
        <f t="shared" si="0"/>
        <v>170588.07400018239</v>
      </c>
      <c r="I13">
        <v>154025.03790974664</v>
      </c>
      <c r="J13">
        <v>48515.602782257651</v>
      </c>
      <c r="K13">
        <v>-31952.566691821892</v>
      </c>
    </row>
    <row r="14" spans="1:27" x14ac:dyDescent="0.3">
      <c r="A14" s="29">
        <v>45874</v>
      </c>
      <c r="B14">
        <v>2790.7287000000001</v>
      </c>
      <c r="C14">
        <v>4103.45</v>
      </c>
      <c r="D14">
        <v>6303.2358999999997</v>
      </c>
      <c r="E14">
        <v>6787.4805999999999</v>
      </c>
      <c r="H14">
        <f t="shared" si="0"/>
        <v>272222.7755669629</v>
      </c>
      <c r="I14">
        <v>175338.91595974469</v>
      </c>
      <c r="J14">
        <v>78423.914691859449</v>
      </c>
      <c r="K14">
        <v>18459.944915358737</v>
      </c>
    </row>
    <row r="15" spans="1:27" x14ac:dyDescent="0.3">
      <c r="A15" s="29">
        <v>45875</v>
      </c>
      <c r="B15">
        <v>2797.4234000000001</v>
      </c>
      <c r="C15">
        <v>4113.4852000000001</v>
      </c>
      <c r="D15">
        <v>6357.3769000000002</v>
      </c>
      <c r="E15">
        <v>6861.3091000000004</v>
      </c>
      <c r="H15">
        <f t="shared" si="0"/>
        <v>396640.53020400723</v>
      </c>
      <c r="I15">
        <v>201874.09945767559</v>
      </c>
      <c r="J15">
        <v>117186.82431336289</v>
      </c>
      <c r="K15">
        <v>77632.542968879599</v>
      </c>
      <c r="L15">
        <v>-52.936535910888665</v>
      </c>
    </row>
    <row r="16" spans="1:27" x14ac:dyDescent="0.3">
      <c r="A16" s="29">
        <v>45876</v>
      </c>
      <c r="B16">
        <v>2798.3110999999999</v>
      </c>
      <c r="C16">
        <v>4114.6660000000002</v>
      </c>
      <c r="D16">
        <v>6337.5424999999996</v>
      </c>
      <c r="E16">
        <v>6862.1496999999999</v>
      </c>
      <c r="H16">
        <f t="shared" si="0"/>
        <v>376598.75617671292</v>
      </c>
      <c r="I16">
        <v>205643.94842756048</v>
      </c>
      <c r="J16">
        <v>121862.63552236621</v>
      </c>
      <c r="K16">
        <v>64260.631471132241</v>
      </c>
      <c r="L16">
        <v>-15168.459244345928</v>
      </c>
    </row>
    <row r="17" spans="1:13" x14ac:dyDescent="0.3">
      <c r="A17" s="29">
        <v>45877</v>
      </c>
      <c r="B17">
        <v>2789.1743999999999</v>
      </c>
      <c r="C17">
        <v>4104.9669000000004</v>
      </c>
      <c r="D17">
        <v>6323.4998999999998</v>
      </c>
      <c r="E17">
        <v>6838.1298999999999</v>
      </c>
      <c r="H17">
        <f t="shared" si="0"/>
        <v>349867.25060944021</v>
      </c>
      <c r="I17">
        <v>202476.4199643574</v>
      </c>
      <c r="J17">
        <v>115841.23118102794</v>
      </c>
      <c r="K17">
        <v>56107.48794410345</v>
      </c>
      <c r="L17">
        <v>-24557.888480048558</v>
      </c>
    </row>
    <row r="18" spans="1:13" x14ac:dyDescent="0.3">
      <c r="A18" s="29">
        <v>45880</v>
      </c>
      <c r="B18">
        <v>2789.8959</v>
      </c>
      <c r="C18">
        <v>4122.5105999999996</v>
      </c>
      <c r="D18">
        <v>6391.7595000000001</v>
      </c>
      <c r="E18">
        <v>6943.9366</v>
      </c>
      <c r="H18">
        <f t="shared" si="0"/>
        <v>569968.82382881839</v>
      </c>
      <c r="I18">
        <v>232115.1302968181</v>
      </c>
      <c r="J18">
        <v>161589.42288704141</v>
      </c>
      <c r="K18">
        <v>125279.79073425457</v>
      </c>
      <c r="L18">
        <v>50984.479910704322</v>
      </c>
    </row>
    <row r="19" spans="1:13" x14ac:dyDescent="0.3">
      <c r="A19" s="29">
        <v>45881</v>
      </c>
      <c r="B19">
        <v>2807.0124000000001</v>
      </c>
      <c r="C19">
        <v>4143.8252000000002</v>
      </c>
      <c r="D19">
        <v>6418.1594999999998</v>
      </c>
      <c r="E19">
        <v>6963.6109999999999</v>
      </c>
      <c r="H19">
        <f t="shared" si="0"/>
        <v>645659.25165802159</v>
      </c>
      <c r="I19">
        <v>239204.42346044807</v>
      </c>
      <c r="J19">
        <v>172120.08887442006</v>
      </c>
      <c r="K19">
        <v>153013.57164794949</v>
      </c>
      <c r="L19">
        <v>81321.167675203978</v>
      </c>
    </row>
    <row r="20" spans="1:13" x14ac:dyDescent="0.3">
      <c r="A20" s="29">
        <v>45882</v>
      </c>
      <c r="B20">
        <v>2812.9803999999999</v>
      </c>
      <c r="C20">
        <v>4176.5775999999996</v>
      </c>
      <c r="D20">
        <v>6508.0977999999996</v>
      </c>
      <c r="E20">
        <v>7064.3338999999996</v>
      </c>
      <c r="H20">
        <f t="shared" si="0"/>
        <v>850689.22125700233</v>
      </c>
      <c r="I20">
        <v>258844.96894343666</v>
      </c>
      <c r="J20">
        <v>204852.03905104997</v>
      </c>
      <c r="K20">
        <v>224942.54358553799</v>
      </c>
      <c r="L20">
        <v>162049.6696769777</v>
      </c>
    </row>
    <row r="21" spans="1:13" x14ac:dyDescent="0.3">
      <c r="A21" s="29">
        <v>45883</v>
      </c>
      <c r="B21">
        <v>2829.4703</v>
      </c>
      <c r="C21">
        <v>4173.3131000000003</v>
      </c>
      <c r="D21">
        <v>6429.8462</v>
      </c>
      <c r="E21">
        <v>6976.4875000000002</v>
      </c>
      <c r="H21">
        <f t="shared" si="0"/>
        <v>707487.72974834475</v>
      </c>
      <c r="I21">
        <v>247572.09824237059</v>
      </c>
      <c r="J21">
        <v>183840.48246066979</v>
      </c>
      <c r="K21">
        <v>173217.53177813729</v>
      </c>
      <c r="L21">
        <v>102857.61726716712</v>
      </c>
    </row>
    <row r="22" spans="1:13" x14ac:dyDescent="0.3">
      <c r="A22" s="29">
        <v>45884</v>
      </c>
      <c r="B22">
        <v>2832.8759</v>
      </c>
      <c r="C22">
        <v>4202.3532999999998</v>
      </c>
      <c r="D22">
        <v>6568.57</v>
      </c>
      <c r="E22">
        <v>7117.5009</v>
      </c>
      <c r="H22">
        <f t="shared" si="0"/>
        <v>981053.44987541367</v>
      </c>
      <c r="I22">
        <v>270430.31597177364</v>
      </c>
      <c r="J22">
        <v>223728.83483283198</v>
      </c>
      <c r="K22">
        <v>271763.56035798893</v>
      </c>
      <c r="L22">
        <v>215130.73871281906</v>
      </c>
    </row>
    <row r="23" spans="1:13" x14ac:dyDescent="0.3">
      <c r="A23" s="29">
        <v>45887</v>
      </c>
      <c r="B23">
        <v>2838.8726000000001</v>
      </c>
      <c r="C23">
        <v>4239.4125000000004</v>
      </c>
      <c r="D23">
        <v>6668.1725999999999</v>
      </c>
      <c r="E23">
        <v>7237.6018000000004</v>
      </c>
      <c r="H23">
        <f t="shared" si="0"/>
        <v>1134145.2428692337</v>
      </c>
      <c r="I23">
        <v>283233.91807601409</v>
      </c>
      <c r="J23">
        <v>248018.66007788005</v>
      </c>
      <c r="K23">
        <v>324936.27058462746</v>
      </c>
      <c r="L23">
        <v>277956.39413071226</v>
      </c>
    </row>
    <row r="24" spans="1:13" x14ac:dyDescent="0.3">
      <c r="A24" s="29">
        <v>45888</v>
      </c>
      <c r="B24">
        <v>2812.4225000000001</v>
      </c>
      <c r="C24">
        <v>4223.3741</v>
      </c>
      <c r="D24">
        <v>6655.3104999999996</v>
      </c>
      <c r="E24">
        <v>7242.8494000000001</v>
      </c>
      <c r="H24">
        <f t="shared" si="0"/>
        <v>1136280.2498419262</v>
      </c>
      <c r="I24">
        <v>285468.76657189889</v>
      </c>
      <c r="J24">
        <v>251404.00751765585</v>
      </c>
      <c r="K24">
        <v>323638.13149381912</v>
      </c>
      <c r="L24">
        <v>275769.3442585523</v>
      </c>
    </row>
    <row r="25" spans="1:13" x14ac:dyDescent="0.3">
      <c r="A25" s="29">
        <v>45889</v>
      </c>
      <c r="B25">
        <v>2846.9906999999998</v>
      </c>
      <c r="C25">
        <v>4271.3958000000002</v>
      </c>
      <c r="D25">
        <v>6728.0691999999999</v>
      </c>
      <c r="E25">
        <v>7305.4612999999999</v>
      </c>
      <c r="H25">
        <f t="shared" si="0"/>
        <v>1222497.637733364</v>
      </c>
      <c r="I25">
        <v>290767.80496649485</v>
      </c>
      <c r="J25">
        <v>261796.59788227594</v>
      </c>
      <c r="K25">
        <v>355440.75791282556</v>
      </c>
      <c r="L25">
        <v>314492.47697176767</v>
      </c>
    </row>
    <row r="26" spans="1:13" x14ac:dyDescent="0.3">
      <c r="A26" s="29">
        <v>45890</v>
      </c>
      <c r="B26">
        <v>2862.1763999999998</v>
      </c>
      <c r="C26">
        <v>4288.0707000000002</v>
      </c>
      <c r="D26">
        <v>6704.1656999999996</v>
      </c>
      <c r="E26">
        <v>7253.3428999999996</v>
      </c>
      <c r="H26">
        <f t="shared" si="0"/>
        <v>1148086.2415114997</v>
      </c>
      <c r="I26">
        <v>289745.8940997452</v>
      </c>
      <c r="J26">
        <v>257924.64194240951</v>
      </c>
      <c r="K26">
        <v>350959.58038806304</v>
      </c>
      <c r="L26">
        <v>308232.66305147187</v>
      </c>
      <c r="M26">
        <v>-58776.537970189864</v>
      </c>
    </row>
    <row r="27" spans="1:13" x14ac:dyDescent="0.3">
      <c r="A27" s="29">
        <v>45891</v>
      </c>
      <c r="B27">
        <v>2928.6134999999999</v>
      </c>
      <c r="C27">
        <v>4377.9976999999999</v>
      </c>
      <c r="D27">
        <v>6822.8468999999996</v>
      </c>
      <c r="E27">
        <v>7362.9395999999997</v>
      </c>
      <c r="H27">
        <f t="shared" si="0"/>
        <v>1322553.869643461</v>
      </c>
      <c r="I27">
        <v>296253.09899596759</v>
      </c>
      <c r="J27">
        <v>271966.97960053326</v>
      </c>
      <c r="K27">
        <v>389071.93819682946</v>
      </c>
      <c r="L27">
        <v>356686.57349779661</v>
      </c>
      <c r="M27">
        <v>8575.2793523338387</v>
      </c>
    </row>
    <row r="28" spans="1:13" x14ac:dyDescent="0.3">
      <c r="A28" s="29">
        <v>45894</v>
      </c>
      <c r="B28">
        <v>2989.8548999999998</v>
      </c>
      <c r="C28">
        <v>4469.2217000000001</v>
      </c>
      <c r="D28">
        <v>6951.8954999999996</v>
      </c>
      <c r="E28">
        <v>7477.7280000000001</v>
      </c>
      <c r="H28">
        <f t="shared" si="0"/>
        <v>1454078.3689217635</v>
      </c>
      <c r="I28">
        <v>300539.36620026024</v>
      </c>
      <c r="J28">
        <v>281938.68791453325</v>
      </c>
      <c r="K28">
        <v>414942.53335491067</v>
      </c>
      <c r="L28">
        <v>391826.70110046741</v>
      </c>
      <c r="M28">
        <v>64831.0803515921</v>
      </c>
    </row>
    <row r="29" spans="1:13" x14ac:dyDescent="0.3">
      <c r="A29" s="29">
        <v>45895</v>
      </c>
      <c r="B29">
        <v>2969.7761999999998</v>
      </c>
      <c r="C29">
        <v>4452.5905000000002</v>
      </c>
      <c r="D29">
        <v>6964.0653000000002</v>
      </c>
      <c r="E29">
        <v>7476.4672</v>
      </c>
      <c r="H29">
        <f t="shared" si="0"/>
        <v>1468903.0518520197</v>
      </c>
      <c r="I29">
        <v>301759.877203296</v>
      </c>
      <c r="J29">
        <v>283604.83516398497</v>
      </c>
      <c r="K29">
        <v>418854.11075667822</v>
      </c>
      <c r="L29">
        <v>396859.95635496062</v>
      </c>
      <c r="M29">
        <v>67824.272373099971</v>
      </c>
    </row>
    <row r="30" spans="1:13" x14ac:dyDescent="0.3">
      <c r="A30" s="29">
        <v>45896</v>
      </c>
      <c r="B30">
        <v>2918.3789000000002</v>
      </c>
      <c r="C30">
        <v>4386.1265999999996</v>
      </c>
      <c r="D30">
        <v>6862.5623999999998</v>
      </c>
      <c r="E30">
        <v>7336.5036</v>
      </c>
      <c r="H30">
        <f t="shared" si="0"/>
        <v>1366590.0616826208</v>
      </c>
      <c r="I30">
        <v>299799.85247947997</v>
      </c>
      <c r="J30">
        <v>276015.7932432486</v>
      </c>
      <c r="K30">
        <v>406204.39605966944</v>
      </c>
      <c r="L30">
        <v>378024.24949615641</v>
      </c>
      <c r="M30">
        <v>6545.7704040664548</v>
      </c>
    </row>
    <row r="31" spans="1:13" x14ac:dyDescent="0.3">
      <c r="A31" s="29">
        <v>45897</v>
      </c>
      <c r="B31">
        <v>2960.7266</v>
      </c>
      <c r="C31">
        <v>4463.7820000000002</v>
      </c>
      <c r="D31">
        <v>7011.1602000000003</v>
      </c>
      <c r="E31">
        <v>7447.1100999999999</v>
      </c>
      <c r="H31">
        <f t="shared" si="0"/>
        <v>1489858.782145537</v>
      </c>
      <c r="I31">
        <v>303726.18445340486</v>
      </c>
      <c r="J31">
        <v>285511.88710084313</v>
      </c>
      <c r="K31">
        <v>428155.22040942131</v>
      </c>
      <c r="L31">
        <v>409540.95619375521</v>
      </c>
      <c r="M31">
        <v>62924.533988112504</v>
      </c>
    </row>
    <row r="32" spans="1:13" x14ac:dyDescent="0.3">
      <c r="A32" s="29">
        <v>45898</v>
      </c>
      <c r="B32">
        <v>2976.4731999999999</v>
      </c>
      <c r="C32">
        <v>4496.7591000000002</v>
      </c>
      <c r="D32">
        <v>7043.9416000000001</v>
      </c>
      <c r="E32">
        <v>7438.6767</v>
      </c>
      <c r="H32">
        <f t="shared" si="0"/>
        <v>1503486.3517702213</v>
      </c>
      <c r="I32">
        <v>304817.0046765536</v>
      </c>
      <c r="J32">
        <v>286811.67581536126</v>
      </c>
      <c r="K32">
        <v>432758.95225155464</v>
      </c>
      <c r="L32">
        <v>416117.02237879368</v>
      </c>
      <c r="M32">
        <v>62981.696647958102</v>
      </c>
    </row>
    <row r="33" spans="1:13" x14ac:dyDescent="0.3">
      <c r="A33" s="29">
        <v>45901</v>
      </c>
      <c r="B33">
        <v>2981.2024000000001</v>
      </c>
      <c r="C33">
        <v>4523.7111000000004</v>
      </c>
      <c r="D33">
        <v>7110.2882</v>
      </c>
      <c r="E33">
        <v>7501.1482999999998</v>
      </c>
      <c r="H33">
        <f t="shared" si="0"/>
        <v>1552454.9824676451</v>
      </c>
      <c r="I33">
        <v>306800.46644785517</v>
      </c>
      <c r="J33">
        <v>291290.78373355564</v>
      </c>
      <c r="K33">
        <v>438446.94181877928</v>
      </c>
      <c r="L33">
        <v>424888.67310780013</v>
      </c>
      <c r="M33">
        <v>91028.117359654934</v>
      </c>
    </row>
    <row r="34" spans="1:13" x14ac:dyDescent="0.3">
      <c r="A34" s="29">
        <v>45902</v>
      </c>
      <c r="B34">
        <v>2992.8809999999999</v>
      </c>
      <c r="C34">
        <v>4490.4528</v>
      </c>
      <c r="D34">
        <v>6961.6894000000002</v>
      </c>
      <c r="E34">
        <v>7313.8824000000004</v>
      </c>
      <c r="H34">
        <f t="shared" si="0"/>
        <v>1437458.7869554069</v>
      </c>
      <c r="I34">
        <v>304868.43873332138</v>
      </c>
      <c r="J34">
        <v>282539.28916878428</v>
      </c>
      <c r="K34">
        <v>429800.65847317223</v>
      </c>
      <c r="L34">
        <v>409788.51420909475</v>
      </c>
      <c r="M34">
        <v>10461.886371034218</v>
      </c>
    </row>
    <row r="35" spans="1:13" x14ac:dyDescent="0.3">
      <c r="A35" s="29">
        <v>45903</v>
      </c>
      <c r="B35">
        <v>2960.9933000000001</v>
      </c>
      <c r="C35">
        <v>4459.8296</v>
      </c>
      <c r="D35">
        <v>6868.4615000000003</v>
      </c>
      <c r="E35">
        <v>7206.8757999999998</v>
      </c>
      <c r="H35">
        <f t="shared" si="0"/>
        <v>1343681.1586202113</v>
      </c>
      <c r="I35">
        <v>302873.29006941261</v>
      </c>
      <c r="J35">
        <v>274703.32472376694</v>
      </c>
      <c r="K35">
        <v>420849.53816161276</v>
      </c>
      <c r="L35">
        <v>395330.57889546448</v>
      </c>
      <c r="M35">
        <v>-50075.573230045615</v>
      </c>
    </row>
    <row r="36" spans="1:13" x14ac:dyDescent="0.3">
      <c r="A36" s="29">
        <v>45904</v>
      </c>
      <c r="B36">
        <v>2910.47</v>
      </c>
      <c r="C36">
        <v>4365.2084999999997</v>
      </c>
      <c r="D36">
        <v>6698.4474</v>
      </c>
      <c r="E36">
        <v>7041.1544000000004</v>
      </c>
      <c r="H36">
        <f t="shared" si="0"/>
        <v>1109312.2821174688</v>
      </c>
      <c r="I36">
        <v>294851.92356623959</v>
      </c>
      <c r="J36">
        <v>252750.99338999842</v>
      </c>
      <c r="K36">
        <v>387482.56317927438</v>
      </c>
      <c r="L36">
        <v>347996.29496156465</v>
      </c>
      <c r="M36">
        <v>-173769.49297960813</v>
      </c>
    </row>
    <row r="37" spans="1:13" x14ac:dyDescent="0.3">
      <c r="A37" s="29">
        <v>45905</v>
      </c>
      <c r="B37">
        <v>2942.2161999999998</v>
      </c>
      <c r="C37">
        <v>4460.3248999999996</v>
      </c>
      <c r="D37">
        <v>6913.9531999999999</v>
      </c>
      <c r="E37">
        <v>7245.6670000000004</v>
      </c>
      <c r="H37">
        <f t="shared" si="0"/>
        <v>1415789.9824857288</v>
      </c>
      <c r="I37">
        <v>307307.6960575651</v>
      </c>
      <c r="J37">
        <v>283302.50971889886</v>
      </c>
      <c r="K37">
        <v>431564.99495297024</v>
      </c>
      <c r="L37">
        <v>410073.26907359867</v>
      </c>
      <c r="M37">
        <v>-16458.487317304076</v>
      </c>
    </row>
    <row r="38" spans="1:13" x14ac:dyDescent="0.3">
      <c r="A38" s="29">
        <v>45908</v>
      </c>
      <c r="B38">
        <v>2939.8823000000002</v>
      </c>
      <c r="C38">
        <v>4467.5733</v>
      </c>
      <c r="D38">
        <v>6992.1169</v>
      </c>
      <c r="E38">
        <v>7311.0343000000003</v>
      </c>
      <c r="H38">
        <f t="shared" si="0"/>
        <v>1489980.7527909563</v>
      </c>
      <c r="I38">
        <v>310179.07096136932</v>
      </c>
      <c r="J38">
        <v>290412.86164210294</v>
      </c>
      <c r="K38">
        <v>440371.30412939889</v>
      </c>
      <c r="L38">
        <v>423761.65342619328</v>
      </c>
      <c r="M38">
        <v>25255.862631891912</v>
      </c>
    </row>
    <row r="39" spans="1:13" x14ac:dyDescent="0.3">
      <c r="A39" s="29">
        <v>45909</v>
      </c>
      <c r="B39">
        <v>2928.6323000000002</v>
      </c>
      <c r="C39">
        <v>4436.2583999999997</v>
      </c>
      <c r="D39">
        <v>6928.9651000000003</v>
      </c>
      <c r="E39">
        <v>7226.0276999999996</v>
      </c>
      <c r="H39">
        <f t="shared" si="0"/>
        <v>1431073.4268073414</v>
      </c>
      <c r="I39">
        <v>309677.07401487324</v>
      </c>
      <c r="J39">
        <v>286052.61442005564</v>
      </c>
      <c r="K39">
        <v>437473.85901203653</v>
      </c>
      <c r="L39">
        <v>417884.52680165041</v>
      </c>
      <c r="M39">
        <v>-20014.647441274592</v>
      </c>
    </row>
    <row r="40" spans="1:13" x14ac:dyDescent="0.3">
      <c r="A40" s="29">
        <v>45910</v>
      </c>
      <c r="B40">
        <v>2939.5911000000001</v>
      </c>
      <c r="C40">
        <v>4445.3648999999996</v>
      </c>
      <c r="D40">
        <v>6932.1091999999999</v>
      </c>
      <c r="E40">
        <v>7230.1678000000002</v>
      </c>
      <c r="H40">
        <f t="shared" si="0"/>
        <v>1447598.5196938033</v>
      </c>
      <c r="I40">
        <v>311201.49483394629</v>
      </c>
      <c r="J40">
        <v>288633.48514709371</v>
      </c>
      <c r="K40">
        <v>439850.15034280007</v>
      </c>
      <c r="L40">
        <v>420944.15203813475</v>
      </c>
      <c r="M40">
        <v>-13030.762668171592</v>
      </c>
    </row>
    <row r="41" spans="1:13" x14ac:dyDescent="0.3">
      <c r="A41" s="29">
        <v>45911</v>
      </c>
      <c r="B41">
        <v>2983.0828999999999</v>
      </c>
      <c r="C41">
        <v>4548.0344999999998</v>
      </c>
      <c r="D41">
        <v>7122.7051000000001</v>
      </c>
      <c r="E41">
        <v>7399.8854000000001</v>
      </c>
      <c r="H41">
        <f t="shared" si="0"/>
        <v>1585295.129143385</v>
      </c>
      <c r="I41">
        <v>314738.76240165962</v>
      </c>
      <c r="J41">
        <v>300088.71632568381</v>
      </c>
      <c r="K41">
        <v>450567.52776027663</v>
      </c>
      <c r="L41">
        <v>440199.18293984083</v>
      </c>
      <c r="M41">
        <v>79700.939715924003</v>
      </c>
    </row>
    <row r="42" spans="1:13" x14ac:dyDescent="0.3">
      <c r="A42" s="29">
        <v>45912</v>
      </c>
      <c r="B42">
        <v>2968.5396999999998</v>
      </c>
      <c r="C42">
        <v>4521.9979999999996</v>
      </c>
      <c r="D42">
        <v>7147.7488999999996</v>
      </c>
      <c r="E42">
        <v>7422.8843999999999</v>
      </c>
      <c r="H42">
        <f t="shared" si="0"/>
        <v>1606515.9483487934</v>
      </c>
      <c r="I42">
        <v>315925.78134398413</v>
      </c>
      <c r="J42">
        <v>302359.69204492349</v>
      </c>
      <c r="K42">
        <v>452340.51145757583</v>
      </c>
      <c r="L42">
        <v>442950.17546996131</v>
      </c>
      <c r="M42">
        <v>92939.78803234869</v>
      </c>
    </row>
    <row r="43" spans="1:13" x14ac:dyDescent="0.3">
      <c r="A43" s="29">
        <v>45915</v>
      </c>
      <c r="B43">
        <v>2962.6154000000001</v>
      </c>
      <c r="C43">
        <v>4533.0556999999999</v>
      </c>
      <c r="D43">
        <v>7137.3626999999997</v>
      </c>
      <c r="E43">
        <v>7415.5711000000001</v>
      </c>
      <c r="H43">
        <f t="shared" si="0"/>
        <v>1611690.4945578806</v>
      </c>
      <c r="I43">
        <v>316917.5869979405</v>
      </c>
      <c r="J43">
        <v>303627.44440800318</v>
      </c>
      <c r="K43">
        <v>453394.42087860982</v>
      </c>
      <c r="L43">
        <v>444068.72930607398</v>
      </c>
      <c r="M43">
        <v>93682.312967253238</v>
      </c>
    </row>
    <row r="44" spans="1:13" x14ac:dyDescent="0.3">
      <c r="A44" s="29">
        <v>45916</v>
      </c>
      <c r="B44">
        <v>2947.8222000000001</v>
      </c>
      <c r="C44">
        <v>4523.3366999999998</v>
      </c>
      <c r="D44">
        <v>7190.9928</v>
      </c>
      <c r="E44">
        <v>7483.6282000000001</v>
      </c>
      <c r="H44">
        <f t="shared" si="0"/>
        <v>1649487.3648616944</v>
      </c>
      <c r="I44">
        <v>318107.48858292197</v>
      </c>
      <c r="J44">
        <v>306505.72542778752</v>
      </c>
      <c r="K44">
        <v>455233.00812399213</v>
      </c>
      <c r="L44">
        <v>447301.5971015793</v>
      </c>
      <c r="M44">
        <v>122339.54562541343</v>
      </c>
    </row>
    <row r="45" spans="1:13" x14ac:dyDescent="0.3">
      <c r="A45" s="29">
        <v>45917</v>
      </c>
      <c r="B45">
        <v>2952.7777999999998</v>
      </c>
      <c r="C45">
        <v>4551.0230000000001</v>
      </c>
      <c r="D45">
        <v>7260.0352999999996</v>
      </c>
      <c r="E45">
        <v>7554.8125</v>
      </c>
      <c r="H45">
        <f t="shared" si="0"/>
        <v>1681676.136745289</v>
      </c>
      <c r="I45">
        <v>319140.12202875054</v>
      </c>
      <c r="J45">
        <v>308654.28409705148</v>
      </c>
      <c r="K45">
        <v>456744.31946366123</v>
      </c>
      <c r="L45">
        <v>449994.17426120408</v>
      </c>
      <c r="M45">
        <v>147143.23689462154</v>
      </c>
    </row>
    <row r="46" spans="1:13" x14ac:dyDescent="0.3">
      <c r="A46" s="29">
        <v>45918</v>
      </c>
      <c r="B46">
        <v>2912.8256000000001</v>
      </c>
      <c r="C46">
        <v>4498.1090000000004</v>
      </c>
      <c r="D46">
        <v>7199.8828000000003</v>
      </c>
      <c r="E46">
        <v>7476.402</v>
      </c>
      <c r="H46">
        <f t="shared" si="0"/>
        <v>1663294.9242458425</v>
      </c>
      <c r="I46">
        <v>319993.09977435484</v>
      </c>
      <c r="J46">
        <v>308913.94377313764</v>
      </c>
      <c r="K46">
        <v>457457.74589091173</v>
      </c>
      <c r="L46">
        <v>450154.53187285998</v>
      </c>
      <c r="M46">
        <v>126775.60293457843</v>
      </c>
    </row>
    <row r="47" spans="1:13" x14ac:dyDescent="0.3">
      <c r="A47" s="29">
        <v>45919</v>
      </c>
      <c r="B47">
        <v>2909.7442000000001</v>
      </c>
      <c r="C47">
        <v>4501.9195</v>
      </c>
      <c r="D47">
        <v>7170.3487999999998</v>
      </c>
      <c r="E47">
        <v>7438.1886999999997</v>
      </c>
      <c r="H47">
        <f t="shared" si="0"/>
        <v>1656584.9901199373</v>
      </c>
      <c r="I47">
        <v>320885.93734515231</v>
      </c>
      <c r="J47">
        <v>309599.13543634239</v>
      </c>
      <c r="K47">
        <v>458322.70288249257</v>
      </c>
      <c r="L47">
        <v>450812.61059487128</v>
      </c>
      <c r="M47">
        <v>116964.60386107882</v>
      </c>
    </row>
    <row r="48" spans="1:13" x14ac:dyDescent="0.3">
      <c r="A48" s="29">
        <v>45922</v>
      </c>
      <c r="B48">
        <v>2922.1795000000002</v>
      </c>
      <c r="C48">
        <v>4522.6080000000002</v>
      </c>
      <c r="D48">
        <v>7225.1280999999999</v>
      </c>
      <c r="E48">
        <v>7489.4784</v>
      </c>
      <c r="H48">
        <f t="shared" si="0"/>
        <v>1683793.7523735175</v>
      </c>
      <c r="I48">
        <v>321858.8946477414</v>
      </c>
      <c r="J48">
        <v>311455.09119704843</v>
      </c>
      <c r="K48">
        <v>459614.29175856989</v>
      </c>
      <c r="L48">
        <v>453041.61044124526</v>
      </c>
      <c r="M48">
        <v>137823.86432891258</v>
      </c>
    </row>
    <row r="49" spans="1:14" x14ac:dyDescent="0.3">
      <c r="A49" s="29">
        <v>45923</v>
      </c>
      <c r="B49">
        <v>2919.5147999999999</v>
      </c>
      <c r="C49">
        <v>4519.7781000000004</v>
      </c>
      <c r="D49">
        <v>7180.7137000000002</v>
      </c>
      <c r="E49">
        <v>7408.0690999999997</v>
      </c>
      <c r="H49">
        <f t="shared" si="0"/>
        <v>1661301.1529224925</v>
      </c>
      <c r="I49">
        <v>322727.06624314748</v>
      </c>
      <c r="J49">
        <v>311686.9603677328</v>
      </c>
      <c r="K49">
        <v>460452.1707594624</v>
      </c>
      <c r="L49">
        <v>453569.7577922676</v>
      </c>
      <c r="M49">
        <v>112964.03540741466</v>
      </c>
      <c r="N49">
        <v>-98.837647532567033</v>
      </c>
    </row>
    <row r="50" spans="1:14" x14ac:dyDescent="0.3">
      <c r="A50" s="29">
        <v>45924</v>
      </c>
      <c r="B50">
        <v>2939.5077999999999</v>
      </c>
      <c r="C50">
        <v>4566.0708000000004</v>
      </c>
      <c r="D50">
        <v>7323.7093000000004</v>
      </c>
      <c r="E50">
        <v>7534.2223000000004</v>
      </c>
      <c r="H50">
        <f t="shared" si="0"/>
        <v>1864334.3936338574</v>
      </c>
      <c r="I50">
        <v>323688.35191051726</v>
      </c>
      <c r="J50">
        <v>313964.53605958121</v>
      </c>
      <c r="K50">
        <v>461691.05577236903</v>
      </c>
      <c r="L50">
        <v>456052.38791676052</v>
      </c>
      <c r="M50">
        <v>157282.35338255545</v>
      </c>
      <c r="N50">
        <v>151655.70859207385</v>
      </c>
    </row>
    <row r="51" spans="1:14" x14ac:dyDescent="0.3">
      <c r="A51" s="29">
        <v>45925</v>
      </c>
      <c r="B51">
        <v>2952.7352000000001</v>
      </c>
      <c r="C51">
        <v>4593.4875000000002</v>
      </c>
      <c r="D51">
        <v>7341.3238000000001</v>
      </c>
      <c r="E51">
        <v>7506.5123999999996</v>
      </c>
      <c r="H51">
        <f t="shared" si="0"/>
        <v>1842161.9340599386</v>
      </c>
      <c r="I51">
        <v>324587.19536580873</v>
      </c>
      <c r="J51">
        <v>314874.06376073166</v>
      </c>
      <c r="K51">
        <v>462623.97120393056</v>
      </c>
      <c r="L51">
        <v>457122.0136636736</v>
      </c>
      <c r="M51">
        <v>152868.28345509979</v>
      </c>
      <c r="N51">
        <v>130086.40661069455</v>
      </c>
    </row>
    <row r="52" spans="1:14" x14ac:dyDescent="0.3">
      <c r="A52" s="29">
        <v>45926</v>
      </c>
      <c r="B52">
        <v>2941.0183999999999</v>
      </c>
      <c r="C52">
        <v>4550.0487000000003</v>
      </c>
      <c r="D52">
        <v>7240.9114</v>
      </c>
      <c r="E52">
        <v>7397.5893999999998</v>
      </c>
      <c r="H52">
        <f t="shared" si="0"/>
        <v>1693761.1675601525</v>
      </c>
      <c r="I52">
        <v>325473.57065736526</v>
      </c>
      <c r="J52">
        <v>315220.56535201735</v>
      </c>
      <c r="K52">
        <v>463490.66986844828</v>
      </c>
      <c r="L52">
        <v>457663.82567173493</v>
      </c>
      <c r="M52">
        <v>120114.86434191455</v>
      </c>
      <c r="N52">
        <v>11797.671668672059</v>
      </c>
    </row>
    <row r="53" spans="1:14" x14ac:dyDescent="0.3">
      <c r="A53" s="29">
        <v>45929</v>
      </c>
      <c r="B53">
        <v>2973.0417000000002</v>
      </c>
      <c r="C53">
        <v>4620.0528000000004</v>
      </c>
      <c r="D53">
        <v>7350.5599000000002</v>
      </c>
      <c r="E53">
        <v>7497.8307999999997</v>
      </c>
      <c r="H53">
        <f t="shared" si="0"/>
        <v>1860710.0924772962</v>
      </c>
      <c r="I53">
        <v>326383.38528852951</v>
      </c>
      <c r="J53">
        <v>316891.67546476185</v>
      </c>
      <c r="K53">
        <v>464459.42244364071</v>
      </c>
      <c r="L53">
        <v>459091.23611885961</v>
      </c>
      <c r="M53">
        <v>156964.35982187366</v>
      </c>
      <c r="N53">
        <v>136920.01333963074</v>
      </c>
    </row>
    <row r="54" spans="1:14" x14ac:dyDescent="0.3">
      <c r="A54" s="29">
        <v>45930</v>
      </c>
      <c r="B54">
        <v>2988.9386</v>
      </c>
      <c r="C54">
        <v>4640.6935000000003</v>
      </c>
      <c r="D54">
        <v>7412.3684000000003</v>
      </c>
      <c r="E54">
        <v>7574.9630999999999</v>
      </c>
      <c r="H54">
        <f t="shared" si="0"/>
        <v>1975219.9492594607</v>
      </c>
      <c r="I54">
        <v>327281.89086477185</v>
      </c>
      <c r="J54">
        <v>318015.74602297787</v>
      </c>
      <c r="K54">
        <v>465374.62490804569</v>
      </c>
      <c r="L54">
        <v>460114.21755749517</v>
      </c>
      <c r="M54">
        <v>179252.00425554891</v>
      </c>
      <c r="N54">
        <v>225181.46565062139</v>
      </c>
    </row>
    <row r="55" spans="1:14" x14ac:dyDescent="0.3">
      <c r="A55" s="29">
        <v>45939</v>
      </c>
      <c r="B55">
        <v>3020.5963999999999</v>
      </c>
      <c r="C55">
        <v>4709.482</v>
      </c>
      <c r="D55">
        <v>7548.9225999999999</v>
      </c>
      <c r="E55">
        <v>7648.0523000000003</v>
      </c>
      <c r="H55">
        <f t="shared" si="0"/>
        <v>2071405.8221781314</v>
      </c>
      <c r="I55">
        <v>328176.99755632982</v>
      </c>
      <c r="J55">
        <v>318984.65230548364</v>
      </c>
      <c r="K55">
        <v>466284.31257170776</v>
      </c>
      <c r="L55">
        <v>461082.06782834709</v>
      </c>
      <c r="M55">
        <v>195735.890595303</v>
      </c>
      <c r="N55">
        <v>301141.90132096037</v>
      </c>
    </row>
    <row r="56" spans="1:14" x14ac:dyDescent="0.3">
      <c r="A56" s="29">
        <v>45940</v>
      </c>
      <c r="B56">
        <v>2974.8535000000002</v>
      </c>
      <c r="C56">
        <v>4616.8341</v>
      </c>
      <c r="D56">
        <v>7398.2241000000004</v>
      </c>
      <c r="E56">
        <v>7533.8200999999999</v>
      </c>
      <c r="H56">
        <f t="shared" si="0"/>
        <v>1953867.9599875191</v>
      </c>
      <c r="I56">
        <v>329074.46787743294</v>
      </c>
      <c r="J56">
        <v>319845.64062061254</v>
      </c>
      <c r="K56">
        <v>467192.13113657827</v>
      </c>
      <c r="L56">
        <v>461959.80142312456</v>
      </c>
      <c r="M56">
        <v>175927.56487048429</v>
      </c>
      <c r="N56">
        <v>199868.35405928659</v>
      </c>
    </row>
    <row r="57" spans="1:14" x14ac:dyDescent="0.3">
      <c r="A57" s="29">
        <v>45943</v>
      </c>
      <c r="B57">
        <v>2967.2060000000001</v>
      </c>
      <c r="C57">
        <v>4593.9785000000002</v>
      </c>
      <c r="D57">
        <v>7376.5636000000004</v>
      </c>
      <c r="E57">
        <v>7519.7636000000002</v>
      </c>
      <c r="H57">
        <f t="shared" si="0"/>
        <v>1757294.9767166907</v>
      </c>
      <c r="I57">
        <v>329969.91461745836</v>
      </c>
      <c r="J57">
        <v>320760.72473880084</v>
      </c>
      <c r="K57">
        <v>468101.63315280812</v>
      </c>
      <c r="L57">
        <v>462871.54339469492</v>
      </c>
      <c r="M57">
        <v>175689.99846046083</v>
      </c>
      <c r="N57">
        <v>-98.837647532567033</v>
      </c>
    </row>
    <row r="58" spans="1:14" x14ac:dyDescent="0.3">
      <c r="A58" s="29">
        <v>45944</v>
      </c>
      <c r="B58">
        <v>2961.1010000000001</v>
      </c>
      <c r="C58">
        <v>4539.0644000000002</v>
      </c>
      <c r="D58">
        <v>7194.8509000000004</v>
      </c>
      <c r="E58">
        <v>7373.1522000000004</v>
      </c>
      <c r="H58">
        <f t="shared" si="0"/>
        <v>1750689.5794588064</v>
      </c>
      <c r="I58">
        <v>330866.05205847818</v>
      </c>
      <c r="J58">
        <v>321542.57729605329</v>
      </c>
      <c r="K58">
        <v>469005.22177318344</v>
      </c>
      <c r="L58">
        <v>463586.79975563375</v>
      </c>
      <c r="M58">
        <v>133635.74212697698</v>
      </c>
      <c r="N58">
        <v>32053.186448480621</v>
      </c>
    </row>
    <row r="59" spans="1:14" x14ac:dyDescent="0.3">
      <c r="A59" s="29">
        <v>45945</v>
      </c>
      <c r="B59">
        <v>3001.3489</v>
      </c>
      <c r="C59">
        <v>4606.2879000000003</v>
      </c>
      <c r="D59">
        <v>7294.0014000000001</v>
      </c>
      <c r="E59">
        <v>7483.4489999999996</v>
      </c>
      <c r="H59">
        <f t="shared" si="0"/>
        <v>1932963.0516375713</v>
      </c>
      <c r="I59">
        <v>331762.85574107792</v>
      </c>
      <c r="J59">
        <v>322577.86804257252</v>
      </c>
      <c r="K59">
        <v>469917.64940579754</v>
      </c>
      <c r="L59">
        <v>464679.47733668506</v>
      </c>
      <c r="M59">
        <v>172900.14132081345</v>
      </c>
      <c r="N59">
        <v>171125.05979062471</v>
      </c>
    </row>
    <row r="60" spans="1:14" x14ac:dyDescent="0.3">
      <c r="A60" s="29">
        <v>45946</v>
      </c>
      <c r="B60">
        <v>3019.1966000000002</v>
      </c>
      <c r="C60">
        <v>4618.4218000000001</v>
      </c>
      <c r="D60">
        <v>7231.5335999999998</v>
      </c>
      <c r="E60">
        <v>7401.8374999999996</v>
      </c>
      <c r="H60">
        <f t="shared" si="0"/>
        <v>1829208.5047261454</v>
      </c>
      <c r="I60">
        <v>332659.29320677649</v>
      </c>
      <c r="J60">
        <v>323465.67830564053</v>
      </c>
      <c r="K60">
        <v>470827.21624888753</v>
      </c>
      <c r="L60">
        <v>465567.09939265542</v>
      </c>
      <c r="M60">
        <v>151670.68099563572</v>
      </c>
      <c r="N60">
        <v>85018.536576549421</v>
      </c>
    </row>
    <row r="61" spans="1:14" x14ac:dyDescent="0.3">
      <c r="A61" s="29">
        <v>45947</v>
      </c>
      <c r="B61">
        <v>2967.7748000000001</v>
      </c>
      <c r="C61">
        <v>4514.2344999999996</v>
      </c>
      <c r="D61">
        <v>7016.0661</v>
      </c>
      <c r="E61">
        <v>7185.4781000000003</v>
      </c>
      <c r="H61">
        <f t="shared" si="0"/>
        <v>1444338.2244451675</v>
      </c>
      <c r="I61">
        <v>333556.2411656098</v>
      </c>
      <c r="J61">
        <v>324064.11105679569</v>
      </c>
      <c r="K61">
        <v>471725.43776124727</v>
      </c>
      <c r="L61">
        <v>465823.56004801544</v>
      </c>
      <c r="M61">
        <v>54280.467920202791</v>
      </c>
      <c r="N61">
        <v>-205111.59350670359</v>
      </c>
    </row>
    <row r="62" spans="1:14" x14ac:dyDescent="0.3">
      <c r="A62" s="29">
        <v>45950</v>
      </c>
      <c r="B62">
        <v>2974.8647999999998</v>
      </c>
      <c r="C62">
        <v>4538.2200999999995</v>
      </c>
      <c r="D62">
        <v>7069.6412</v>
      </c>
      <c r="E62">
        <v>7239.1845000000003</v>
      </c>
      <c r="H62">
        <f t="shared" si="0"/>
        <v>1573271.2839411523</v>
      </c>
      <c r="I62">
        <v>334458.97031162347</v>
      </c>
      <c r="J62">
        <v>325227.45462842577</v>
      </c>
      <c r="K62">
        <v>472644.32523951295</v>
      </c>
      <c r="L62">
        <v>467201.46139400033</v>
      </c>
      <c r="M62">
        <v>89516.727059090117</v>
      </c>
      <c r="N62">
        <v>-115777.65469150041</v>
      </c>
    </row>
    <row r="63" spans="1:14" x14ac:dyDescent="0.3">
      <c r="A63" s="29">
        <v>45951</v>
      </c>
      <c r="B63">
        <v>3007.2633999999998</v>
      </c>
      <c r="C63">
        <v>4607.8715000000002</v>
      </c>
      <c r="D63">
        <v>7185.6239999999998</v>
      </c>
      <c r="E63">
        <v>7344.0468000000001</v>
      </c>
      <c r="H63">
        <f t="shared" si="0"/>
        <v>1783071.0884258866</v>
      </c>
      <c r="I63">
        <v>334458.97031162347</v>
      </c>
      <c r="J63">
        <v>326174.96036747482</v>
      </c>
      <c r="K63">
        <v>473553.64673634357</v>
      </c>
      <c r="L63">
        <v>468330.84111033328</v>
      </c>
      <c r="M63">
        <v>142202.28100437933</v>
      </c>
      <c r="N63">
        <v>38350.388895732096</v>
      </c>
    </row>
    <row r="64" spans="1:14" x14ac:dyDescent="0.3">
      <c r="A64" s="29">
        <v>45952</v>
      </c>
      <c r="B64">
        <v>3010.0951</v>
      </c>
      <c r="C64">
        <v>4592.57</v>
      </c>
      <c r="D64">
        <v>7128.4776000000002</v>
      </c>
      <c r="E64">
        <v>7312.21</v>
      </c>
      <c r="H64">
        <f t="shared" si="0"/>
        <v>1738382.0973299488</v>
      </c>
      <c r="I64">
        <v>334458.97031162347</v>
      </c>
      <c r="J64">
        <v>327071.92802644643</v>
      </c>
      <c r="K64">
        <v>474461.74230872298</v>
      </c>
      <c r="L64">
        <v>469229.69858271949</v>
      </c>
      <c r="M64">
        <v>133258.59574796879</v>
      </c>
      <c r="N64">
        <v>-98.837647532567033</v>
      </c>
    </row>
    <row r="65" spans="1:17" x14ac:dyDescent="0.3">
      <c r="A65" s="29">
        <v>45953</v>
      </c>
      <c r="B65">
        <v>3026.9043999999999</v>
      </c>
      <c r="C65">
        <v>4606.3446999999996</v>
      </c>
      <c r="D65">
        <v>7142.9535999999998</v>
      </c>
      <c r="E65">
        <v>7308.0991999999997</v>
      </c>
      <c r="H65">
        <f t="shared" si="0"/>
        <v>1854150.6058505159</v>
      </c>
      <c r="I65">
        <v>334458.97031162347</v>
      </c>
      <c r="J65">
        <v>327968.42387190938</v>
      </c>
      <c r="K65">
        <v>475370.75134581461</v>
      </c>
      <c r="L65">
        <v>470159.70130141306</v>
      </c>
      <c r="M65">
        <v>135732.0664519167</v>
      </c>
      <c r="N65">
        <v>-98.837647532567033</v>
      </c>
      <c r="O65">
        <v>110559.53021537112</v>
      </c>
    </row>
    <row r="66" spans="1:17" x14ac:dyDescent="0.3">
      <c r="A66" s="29">
        <v>45954</v>
      </c>
      <c r="B66">
        <v>3045.8161</v>
      </c>
      <c r="C66">
        <v>4660.6835000000001</v>
      </c>
      <c r="D66">
        <v>7258.5343000000003</v>
      </c>
      <c r="E66">
        <v>7419.2352000000001</v>
      </c>
      <c r="H66">
        <f t="shared" si="0"/>
        <v>2177814.7115949914</v>
      </c>
      <c r="I66">
        <v>334458.97031162347</v>
      </c>
      <c r="J66">
        <v>328865.55164969398</v>
      </c>
      <c r="K66">
        <v>476279.99435989611</v>
      </c>
      <c r="L66">
        <v>471081.79418951634</v>
      </c>
      <c r="M66">
        <v>179491.97129303089</v>
      </c>
      <c r="N66">
        <v>158763.48643140349</v>
      </c>
      <c r="O66">
        <v>228872.94335982698</v>
      </c>
    </row>
    <row r="67" spans="1:17" x14ac:dyDescent="0.3">
      <c r="A67" s="29">
        <v>45957</v>
      </c>
      <c r="B67">
        <v>3069.5293000000001</v>
      </c>
      <c r="C67">
        <v>4716.0186000000003</v>
      </c>
      <c r="D67">
        <v>7379.3941000000004</v>
      </c>
      <c r="E67">
        <v>7495.3831</v>
      </c>
      <c r="H67">
        <f t="shared" ref="H67:H130" si="1">SUM(I67:BG67)</f>
        <v>2370806.5441656737</v>
      </c>
      <c r="I67">
        <v>334458.97031162347</v>
      </c>
      <c r="J67">
        <v>329767.12328767165</v>
      </c>
      <c r="K67">
        <v>477189.09095829196</v>
      </c>
      <c r="L67">
        <v>471989.87902163406</v>
      </c>
      <c r="M67">
        <v>201997.08696696744</v>
      </c>
      <c r="N67">
        <v>253093.48002863739</v>
      </c>
      <c r="O67">
        <v>302310.91359084763</v>
      </c>
    </row>
    <row r="68" spans="1:17" x14ac:dyDescent="0.3">
      <c r="A68" s="29">
        <v>45958</v>
      </c>
      <c r="B68">
        <v>3050.4162000000001</v>
      </c>
      <c r="C68">
        <v>4691.973</v>
      </c>
      <c r="D68">
        <v>7341.0303999999996</v>
      </c>
      <c r="E68">
        <v>7479.2209999999995</v>
      </c>
      <c r="H68">
        <f t="shared" si="1"/>
        <v>2357625.0895168236</v>
      </c>
      <c r="I68">
        <v>334458.97031162347</v>
      </c>
      <c r="J68">
        <v>329767.12328767165</v>
      </c>
      <c r="K68">
        <v>478099.30091558507</v>
      </c>
      <c r="L68">
        <v>472899.68900925573</v>
      </c>
      <c r="M68">
        <v>201781.42752127157</v>
      </c>
      <c r="N68">
        <v>244652.57801815731</v>
      </c>
      <c r="O68">
        <v>295966.00045325886</v>
      </c>
    </row>
    <row r="69" spans="1:17" x14ac:dyDescent="0.3">
      <c r="A69" s="29">
        <v>45959</v>
      </c>
      <c r="B69">
        <v>3063.0210000000002</v>
      </c>
      <c r="C69">
        <v>4747.8378000000002</v>
      </c>
      <c r="D69">
        <v>7480.9665999999997</v>
      </c>
      <c r="E69">
        <v>7569.1170000000002</v>
      </c>
      <c r="H69">
        <f t="shared" si="1"/>
        <v>2554505.6512924144</v>
      </c>
      <c r="I69">
        <v>334458.97031162347</v>
      </c>
      <c r="J69">
        <v>329767.12328767165</v>
      </c>
      <c r="K69">
        <v>479013.69863013766</v>
      </c>
      <c r="L69">
        <v>473808.3621215095</v>
      </c>
      <c r="M69">
        <v>220770.74603035703</v>
      </c>
      <c r="N69">
        <v>343973.78836844035</v>
      </c>
      <c r="O69">
        <v>372712.96254267439</v>
      </c>
    </row>
    <row r="70" spans="1:17" x14ac:dyDescent="0.3">
      <c r="A70" s="29">
        <v>45960</v>
      </c>
      <c r="B70">
        <v>3046.6107999999999</v>
      </c>
      <c r="C70">
        <v>4709.9110000000001</v>
      </c>
      <c r="D70">
        <v>7385.7109</v>
      </c>
      <c r="E70">
        <v>7485.0847999999996</v>
      </c>
      <c r="H70">
        <f t="shared" si="1"/>
        <v>2322515.3320769263</v>
      </c>
      <c r="I70">
        <v>334458.97031162347</v>
      </c>
      <c r="J70">
        <v>329767.12328767165</v>
      </c>
      <c r="K70">
        <v>479013.69863013766</v>
      </c>
      <c r="L70">
        <v>474717.34332153917</v>
      </c>
      <c r="M70">
        <v>209581.37088705954</v>
      </c>
      <c r="N70">
        <v>268862.12084229628</v>
      </c>
      <c r="O70">
        <v>314997.32925598015</v>
      </c>
      <c r="P70">
        <v>-88882.624459381623</v>
      </c>
    </row>
    <row r="71" spans="1:17" x14ac:dyDescent="0.3">
      <c r="A71" s="29">
        <v>45961</v>
      </c>
      <c r="B71">
        <v>3011.5547000000001</v>
      </c>
      <c r="C71">
        <v>4640.6675999999998</v>
      </c>
      <c r="D71">
        <v>7331.0030999999999</v>
      </c>
      <c r="E71">
        <v>7506.6746000000003</v>
      </c>
      <c r="H71">
        <f t="shared" si="1"/>
        <v>2425789.8859143229</v>
      </c>
      <c r="I71">
        <v>334458.97031162347</v>
      </c>
      <c r="J71">
        <v>329767.12328767165</v>
      </c>
      <c r="K71">
        <v>479013.69863013766</v>
      </c>
      <c r="L71">
        <v>475625.37821483437</v>
      </c>
      <c r="M71">
        <v>216825.49625337357</v>
      </c>
      <c r="N71">
        <v>300453.88891702989</v>
      </c>
      <c r="O71">
        <v>339413.37740401318</v>
      </c>
      <c r="P71">
        <v>-49768.047104361001</v>
      </c>
    </row>
    <row r="72" spans="1:17" x14ac:dyDescent="0.3">
      <c r="A72" s="29">
        <v>45964</v>
      </c>
      <c r="B72">
        <v>3016.3507</v>
      </c>
      <c r="C72">
        <v>4653.4027999999998</v>
      </c>
      <c r="D72">
        <v>7333.6013000000003</v>
      </c>
      <c r="E72">
        <v>7538.1178</v>
      </c>
      <c r="H72">
        <f t="shared" si="1"/>
        <v>2676128.5680967574</v>
      </c>
      <c r="I72">
        <v>334458.97031162347</v>
      </c>
      <c r="J72">
        <v>329767.12328767165</v>
      </c>
      <c r="K72">
        <v>479013.69863013766</v>
      </c>
      <c r="L72">
        <v>476534.65330778289</v>
      </c>
      <c r="M72">
        <v>224785.9058028686</v>
      </c>
      <c r="N72">
        <v>340789.95656117232</v>
      </c>
      <c r="O72">
        <v>370424.37195178267</v>
      </c>
      <c r="P72">
        <v>2016.4686202906255</v>
      </c>
      <c r="Q72">
        <v>118337.41962342734</v>
      </c>
    </row>
    <row r="73" spans="1:17" x14ac:dyDescent="0.3">
      <c r="A73" s="29">
        <v>45965</v>
      </c>
      <c r="B73">
        <v>3012.9690999999998</v>
      </c>
      <c r="C73">
        <v>4618.6989999999996</v>
      </c>
      <c r="D73">
        <v>7210.8253000000004</v>
      </c>
      <c r="E73">
        <v>7435.7308000000003</v>
      </c>
      <c r="H73">
        <f t="shared" si="1"/>
        <v>2185992.1305483277</v>
      </c>
      <c r="I73">
        <v>334458.97031162347</v>
      </c>
      <c r="J73">
        <v>329767.12328767165</v>
      </c>
      <c r="K73">
        <v>479013.69863013766</v>
      </c>
      <c r="L73">
        <v>477443.78569957428</v>
      </c>
      <c r="M73">
        <v>209305.7921711239</v>
      </c>
      <c r="N73">
        <v>241906.46140667031</v>
      </c>
      <c r="O73">
        <v>294915.33614118717</v>
      </c>
      <c r="P73">
        <v>-131854.74210998786</v>
      </c>
      <c r="Q73">
        <v>-48964.294989672824</v>
      </c>
    </row>
    <row r="74" spans="1:17" x14ac:dyDescent="0.3">
      <c r="A74" s="29">
        <v>45966</v>
      </c>
      <c r="B74">
        <v>3007.97</v>
      </c>
      <c r="C74">
        <v>4627.2569999999996</v>
      </c>
      <c r="D74">
        <v>7229.3410000000003</v>
      </c>
      <c r="E74">
        <v>7464.8631999999998</v>
      </c>
      <c r="H74">
        <f t="shared" si="1"/>
        <v>2357626.1799402842</v>
      </c>
      <c r="I74">
        <v>334458.97031162347</v>
      </c>
      <c r="J74">
        <v>329767.12328767165</v>
      </c>
      <c r="K74">
        <v>479013.69863013766</v>
      </c>
      <c r="L74">
        <v>478353.06651238311</v>
      </c>
      <c r="M74">
        <v>218937.16719862953</v>
      </c>
      <c r="N74">
        <v>283716.93037181598</v>
      </c>
      <c r="O74">
        <v>327029.22504197579</v>
      </c>
      <c r="P74">
        <v>-80475.626231257702</v>
      </c>
      <c r="Q74">
        <v>-13174.375182695134</v>
      </c>
    </row>
    <row r="75" spans="1:17" x14ac:dyDescent="0.3">
      <c r="A75" s="29">
        <v>45967</v>
      </c>
      <c r="B75">
        <v>3044.7415999999998</v>
      </c>
      <c r="C75">
        <v>4693.4031999999997</v>
      </c>
      <c r="D75">
        <v>7345.723</v>
      </c>
      <c r="E75">
        <v>7551.8298999999997</v>
      </c>
      <c r="H75">
        <f t="shared" si="1"/>
        <v>2845452.1956134774</v>
      </c>
      <c r="I75">
        <v>334458.97031162347</v>
      </c>
      <c r="J75">
        <v>329767.12328767165</v>
      </c>
      <c r="K75">
        <v>479013.69863013766</v>
      </c>
      <c r="L75">
        <v>479268.49315068347</v>
      </c>
      <c r="M75">
        <v>234843.27818846231</v>
      </c>
      <c r="N75">
        <v>380747.95221574296</v>
      </c>
      <c r="O75">
        <v>400968.80134418677</v>
      </c>
      <c r="P75">
        <v>48060.27375129873</v>
      </c>
      <c r="Q75">
        <v>158323.6047336701</v>
      </c>
    </row>
    <row r="76" spans="1:17" x14ac:dyDescent="0.3">
      <c r="A76" s="29">
        <v>45968</v>
      </c>
      <c r="B76">
        <v>3038.3454999999999</v>
      </c>
      <c r="C76">
        <v>4678.7943999999998</v>
      </c>
      <c r="D76">
        <v>7327.9107999999997</v>
      </c>
      <c r="E76">
        <v>7541.8779999999997</v>
      </c>
      <c r="H76">
        <f t="shared" si="1"/>
        <v>2827275.3742703744</v>
      </c>
      <c r="I76">
        <v>334458.97031162347</v>
      </c>
      <c r="J76">
        <v>329767.12328767165</v>
      </c>
      <c r="K76">
        <v>479013.69863013766</v>
      </c>
      <c r="L76">
        <v>479268.49315068347</v>
      </c>
      <c r="M76">
        <v>236476.37894322476</v>
      </c>
      <c r="N76">
        <v>380488.05861371843</v>
      </c>
      <c r="O76">
        <v>400754.63890791091</v>
      </c>
      <c r="P76">
        <v>44324.874670327474</v>
      </c>
      <c r="Q76">
        <v>142723.1377550769</v>
      </c>
    </row>
    <row r="77" spans="1:17" x14ac:dyDescent="0.3">
      <c r="A77" s="29">
        <v>45971</v>
      </c>
      <c r="B77">
        <v>3053.857</v>
      </c>
      <c r="C77">
        <v>4695.0506999999998</v>
      </c>
      <c r="D77">
        <v>7343.8017</v>
      </c>
      <c r="E77">
        <v>7563.2534999999998</v>
      </c>
      <c r="H77">
        <f t="shared" si="1"/>
        <v>2949324.4199345927</v>
      </c>
      <c r="I77">
        <v>334458.97031162347</v>
      </c>
      <c r="J77">
        <v>329767.12328767165</v>
      </c>
      <c r="K77">
        <v>479013.69863013766</v>
      </c>
      <c r="L77">
        <v>479268.49315068347</v>
      </c>
      <c r="M77">
        <v>241133.15151846322</v>
      </c>
      <c r="N77">
        <v>409322.56211832963</v>
      </c>
      <c r="O77">
        <v>422597.80462716939</v>
      </c>
      <c r="P77">
        <v>81792.209917330794</v>
      </c>
      <c r="Q77">
        <v>171970.40637318359</v>
      </c>
    </row>
    <row r="78" spans="1:17" x14ac:dyDescent="0.3">
      <c r="A78" s="29">
        <v>45972</v>
      </c>
      <c r="B78">
        <v>3034.6329000000001</v>
      </c>
      <c r="C78">
        <v>4652.1655000000001</v>
      </c>
      <c r="D78">
        <v>7291.6084000000001</v>
      </c>
      <c r="E78">
        <v>7540.7910000000002</v>
      </c>
      <c r="H78">
        <f t="shared" si="1"/>
        <v>2847072.9161583236</v>
      </c>
      <c r="I78">
        <v>334458.97031162347</v>
      </c>
      <c r="J78">
        <v>329767.12328767165</v>
      </c>
      <c r="K78">
        <v>479013.69863013766</v>
      </c>
      <c r="L78">
        <v>479268.49315068347</v>
      </c>
      <c r="M78">
        <v>241759.23019088927</v>
      </c>
      <c r="N78">
        <v>397892.89860795281</v>
      </c>
      <c r="O78">
        <v>413850.48710392386</v>
      </c>
      <c r="P78">
        <v>61826.52268549188</v>
      </c>
      <c r="Q78">
        <v>109235.4921899499</v>
      </c>
    </row>
    <row r="79" spans="1:17" x14ac:dyDescent="0.3">
      <c r="A79" s="29">
        <v>45973</v>
      </c>
      <c r="B79">
        <v>3044.3011000000001</v>
      </c>
      <c r="C79">
        <v>4645.9079000000002</v>
      </c>
      <c r="D79">
        <v>7243.2483000000002</v>
      </c>
      <c r="E79">
        <v>7486.3765999999996</v>
      </c>
      <c r="H79">
        <f t="shared" si="1"/>
        <v>2641067.7831440433</v>
      </c>
      <c r="I79">
        <v>334458.97031162347</v>
      </c>
      <c r="J79">
        <v>329767.12328767165</v>
      </c>
      <c r="K79">
        <v>479013.69863013766</v>
      </c>
      <c r="L79">
        <v>479268.49315068347</v>
      </c>
      <c r="M79">
        <v>238902.25328789646</v>
      </c>
      <c r="N79">
        <v>353886.39754995145</v>
      </c>
      <c r="O79">
        <v>380621.70601267694</v>
      </c>
      <c r="P79">
        <v>-2746.2050428104876</v>
      </c>
      <c r="Q79">
        <v>47895.345956212906</v>
      </c>
    </row>
    <row r="80" spans="1:17" x14ac:dyDescent="0.3">
      <c r="A80" s="29">
        <v>45974</v>
      </c>
      <c r="B80">
        <v>3073.6655999999998</v>
      </c>
      <c r="C80">
        <v>4702.0738000000001</v>
      </c>
      <c r="D80">
        <v>7355.2911000000004</v>
      </c>
      <c r="E80">
        <v>7590.5762999999997</v>
      </c>
      <c r="H80">
        <f t="shared" si="1"/>
        <v>2689684.9100400736</v>
      </c>
      <c r="I80">
        <v>334458.97031162347</v>
      </c>
      <c r="J80">
        <v>329767.12328767165</v>
      </c>
      <c r="K80">
        <v>479013.69863013766</v>
      </c>
      <c r="L80">
        <v>479268.49315068347</v>
      </c>
      <c r="M80">
        <v>249605.06988055052</v>
      </c>
      <c r="N80">
        <v>-98.837647532567033</v>
      </c>
      <c r="O80">
        <v>460847.61332234513</v>
      </c>
      <c r="P80">
        <v>145224.27922374627</v>
      </c>
      <c r="Q80">
        <v>211598.49988084784</v>
      </c>
    </row>
    <row r="81" spans="1:18" x14ac:dyDescent="0.3">
      <c r="A81" s="29">
        <v>45975</v>
      </c>
      <c r="B81">
        <v>3038.4254999999998</v>
      </c>
      <c r="C81">
        <v>4628.1397999999999</v>
      </c>
      <c r="D81">
        <v>7235.4616999999998</v>
      </c>
      <c r="E81">
        <v>7502.7566999999999</v>
      </c>
      <c r="H81">
        <f t="shared" si="1"/>
        <v>2758572.9464200358</v>
      </c>
      <c r="I81">
        <v>334458.97031162347</v>
      </c>
      <c r="J81">
        <v>329767.12328767165</v>
      </c>
      <c r="K81">
        <v>479013.69863013766</v>
      </c>
      <c r="L81">
        <v>479268.49315068347</v>
      </c>
      <c r="M81">
        <v>246751.19214744109</v>
      </c>
      <c r="N81">
        <v>389777.65114116727</v>
      </c>
      <c r="O81">
        <v>407530.92535756045</v>
      </c>
      <c r="P81">
        <v>39262.40621323404</v>
      </c>
      <c r="Q81">
        <v>52857.326433691764</v>
      </c>
      <c r="R81">
        <v>-114.84025317527755</v>
      </c>
    </row>
    <row r="82" spans="1:18" x14ac:dyDescent="0.3">
      <c r="A82" s="29">
        <v>45978</v>
      </c>
      <c r="B82">
        <v>3012.0713999999998</v>
      </c>
      <c r="C82">
        <v>4598.0524999999998</v>
      </c>
      <c r="D82">
        <v>7235.3512000000001</v>
      </c>
      <c r="E82">
        <v>7523.0757999999996</v>
      </c>
      <c r="H82">
        <f t="shared" si="1"/>
        <v>2867539.4099164717</v>
      </c>
      <c r="I82">
        <v>334458.97031162347</v>
      </c>
      <c r="J82">
        <v>329767.12328767165</v>
      </c>
      <c r="K82">
        <v>479013.69863013766</v>
      </c>
      <c r="L82">
        <v>479268.49315068347</v>
      </c>
      <c r="M82">
        <v>250879.31868065026</v>
      </c>
      <c r="N82">
        <v>419146.18721511221</v>
      </c>
      <c r="O82">
        <v>429450.47179843654</v>
      </c>
      <c r="P82">
        <v>76679.118196727097</v>
      </c>
      <c r="Q82">
        <v>61012.848190316705</v>
      </c>
      <c r="R82">
        <v>7863.1804551117166</v>
      </c>
    </row>
    <row r="83" spans="1:18" x14ac:dyDescent="0.3">
      <c r="A83" s="29">
        <v>45979</v>
      </c>
      <c r="B83">
        <v>3003.0174999999999</v>
      </c>
      <c r="C83">
        <v>4568.1927999999998</v>
      </c>
      <c r="D83">
        <v>7151.0176000000001</v>
      </c>
      <c r="E83">
        <v>7448.1007</v>
      </c>
      <c r="H83">
        <f t="shared" si="1"/>
        <v>2399742.3142138105</v>
      </c>
      <c r="I83">
        <v>334458.97031162347</v>
      </c>
      <c r="J83">
        <v>329767.12328767165</v>
      </c>
      <c r="K83">
        <v>479013.69863013766</v>
      </c>
      <c r="L83">
        <v>479268.49315068347</v>
      </c>
      <c r="M83">
        <v>248191.22600357514</v>
      </c>
      <c r="N83">
        <v>352807.23641771381</v>
      </c>
      <c r="O83">
        <v>379949.81513261184</v>
      </c>
      <c r="P83">
        <v>-18549.411711082757</v>
      </c>
      <c r="Q83">
        <v>-62343.275091445306</v>
      </c>
      <c r="R83">
        <v>-122821.56191767834</v>
      </c>
    </row>
    <row r="84" spans="1:18" x14ac:dyDescent="0.3">
      <c r="A84" s="29">
        <v>45980</v>
      </c>
      <c r="B84">
        <v>3020.3487</v>
      </c>
      <c r="C84">
        <v>4588.2921999999999</v>
      </c>
      <c r="D84">
        <v>7122.7465000000002</v>
      </c>
      <c r="E84">
        <v>7387.2084000000004</v>
      </c>
      <c r="H84">
        <f t="shared" si="1"/>
        <v>2131307.6197729683</v>
      </c>
      <c r="I84">
        <v>334458.97031162347</v>
      </c>
      <c r="J84">
        <v>329767.12328767165</v>
      </c>
      <c r="K84">
        <v>479013.69863013766</v>
      </c>
      <c r="L84">
        <v>479268.49315068347</v>
      </c>
      <c r="M84">
        <v>244256.77697697916</v>
      </c>
      <c r="N84">
        <v>293076.51277706306</v>
      </c>
      <c r="O84">
        <v>335823.15937531588</v>
      </c>
      <c r="P84">
        <v>-99788.281405347778</v>
      </c>
      <c r="Q84">
        <v>-100809.10417598904</v>
      </c>
      <c r="R84">
        <v>-163759.72915516872</v>
      </c>
    </row>
    <row r="85" spans="1:18" x14ac:dyDescent="0.3">
      <c r="A85" s="29">
        <v>45981</v>
      </c>
      <c r="B85">
        <v>3008.2903999999999</v>
      </c>
      <c r="C85">
        <v>4564.9483</v>
      </c>
      <c r="D85">
        <v>7061.9497000000001</v>
      </c>
      <c r="E85">
        <v>7340.4117999999999</v>
      </c>
      <c r="H85">
        <f t="shared" si="1"/>
        <v>1781558.482213703</v>
      </c>
      <c r="I85">
        <v>334458.97031162347</v>
      </c>
      <c r="J85">
        <v>329767.12328767165</v>
      </c>
      <c r="K85">
        <v>479013.69863013766</v>
      </c>
      <c r="L85">
        <v>479268.49315068347</v>
      </c>
      <c r="M85">
        <v>240007.85230031842</v>
      </c>
      <c r="N85">
        <v>244640.99919596867</v>
      </c>
      <c r="O85">
        <v>300327.43463948852</v>
      </c>
      <c r="P85">
        <v>-163451.34253321923</v>
      </c>
      <c r="Q85">
        <v>-197416.84396136657</v>
      </c>
      <c r="R85">
        <v>-265057.90280760324</v>
      </c>
    </row>
    <row r="86" spans="1:18" x14ac:dyDescent="0.3">
      <c r="A86" s="29">
        <v>45982</v>
      </c>
      <c r="B86">
        <v>2955.8541</v>
      </c>
      <c r="C86">
        <v>4453.6076000000003</v>
      </c>
      <c r="D86">
        <v>6817.4102999999996</v>
      </c>
      <c r="E86">
        <v>7067.7030000000004</v>
      </c>
      <c r="H86">
        <f t="shared" si="1"/>
        <v>-505112.34924315102</v>
      </c>
      <c r="I86">
        <v>334458.97031162347</v>
      </c>
      <c r="J86">
        <v>329767.12328767165</v>
      </c>
      <c r="K86">
        <v>479013.69863013766</v>
      </c>
      <c r="L86">
        <v>479268.49315068347</v>
      </c>
      <c r="M86">
        <v>100961.49982141811</v>
      </c>
      <c r="N86">
        <v>-173210.53532536965</v>
      </c>
      <c r="O86">
        <v>-14629.507066432496</v>
      </c>
      <c r="P86">
        <v>-636650.46297531528</v>
      </c>
      <c r="Q86">
        <v>-661540.95825906075</v>
      </c>
      <c r="R86">
        <v>-742550.67081850744</v>
      </c>
    </row>
    <row r="87" spans="1:18" x14ac:dyDescent="0.3">
      <c r="A87" s="29">
        <v>45985</v>
      </c>
      <c r="B87">
        <v>2950.5619999999999</v>
      </c>
      <c r="C87">
        <v>4448.0478000000003</v>
      </c>
      <c r="D87">
        <v>6868.9664000000002</v>
      </c>
      <c r="E87">
        <v>7156.4084999999995</v>
      </c>
      <c r="H87">
        <f t="shared" si="1"/>
        <v>252777.96818196808</v>
      </c>
      <c r="I87">
        <v>334458.97031162347</v>
      </c>
      <c r="J87">
        <v>329767.12328767165</v>
      </c>
      <c r="K87">
        <v>479013.69863013766</v>
      </c>
      <c r="L87">
        <v>479268.49315068347</v>
      </c>
      <c r="M87">
        <v>165190.47482445912</v>
      </c>
      <c r="N87">
        <v>-8908.1786246327119</v>
      </c>
      <c r="O87">
        <v>112704.90548579083</v>
      </c>
      <c r="P87">
        <v>-461072.44119896158</v>
      </c>
      <c r="Q87">
        <v>-549308.95215881302</v>
      </c>
      <c r="R87">
        <v>-628336.12552599073</v>
      </c>
    </row>
    <row r="88" spans="1:18" x14ac:dyDescent="0.3">
      <c r="A88" s="29">
        <v>45986</v>
      </c>
      <c r="B88">
        <v>2968.2022999999999</v>
      </c>
      <c r="C88">
        <v>4490.4047</v>
      </c>
      <c r="D88">
        <v>6954.6034</v>
      </c>
      <c r="E88">
        <v>7249.9471000000003</v>
      </c>
      <c r="H88">
        <f t="shared" si="1"/>
        <v>1118344.391417278</v>
      </c>
      <c r="I88">
        <v>334458.97031162347</v>
      </c>
      <c r="J88">
        <v>329767.12328767165</v>
      </c>
      <c r="K88">
        <v>479013.69863013766</v>
      </c>
      <c r="L88">
        <v>479268.49315068347</v>
      </c>
      <c r="M88">
        <v>219191.9950857223</v>
      </c>
      <c r="N88">
        <v>149725.22689642987</v>
      </c>
      <c r="O88">
        <v>232053.81226581399</v>
      </c>
      <c r="P88">
        <v>-284906.18135787308</v>
      </c>
      <c r="Q88">
        <v>-372611.05390615691</v>
      </c>
      <c r="R88">
        <v>-447617.69294677419</v>
      </c>
    </row>
    <row r="89" spans="1:18" x14ac:dyDescent="0.3">
      <c r="A89" s="29">
        <v>45987</v>
      </c>
      <c r="B89">
        <v>2971.7984999999999</v>
      </c>
      <c r="C89">
        <v>4517.6255000000001</v>
      </c>
      <c r="D89">
        <v>6965.0452999999998</v>
      </c>
      <c r="E89">
        <v>7248.4489000000003</v>
      </c>
      <c r="H89">
        <f t="shared" si="1"/>
        <v>1200625.0605635138</v>
      </c>
      <c r="I89">
        <v>334458.97031162347</v>
      </c>
      <c r="J89">
        <v>329767.12328767165</v>
      </c>
      <c r="K89">
        <v>479013.69863013766</v>
      </c>
      <c r="L89">
        <v>479268.49315068347</v>
      </c>
      <c r="M89">
        <v>223000.04428551346</v>
      </c>
      <c r="N89">
        <v>158187.00625414238</v>
      </c>
      <c r="O89">
        <v>239021.2905120402</v>
      </c>
      <c r="P89">
        <v>-277810.42885971419</v>
      </c>
      <c r="Q89">
        <v>-344805.25008312729</v>
      </c>
      <c r="R89">
        <v>-419475.88692545675</v>
      </c>
    </row>
    <row r="90" spans="1:18" x14ac:dyDescent="0.3">
      <c r="A90" s="29">
        <v>45988</v>
      </c>
      <c r="B90">
        <v>2972.2651000000001</v>
      </c>
      <c r="C90">
        <v>4515.4026999999996</v>
      </c>
      <c r="D90">
        <v>6951.2843999999996</v>
      </c>
      <c r="E90">
        <v>7257.4539999999997</v>
      </c>
      <c r="H90">
        <f t="shared" si="1"/>
        <v>1238474.7934727727</v>
      </c>
      <c r="I90">
        <v>334458.97031162347</v>
      </c>
      <c r="J90">
        <v>329767.12328767165</v>
      </c>
      <c r="K90">
        <v>479013.69863013766</v>
      </c>
      <c r="L90">
        <v>479268.49315068347</v>
      </c>
      <c r="M90">
        <v>231517.86397089303</v>
      </c>
      <c r="N90">
        <v>182512.18344776423</v>
      </c>
      <c r="O90">
        <v>257538.0934438768</v>
      </c>
      <c r="P90">
        <v>-252484.74943296649</v>
      </c>
      <c r="Q90">
        <v>-363726.48125355266</v>
      </c>
      <c r="R90">
        <v>-439390.40208335797</v>
      </c>
    </row>
    <row r="91" spans="1:18" x14ac:dyDescent="0.3">
      <c r="A91" s="29">
        <v>45989</v>
      </c>
      <c r="B91">
        <v>2969.6170999999999</v>
      </c>
      <c r="C91">
        <v>4526.6616000000004</v>
      </c>
      <c r="D91">
        <v>7031.5505000000003</v>
      </c>
      <c r="E91">
        <v>7334.2097000000003</v>
      </c>
      <c r="H91">
        <f t="shared" si="1"/>
        <v>1941417.5122021539</v>
      </c>
      <c r="I91">
        <v>334458.97031162347</v>
      </c>
      <c r="J91">
        <v>329767.12328767165</v>
      </c>
      <c r="K91">
        <v>479013.69863013766</v>
      </c>
      <c r="L91">
        <v>479268.49315068347</v>
      </c>
      <c r="M91">
        <v>265223.10763990233</v>
      </c>
      <c r="N91">
        <v>301841.8797474177</v>
      </c>
      <c r="O91">
        <v>344134.61898104119</v>
      </c>
      <c r="P91">
        <v>-113887.26740686862</v>
      </c>
      <c r="Q91">
        <v>-203610.4712956486</v>
      </c>
      <c r="R91">
        <v>-274792.64084380597</v>
      </c>
    </row>
    <row r="92" spans="1:18" x14ac:dyDescent="0.3">
      <c r="A92" s="29">
        <v>45992</v>
      </c>
      <c r="B92">
        <v>2993.6761000000001</v>
      </c>
      <c r="C92">
        <v>4576.4856</v>
      </c>
      <c r="D92">
        <v>7101.8323</v>
      </c>
      <c r="E92">
        <v>7386.6810999999998</v>
      </c>
      <c r="H92">
        <f t="shared" si="1"/>
        <v>2461061.3556106193</v>
      </c>
      <c r="I92">
        <v>334458.97031162347</v>
      </c>
      <c r="J92">
        <v>329767.12328767165</v>
      </c>
      <c r="K92">
        <v>479013.69863013766</v>
      </c>
      <c r="L92">
        <v>479268.49315068347</v>
      </c>
      <c r="M92">
        <v>284639.0275490887</v>
      </c>
      <c r="N92">
        <v>379679.0024438714</v>
      </c>
      <c r="O92">
        <v>399779.06309535954</v>
      </c>
      <c r="P92">
        <v>-20322.439282415788</v>
      </c>
      <c r="Q92">
        <v>-69307.506103003063</v>
      </c>
      <c r="R92">
        <v>-135914.07747239771</v>
      </c>
    </row>
    <row r="93" spans="1:18" x14ac:dyDescent="0.3">
      <c r="A93" s="29">
        <v>45993</v>
      </c>
      <c r="B93">
        <v>2978.4670999999998</v>
      </c>
      <c r="C93">
        <v>4554.3347000000003</v>
      </c>
      <c r="D93">
        <v>7040.3008</v>
      </c>
      <c r="E93">
        <v>7313.1779999999999</v>
      </c>
      <c r="H93">
        <f t="shared" si="1"/>
        <v>1984881.4831413236</v>
      </c>
      <c r="I93">
        <v>334458.97031162347</v>
      </c>
      <c r="J93">
        <v>329767.12328767165</v>
      </c>
      <c r="K93">
        <v>479013.69863013766</v>
      </c>
      <c r="L93">
        <v>479268.49315068347</v>
      </c>
      <c r="M93">
        <v>266442.94198560441</v>
      </c>
      <c r="N93">
        <v>296191.44236464502</v>
      </c>
      <c r="O93">
        <v>340989.31080674671</v>
      </c>
      <c r="P93">
        <v>-128131.36057593237</v>
      </c>
      <c r="Q93">
        <v>-170956.91822305255</v>
      </c>
      <c r="R93">
        <v>-242162.21859680343</v>
      </c>
    </row>
    <row r="94" spans="1:18" x14ac:dyDescent="0.3">
      <c r="A94" s="29">
        <v>45994</v>
      </c>
      <c r="B94">
        <v>2963.0763000000002</v>
      </c>
      <c r="C94">
        <v>4531.0486000000001</v>
      </c>
      <c r="D94">
        <v>6996.3552</v>
      </c>
      <c r="E94">
        <v>7248.2740000000003</v>
      </c>
      <c r="H94">
        <f t="shared" si="1"/>
        <v>1570836.141151675</v>
      </c>
      <c r="I94">
        <v>334458.97031162347</v>
      </c>
      <c r="J94">
        <v>329767.12328767165</v>
      </c>
      <c r="K94">
        <v>479013.69863013766</v>
      </c>
      <c r="L94">
        <v>479268.49315068347</v>
      </c>
      <c r="M94">
        <v>245758.47226312687</v>
      </c>
      <c r="N94">
        <v>213047.60868255864</v>
      </c>
      <c r="O94">
        <v>282867.36552734853</v>
      </c>
      <c r="P94">
        <v>-228849.66667235634</v>
      </c>
      <c r="Q94">
        <v>-245151.62386088894</v>
      </c>
      <c r="R94">
        <v>-319344.30016823008</v>
      </c>
    </row>
    <row r="95" spans="1:18" x14ac:dyDescent="0.3">
      <c r="A95" s="29">
        <v>45995</v>
      </c>
      <c r="B95">
        <v>2974.3371000000002</v>
      </c>
      <c r="C95">
        <v>4546.5663999999997</v>
      </c>
      <c r="D95">
        <v>7012.8060999999998</v>
      </c>
      <c r="E95">
        <v>7248.6572999999999</v>
      </c>
      <c r="H95">
        <f t="shared" si="1"/>
        <v>1687421.6325958981</v>
      </c>
      <c r="I95">
        <v>334458.97031162347</v>
      </c>
      <c r="J95">
        <v>329767.12328767165</v>
      </c>
      <c r="K95">
        <v>479013.69863013766</v>
      </c>
      <c r="L95">
        <v>479268.49315068347</v>
      </c>
      <c r="M95">
        <v>250600.39513799432</v>
      </c>
      <c r="N95">
        <v>224995.20532398127</v>
      </c>
      <c r="O95">
        <v>292280.83613352152</v>
      </c>
      <c r="P95">
        <v>-218154.81658071428</v>
      </c>
      <c r="Q95">
        <v>-205648.78203870475</v>
      </c>
      <c r="R95">
        <v>-279159.49076029623</v>
      </c>
    </row>
    <row r="96" spans="1:18" x14ac:dyDescent="0.3">
      <c r="A96" s="29">
        <v>45996</v>
      </c>
      <c r="B96">
        <v>3002.0086999999999</v>
      </c>
      <c r="C96">
        <v>4584.5367999999999</v>
      </c>
      <c r="D96">
        <v>7097.8388999999997</v>
      </c>
      <c r="E96">
        <v>7342.4924000000001</v>
      </c>
      <c r="H96">
        <f t="shared" si="1"/>
        <v>2476794.2800034117</v>
      </c>
      <c r="I96">
        <v>334458.97031162347</v>
      </c>
      <c r="J96">
        <v>329767.12328767165</v>
      </c>
      <c r="K96">
        <v>479013.69863013766</v>
      </c>
      <c r="L96">
        <v>479268.49315068347</v>
      </c>
      <c r="M96">
        <v>288292.48690958758</v>
      </c>
      <c r="N96">
        <v>371468.24159967201</v>
      </c>
      <c r="O96">
        <v>394589.37670091056</v>
      </c>
      <c r="P96">
        <v>-48932.887279898037</v>
      </c>
      <c r="Q96">
        <v>-41426.475914953247</v>
      </c>
      <c r="R96">
        <v>-109704.7473920237</v>
      </c>
    </row>
    <row r="97" spans="1:19" x14ac:dyDescent="0.3">
      <c r="A97" s="29">
        <v>45999</v>
      </c>
      <c r="B97">
        <v>3019.3620000000001</v>
      </c>
      <c r="C97">
        <v>4621.7545</v>
      </c>
      <c r="D97">
        <v>7172.3671000000004</v>
      </c>
      <c r="E97">
        <v>7423.0461999999998</v>
      </c>
      <c r="H97">
        <f t="shared" si="1"/>
        <v>3099385.7425867473</v>
      </c>
      <c r="I97">
        <v>334458.97031162347</v>
      </c>
      <c r="J97">
        <v>329767.12328767165</v>
      </c>
      <c r="K97">
        <v>479013.69863013766</v>
      </c>
      <c r="L97">
        <v>479268.49315068347</v>
      </c>
      <c r="M97">
        <v>310887.3786250226</v>
      </c>
      <c r="N97">
        <v>482106.03571407002</v>
      </c>
      <c r="O97">
        <v>470216.20028393972</v>
      </c>
      <c r="P97">
        <v>87822.581296198114</v>
      </c>
      <c r="Q97">
        <v>94311.90286798829</v>
      </c>
      <c r="R97">
        <v>31533.358419412867</v>
      </c>
    </row>
    <row r="98" spans="1:19" x14ac:dyDescent="0.3">
      <c r="A98" s="29">
        <v>46000</v>
      </c>
      <c r="B98">
        <v>2997.9603000000002</v>
      </c>
      <c r="C98">
        <v>4598.2232000000004</v>
      </c>
      <c r="D98">
        <v>7121.3256000000001</v>
      </c>
      <c r="E98">
        <v>7380.5834999999997</v>
      </c>
      <c r="H98">
        <f t="shared" si="1"/>
        <v>2819823.1538476502</v>
      </c>
      <c r="I98">
        <v>334458.97031162347</v>
      </c>
      <c r="J98">
        <v>329767.12328767165</v>
      </c>
      <c r="K98">
        <v>479013.69863013766</v>
      </c>
      <c r="L98">
        <v>479268.49315068347</v>
      </c>
      <c r="M98">
        <v>306035.98262930248</v>
      </c>
      <c r="N98">
        <v>445337.58462426765</v>
      </c>
      <c r="O98">
        <v>444876.51817566995</v>
      </c>
      <c r="P98">
        <v>33250.39693532118</v>
      </c>
      <c r="Q98">
        <v>17549.668662319491</v>
      </c>
      <c r="R98">
        <v>-49735.282559346721</v>
      </c>
    </row>
    <row r="99" spans="1:19" x14ac:dyDescent="0.3">
      <c r="A99" s="29">
        <v>46001</v>
      </c>
      <c r="B99">
        <v>2988.6374999999998</v>
      </c>
      <c r="C99">
        <v>4591.8272999999999</v>
      </c>
      <c r="D99">
        <v>7155.9943999999996</v>
      </c>
      <c r="E99">
        <v>7408.2440999999999</v>
      </c>
      <c r="H99">
        <f t="shared" si="1"/>
        <v>3098461.2164019709</v>
      </c>
      <c r="I99">
        <v>334458.97031162347</v>
      </c>
      <c r="J99">
        <v>329767.12328767165</v>
      </c>
      <c r="K99">
        <v>479013.69863013766</v>
      </c>
      <c r="L99">
        <v>479268.49315068347</v>
      </c>
      <c r="M99">
        <v>315360.79476354283</v>
      </c>
      <c r="N99">
        <v>491533.16461245128</v>
      </c>
      <c r="O99">
        <v>475469.8429383834</v>
      </c>
      <c r="P99">
        <v>86988.483134792041</v>
      </c>
      <c r="Q99">
        <v>85777.924069955814</v>
      </c>
      <c r="R99">
        <v>20822.721502729153</v>
      </c>
    </row>
    <row r="100" spans="1:19" x14ac:dyDescent="0.3">
      <c r="A100" s="29">
        <v>46002</v>
      </c>
      <c r="B100">
        <v>2977.0319</v>
      </c>
      <c r="C100">
        <v>4552.1848</v>
      </c>
      <c r="D100">
        <v>7082.8932000000004</v>
      </c>
      <c r="E100">
        <v>7311.9952000000003</v>
      </c>
      <c r="H100">
        <f t="shared" si="1"/>
        <v>2508209.7024819585</v>
      </c>
      <c r="I100">
        <v>334458.97031162347</v>
      </c>
      <c r="J100">
        <v>329767.12328767165</v>
      </c>
      <c r="K100">
        <v>479013.69863013766</v>
      </c>
      <c r="L100">
        <v>479268.49315068347</v>
      </c>
      <c r="M100">
        <v>296885.30396134936</v>
      </c>
      <c r="N100">
        <v>379744.82221637707</v>
      </c>
      <c r="O100">
        <v>401878.70191188762</v>
      </c>
      <c r="P100">
        <v>-57128.554675682426</v>
      </c>
      <c r="Q100">
        <v>-32423.314713847732</v>
      </c>
      <c r="R100">
        <v>-103255.5415982415</v>
      </c>
    </row>
    <row r="101" spans="1:19" x14ac:dyDescent="0.3">
      <c r="A101" s="29">
        <v>46003</v>
      </c>
      <c r="B101">
        <v>2994.6446000000001</v>
      </c>
      <c r="C101">
        <v>4580.95</v>
      </c>
      <c r="D101">
        <v>7169.7910000000002</v>
      </c>
      <c r="E101">
        <v>7370.9416000000001</v>
      </c>
      <c r="H101">
        <f t="shared" si="1"/>
        <v>3116120.5007408853</v>
      </c>
      <c r="I101">
        <v>334458.97031162347</v>
      </c>
      <c r="J101">
        <v>329767.12328767165</v>
      </c>
      <c r="K101">
        <v>479013.69863013766</v>
      </c>
      <c r="L101">
        <v>479268.49315068347</v>
      </c>
      <c r="M101">
        <v>316076.32759733137</v>
      </c>
      <c r="N101">
        <v>473620.44292652374</v>
      </c>
      <c r="O101">
        <v>462891.12896500836</v>
      </c>
      <c r="P101">
        <v>50515.538201896772</v>
      </c>
      <c r="Q101">
        <v>127631.24345837586</v>
      </c>
      <c r="R101">
        <v>62877.534211632745</v>
      </c>
    </row>
    <row r="102" spans="1:19" x14ac:dyDescent="0.3">
      <c r="A102" s="29">
        <v>46006</v>
      </c>
      <c r="B102">
        <v>2987.0684000000001</v>
      </c>
      <c r="C102">
        <v>4552.0595999999996</v>
      </c>
      <c r="D102">
        <v>7113.9620000000004</v>
      </c>
      <c r="E102">
        <v>7309.0775000000003</v>
      </c>
      <c r="H102">
        <f t="shared" si="1"/>
        <v>2720053.1183448723</v>
      </c>
      <c r="I102">
        <v>334458.97031162347</v>
      </c>
      <c r="J102">
        <v>329767.12328767165</v>
      </c>
      <c r="K102">
        <v>479013.69863013766</v>
      </c>
      <c r="L102">
        <v>479268.49315068347</v>
      </c>
      <c r="M102">
        <v>305525.57734391879</v>
      </c>
      <c r="N102">
        <v>401512.60971013142</v>
      </c>
      <c r="O102">
        <v>417492.39269919554</v>
      </c>
      <c r="P102">
        <v>-40557.86988461866</v>
      </c>
      <c r="Q102">
        <v>41534.698165662907</v>
      </c>
      <c r="R102">
        <v>-27962.575069534341</v>
      </c>
    </row>
    <row r="103" spans="1:19" x14ac:dyDescent="0.3">
      <c r="A103" s="29">
        <v>46007</v>
      </c>
      <c r="B103">
        <v>2954.7872000000002</v>
      </c>
      <c r="C103">
        <v>4497.5545000000002</v>
      </c>
      <c r="D103">
        <v>7001.3188</v>
      </c>
      <c r="E103">
        <v>7181.62</v>
      </c>
      <c r="H103">
        <f t="shared" si="1"/>
        <v>1720591.5309136566</v>
      </c>
      <c r="I103">
        <v>334458.97031162347</v>
      </c>
      <c r="J103">
        <v>329767.12328767165</v>
      </c>
      <c r="K103">
        <v>479013.69863013766</v>
      </c>
      <c r="L103">
        <v>479268.49315068347</v>
      </c>
      <c r="M103">
        <v>259958.80849074339</v>
      </c>
      <c r="N103">
        <v>202751.64535969414</v>
      </c>
      <c r="O103">
        <v>291543.08328979026</v>
      </c>
      <c r="P103">
        <v>-259135.36609378181</v>
      </c>
      <c r="Q103">
        <v>-160048.38829485141</v>
      </c>
      <c r="R103">
        <v>-236986.53721805417</v>
      </c>
    </row>
    <row r="104" spans="1:19" x14ac:dyDescent="0.3">
      <c r="A104" s="29">
        <v>46008</v>
      </c>
      <c r="B104">
        <v>2991.6777000000002</v>
      </c>
      <c r="C104">
        <v>4579.875</v>
      </c>
      <c r="D104">
        <v>7137.8338999999996</v>
      </c>
      <c r="E104">
        <v>7288.7384000000002</v>
      </c>
      <c r="H104">
        <f t="shared" si="1"/>
        <v>2827240.8368537221</v>
      </c>
      <c r="I104">
        <v>334458.97031162347</v>
      </c>
      <c r="J104">
        <v>329767.12328767165</v>
      </c>
      <c r="K104">
        <v>479013.69863013766</v>
      </c>
      <c r="L104">
        <v>479268.49315068347</v>
      </c>
      <c r="M104">
        <v>309897.11494624137</v>
      </c>
      <c r="N104">
        <v>395713.42326929886</v>
      </c>
      <c r="O104">
        <v>416955.67808492592</v>
      </c>
      <c r="P104">
        <v>-53805.363936183094</v>
      </c>
      <c r="Q104">
        <v>102359.58855034001</v>
      </c>
      <c r="R104">
        <v>33612.110558983099</v>
      </c>
    </row>
    <row r="105" spans="1:19" x14ac:dyDescent="0.3">
      <c r="A105" s="29">
        <v>46009</v>
      </c>
      <c r="B105">
        <v>2998.5169999999998</v>
      </c>
      <c r="C105">
        <v>4552.7925999999998</v>
      </c>
      <c r="D105">
        <v>7100.8359</v>
      </c>
      <c r="E105">
        <v>7272.4023999999999</v>
      </c>
      <c r="H105">
        <f t="shared" si="1"/>
        <v>2673171.4187546042</v>
      </c>
      <c r="I105">
        <v>334458.97031162347</v>
      </c>
      <c r="J105">
        <v>329767.12328767165</v>
      </c>
      <c r="K105">
        <v>479013.69863013766</v>
      </c>
      <c r="L105">
        <v>479268.49315068347</v>
      </c>
      <c r="M105">
        <v>310360.59780530829</v>
      </c>
      <c r="N105">
        <v>380272.57039412373</v>
      </c>
      <c r="O105">
        <v>410609.36132370483</v>
      </c>
      <c r="P105">
        <v>-71581.600572105104</v>
      </c>
      <c r="Q105">
        <v>46483.745823928119</v>
      </c>
      <c r="R105">
        <v>-25481.541400472346</v>
      </c>
    </row>
    <row r="106" spans="1:19" x14ac:dyDescent="0.3">
      <c r="A106" s="29">
        <v>46010</v>
      </c>
      <c r="B106">
        <v>3004.3400999999999</v>
      </c>
      <c r="C106">
        <v>4568.1781000000001</v>
      </c>
      <c r="D106">
        <v>7169.5510999999997</v>
      </c>
      <c r="E106">
        <v>7329.8056999999999</v>
      </c>
      <c r="H106">
        <f t="shared" si="1"/>
        <v>3238545.0972218071</v>
      </c>
      <c r="I106">
        <v>334458.97031162347</v>
      </c>
      <c r="J106">
        <v>329767.12328767165</v>
      </c>
      <c r="K106">
        <v>479013.69863013766</v>
      </c>
      <c r="L106">
        <v>479268.49315068347</v>
      </c>
      <c r="M106">
        <v>332767.07023400191</v>
      </c>
      <c r="N106">
        <v>485933.87847087067</v>
      </c>
      <c r="O106">
        <v>473718.29093475745</v>
      </c>
      <c r="P106">
        <v>38722.014487967739</v>
      </c>
      <c r="Q106">
        <v>176115.13277607798</v>
      </c>
      <c r="R106">
        <v>108780.42493801497</v>
      </c>
    </row>
    <row r="107" spans="1:19" x14ac:dyDescent="0.3">
      <c r="A107" s="29">
        <v>46013</v>
      </c>
      <c r="B107">
        <v>3020.2285000000002</v>
      </c>
      <c r="C107">
        <v>4611.6234999999997</v>
      </c>
      <c r="D107">
        <v>7255.6607000000004</v>
      </c>
      <c r="E107">
        <v>7408.3487999999998</v>
      </c>
      <c r="H107">
        <f t="shared" si="1"/>
        <v>3902095.4418462398</v>
      </c>
      <c r="I107">
        <v>334458.97031162347</v>
      </c>
      <c r="J107">
        <v>329767.12328767165</v>
      </c>
      <c r="K107">
        <v>479013.69863013766</v>
      </c>
      <c r="L107">
        <v>479268.49315068347</v>
      </c>
      <c r="M107">
        <v>344000.00000000041</v>
      </c>
      <c r="N107">
        <v>628395.31707796233</v>
      </c>
      <c r="O107">
        <v>544473.88165830413</v>
      </c>
      <c r="P107">
        <v>177265.18193412366</v>
      </c>
      <c r="Q107">
        <v>322794.91960571602</v>
      </c>
      <c r="R107">
        <v>262657.85619001702</v>
      </c>
    </row>
    <row r="108" spans="1:19" x14ac:dyDescent="0.3">
      <c r="A108" s="29">
        <v>46014</v>
      </c>
      <c r="B108">
        <v>3027.5194999999999</v>
      </c>
      <c r="C108">
        <v>4620.7340999999997</v>
      </c>
      <c r="D108">
        <v>7256.7864</v>
      </c>
      <c r="E108">
        <v>7392.4204</v>
      </c>
      <c r="H108">
        <f t="shared" si="1"/>
        <v>3875555.806373179</v>
      </c>
      <c r="I108">
        <v>334458.97031162347</v>
      </c>
      <c r="J108">
        <v>329767.12328767165</v>
      </c>
      <c r="K108">
        <v>479013.69863013766</v>
      </c>
      <c r="L108">
        <v>479268.49315068347</v>
      </c>
      <c r="M108">
        <v>365386.49830324529</v>
      </c>
      <c r="N108">
        <v>572154.5423180745</v>
      </c>
      <c r="O108">
        <v>542133.63620767626</v>
      </c>
      <c r="P108">
        <v>164051.52888978642</v>
      </c>
      <c r="Q108">
        <v>334994.72351887007</v>
      </c>
      <c r="R108">
        <v>274326.5917554106</v>
      </c>
    </row>
    <row r="109" spans="1:19" x14ac:dyDescent="0.3">
      <c r="A109" s="29">
        <v>46015</v>
      </c>
      <c r="B109">
        <v>3025.1839</v>
      </c>
      <c r="C109">
        <v>4634.0586000000003</v>
      </c>
      <c r="D109">
        <v>7352.0396000000001</v>
      </c>
      <c r="E109">
        <v>7506.3814000000002</v>
      </c>
      <c r="H109">
        <f t="shared" si="1"/>
        <v>4593449.444106577</v>
      </c>
      <c r="I109">
        <v>334458.97031162347</v>
      </c>
      <c r="J109">
        <v>329767.12328767165</v>
      </c>
      <c r="K109">
        <v>479013.69863013766</v>
      </c>
      <c r="L109">
        <v>479268.49315068347</v>
      </c>
      <c r="M109">
        <v>390849.6938764262</v>
      </c>
      <c r="N109">
        <v>714195.91946841893</v>
      </c>
      <c r="O109">
        <v>619691.76655435399</v>
      </c>
      <c r="P109">
        <v>343906.05270861037</v>
      </c>
      <c r="Q109">
        <v>476498.82074835978</v>
      </c>
      <c r="R109">
        <v>425798.90537029173</v>
      </c>
    </row>
    <row r="110" spans="1:19" x14ac:dyDescent="0.3">
      <c r="A110" s="29">
        <v>46016</v>
      </c>
      <c r="B110">
        <v>3032.8413999999998</v>
      </c>
      <c r="C110">
        <v>4642.5357000000004</v>
      </c>
      <c r="D110">
        <v>7410.7119000000002</v>
      </c>
      <c r="E110">
        <v>7579.3791000000001</v>
      </c>
      <c r="H110">
        <f t="shared" si="1"/>
        <v>4993901.7728361338</v>
      </c>
      <c r="I110">
        <v>334458.97031162347</v>
      </c>
      <c r="J110">
        <v>329767.12328767165</v>
      </c>
      <c r="K110">
        <v>479013.69863013766</v>
      </c>
      <c r="L110">
        <v>479268.49315068347</v>
      </c>
      <c r="M110">
        <v>401926.20690336311</v>
      </c>
      <c r="N110">
        <v>791729.27218475984</v>
      </c>
      <c r="O110">
        <v>658349.70601845381</v>
      </c>
      <c r="P110">
        <v>449997.39125508565</v>
      </c>
      <c r="Q110">
        <v>556581.62605507916</v>
      </c>
      <c r="R110">
        <v>512845.289019736</v>
      </c>
      <c r="S110">
        <v>-36.003980459414059</v>
      </c>
    </row>
    <row r="111" spans="1:19" x14ac:dyDescent="0.3">
      <c r="A111" s="29">
        <v>46017</v>
      </c>
      <c r="B111">
        <v>3045.4036000000001</v>
      </c>
      <c r="C111">
        <v>4657.24</v>
      </c>
      <c r="D111">
        <v>7458.8386</v>
      </c>
      <c r="E111">
        <v>7605.5299000000005</v>
      </c>
      <c r="H111">
        <f t="shared" si="1"/>
        <v>5252807.7305533597</v>
      </c>
      <c r="I111">
        <v>334458.97031162347</v>
      </c>
      <c r="J111">
        <v>329767.12328767165</v>
      </c>
      <c r="K111">
        <v>479013.69863013766</v>
      </c>
      <c r="L111">
        <v>479268.49315068347</v>
      </c>
      <c r="M111">
        <v>406249.30683555885</v>
      </c>
      <c r="N111">
        <v>822909.50146769651</v>
      </c>
      <c r="O111">
        <v>673762.13396409305</v>
      </c>
      <c r="P111">
        <v>493034.93828145589</v>
      </c>
      <c r="Q111">
        <v>617493.30172278616</v>
      </c>
      <c r="R111">
        <v>579951.47283859004</v>
      </c>
      <c r="S111">
        <v>36898.790063064036</v>
      </c>
    </row>
    <row r="112" spans="1:19" x14ac:dyDescent="0.3">
      <c r="A112" s="29">
        <v>46020</v>
      </c>
      <c r="B112">
        <v>3034.6347000000001</v>
      </c>
      <c r="C112">
        <v>4639.3720999999996</v>
      </c>
      <c r="D112">
        <v>7430.6147000000001</v>
      </c>
      <c r="E112">
        <v>7594.1575000000003</v>
      </c>
      <c r="H112">
        <f t="shared" si="1"/>
        <v>5214005.5275761252</v>
      </c>
      <c r="I112">
        <v>334458.97031162347</v>
      </c>
      <c r="J112">
        <v>329767.12328767165</v>
      </c>
      <c r="K112">
        <v>479013.69863013766</v>
      </c>
      <c r="L112">
        <v>479268.49315068347</v>
      </c>
      <c r="M112">
        <v>407498.58220685762</v>
      </c>
      <c r="N112">
        <v>825167.72502237163</v>
      </c>
      <c r="O112">
        <v>676510.67270312237</v>
      </c>
      <c r="P112">
        <v>492054.56434413162</v>
      </c>
      <c r="Q112">
        <v>599365.83408856927</v>
      </c>
      <c r="R112">
        <v>557236.89765193965</v>
      </c>
      <c r="S112">
        <v>33662.966179017232</v>
      </c>
    </row>
    <row r="113" spans="1:22" x14ac:dyDescent="0.3">
      <c r="A113" s="29">
        <v>46021</v>
      </c>
      <c r="B113">
        <v>3036.5522999999998</v>
      </c>
      <c r="C113">
        <v>4651.2817999999997</v>
      </c>
      <c r="D113">
        <v>7458.9359999999997</v>
      </c>
      <c r="E113">
        <v>7597.299</v>
      </c>
      <c r="H113">
        <f t="shared" si="1"/>
        <v>5347267.2963625733</v>
      </c>
      <c r="I113">
        <v>334458.97031162347</v>
      </c>
      <c r="J113">
        <v>329767.12328767165</v>
      </c>
      <c r="K113">
        <v>479013.69863013766</v>
      </c>
      <c r="L113">
        <v>479268.49315068347</v>
      </c>
      <c r="M113">
        <v>409775.69447177014</v>
      </c>
      <c r="N113">
        <v>838503.88683643192</v>
      </c>
      <c r="O113">
        <v>683796.39158036979</v>
      </c>
      <c r="P113">
        <v>508142.37163741025</v>
      </c>
      <c r="Q113">
        <v>638567.79843469604</v>
      </c>
      <c r="R113">
        <v>600064.67600895429</v>
      </c>
      <c r="S113">
        <v>45937.718906868904</v>
      </c>
      <c r="T113">
        <v>-29.526894045256054</v>
      </c>
    </row>
    <row r="114" spans="1:22" x14ac:dyDescent="0.3">
      <c r="A114" s="29">
        <v>46022</v>
      </c>
      <c r="B114">
        <v>3031.1257999999998</v>
      </c>
      <c r="C114">
        <v>4629.9395000000004</v>
      </c>
      <c r="D114">
        <v>7465.5742</v>
      </c>
      <c r="E114">
        <v>7595.2844999999998</v>
      </c>
      <c r="H114">
        <f t="shared" si="1"/>
        <v>5427731.2915250706</v>
      </c>
      <c r="I114">
        <v>334458.97031162347</v>
      </c>
      <c r="J114">
        <v>329767.12328767165</v>
      </c>
      <c r="K114">
        <v>479013.69863013766</v>
      </c>
      <c r="L114">
        <v>479268.49315068347</v>
      </c>
      <c r="M114">
        <v>411656.27364450356</v>
      </c>
      <c r="N114">
        <v>848136.19388746296</v>
      </c>
      <c r="O114">
        <v>689473.95890797721</v>
      </c>
      <c r="P114">
        <v>518413.36438275897</v>
      </c>
      <c r="Q114">
        <v>655565.69549465633</v>
      </c>
      <c r="R114">
        <v>617557.9960200506</v>
      </c>
      <c r="S114">
        <v>52769.98160500353</v>
      </c>
      <c r="T114">
        <v>11649.542202540857</v>
      </c>
    </row>
    <row r="115" spans="1:22" x14ac:dyDescent="0.3">
      <c r="A115" s="29">
        <v>46027</v>
      </c>
      <c r="B115">
        <v>3099.7462</v>
      </c>
      <c r="C115">
        <v>4717.7457000000004</v>
      </c>
      <c r="D115">
        <v>7651.1980999999996</v>
      </c>
      <c r="E115">
        <v>7753.88</v>
      </c>
      <c r="H115">
        <f t="shared" si="1"/>
        <v>6560020.9289940381</v>
      </c>
      <c r="I115">
        <v>334458.97031162347</v>
      </c>
      <c r="J115">
        <v>329767.12328767165</v>
      </c>
      <c r="K115">
        <v>479013.69863013766</v>
      </c>
      <c r="L115">
        <v>479268.49315068347</v>
      </c>
      <c r="M115">
        <v>418291.77115995705</v>
      </c>
      <c r="N115">
        <v>942665.95126241702</v>
      </c>
      <c r="O115">
        <v>723449.71530364163</v>
      </c>
      <c r="P115">
        <v>686574.01216898486</v>
      </c>
      <c r="Q115">
        <v>797664.68305358535</v>
      </c>
      <c r="R115">
        <v>790385.83038445725</v>
      </c>
      <c r="S115">
        <v>211309.36456613839</v>
      </c>
      <c r="T115">
        <v>367171.31571474008</v>
      </c>
    </row>
    <row r="116" spans="1:22" x14ac:dyDescent="0.3">
      <c r="A116" s="29">
        <v>46028</v>
      </c>
      <c r="B116">
        <v>3158.7631999999999</v>
      </c>
      <c r="C116">
        <v>4790.6938</v>
      </c>
      <c r="D116">
        <v>7814.1355999999996</v>
      </c>
      <c r="E116">
        <v>7864.9034000000001</v>
      </c>
      <c r="H116">
        <f t="shared" si="1"/>
        <v>7161575.2299194932</v>
      </c>
      <c r="I116">
        <v>334458.97031162347</v>
      </c>
      <c r="J116">
        <v>329767.12328767165</v>
      </c>
      <c r="K116">
        <v>479013.69863013766</v>
      </c>
      <c r="L116">
        <v>479268.49315068347</v>
      </c>
      <c r="M116">
        <v>420148.26128570049</v>
      </c>
      <c r="N116">
        <v>979411.26798252086</v>
      </c>
      <c r="O116">
        <v>734102.49434740609</v>
      </c>
      <c r="P116">
        <v>773795.22876477416</v>
      </c>
      <c r="Q116">
        <v>863607.36855371017</v>
      </c>
      <c r="R116">
        <v>883033.20647649141</v>
      </c>
      <c r="S116">
        <v>301319.33722272364</v>
      </c>
      <c r="T116">
        <v>583649.77990605147</v>
      </c>
    </row>
    <row r="117" spans="1:22" x14ac:dyDescent="0.3">
      <c r="A117" s="29">
        <v>46029</v>
      </c>
      <c r="B117">
        <v>3145.1197000000002</v>
      </c>
      <c r="C117">
        <v>4776.6657999999998</v>
      </c>
      <c r="D117">
        <v>7875.0821999999998</v>
      </c>
      <c r="E117">
        <v>7906.4197000000004</v>
      </c>
      <c r="H117">
        <f t="shared" si="1"/>
        <v>7368714.2688131584</v>
      </c>
      <c r="I117">
        <v>334458.97031162347</v>
      </c>
      <c r="J117">
        <v>329767.12328767165</v>
      </c>
      <c r="K117">
        <v>479013.69863013766</v>
      </c>
      <c r="L117">
        <v>479268.49315068347</v>
      </c>
      <c r="M117">
        <v>421169.52517489321</v>
      </c>
      <c r="N117">
        <v>990847.02899519738</v>
      </c>
      <c r="O117">
        <v>737415.35623041773</v>
      </c>
      <c r="P117">
        <v>805441.17420893814</v>
      </c>
      <c r="Q117">
        <v>880677.7848744496</v>
      </c>
      <c r="R117">
        <v>909535.45555380813</v>
      </c>
      <c r="S117">
        <v>334940.8184785801</v>
      </c>
      <c r="T117">
        <v>666178.83991675708</v>
      </c>
    </row>
    <row r="118" spans="1:22" x14ac:dyDescent="0.3">
      <c r="A118" s="29">
        <v>46030</v>
      </c>
      <c r="B118">
        <v>3122.0626999999999</v>
      </c>
      <c r="C118">
        <v>4737.6535999999996</v>
      </c>
      <c r="D118">
        <v>7894.5447000000004</v>
      </c>
      <c r="E118">
        <v>7971.5887000000002</v>
      </c>
      <c r="H118">
        <f t="shared" si="1"/>
        <v>7590569.2856238754</v>
      </c>
      <c r="I118">
        <v>334458.97031162347</v>
      </c>
      <c r="J118">
        <v>329767.12328767165</v>
      </c>
      <c r="K118">
        <v>479013.69863013766</v>
      </c>
      <c r="L118">
        <v>479268.49315068347</v>
      </c>
      <c r="M118">
        <v>422106.94935417373</v>
      </c>
      <c r="N118">
        <v>1000744.9354366857</v>
      </c>
      <c r="O118">
        <v>739974.49047521909</v>
      </c>
      <c r="P118">
        <v>841659.70051801263</v>
      </c>
      <c r="Q118">
        <v>887687.10191994195</v>
      </c>
      <c r="R118">
        <v>920172.99489580339</v>
      </c>
      <c r="S118">
        <v>377620.17276597937</v>
      </c>
      <c r="T118">
        <v>778094.65487794299</v>
      </c>
    </row>
    <row r="119" spans="1:22" x14ac:dyDescent="0.3">
      <c r="A119" s="29">
        <v>46031</v>
      </c>
      <c r="B119">
        <v>3134.3245000000002</v>
      </c>
      <c r="C119">
        <v>4758.9220999999998</v>
      </c>
      <c r="D119">
        <v>8056.6858000000002</v>
      </c>
      <c r="E119">
        <v>8129.1831000000002</v>
      </c>
      <c r="H119">
        <f t="shared" si="1"/>
        <v>8111089.5439347439</v>
      </c>
      <c r="I119">
        <v>334458.97031162347</v>
      </c>
      <c r="J119">
        <v>329767.12328767165</v>
      </c>
      <c r="K119">
        <v>479013.69863013766</v>
      </c>
      <c r="L119">
        <v>479268.49315068347</v>
      </c>
      <c r="M119">
        <v>422994.25422449451</v>
      </c>
      <c r="N119">
        <v>1008089.5003067781</v>
      </c>
      <c r="O119">
        <v>741726.05839648517</v>
      </c>
      <c r="P119">
        <v>888338.6971510282</v>
      </c>
      <c r="Q119">
        <v>903601.73928595986</v>
      </c>
      <c r="R119">
        <v>953282.83190394996</v>
      </c>
      <c r="S119">
        <v>446676.69455958705</v>
      </c>
      <c r="T119">
        <v>986482.93784537714</v>
      </c>
      <c r="U119">
        <v>137388.54488096651</v>
      </c>
    </row>
    <row r="120" spans="1:22" x14ac:dyDescent="0.3">
      <c r="A120" s="29">
        <v>46034</v>
      </c>
      <c r="B120">
        <v>3143.7370999999998</v>
      </c>
      <c r="C120">
        <v>4789.9155000000001</v>
      </c>
      <c r="D120">
        <v>8249.1275000000005</v>
      </c>
      <c r="E120">
        <v>8357.0107000000007</v>
      </c>
      <c r="H120">
        <f t="shared" si="1"/>
        <v>8994550.8060805555</v>
      </c>
      <c r="I120">
        <v>334458.97031162347</v>
      </c>
      <c r="J120">
        <v>329767.12328767165</v>
      </c>
      <c r="K120">
        <v>479013.69863013766</v>
      </c>
      <c r="L120">
        <v>479268.49315068347</v>
      </c>
      <c r="M120">
        <v>423869.16791135044</v>
      </c>
      <c r="N120">
        <v>1010072.9911167729</v>
      </c>
      <c r="O120">
        <v>742733.9642956208</v>
      </c>
      <c r="P120">
        <v>911903.62662545126</v>
      </c>
      <c r="Q120">
        <v>909001.73174846324</v>
      </c>
      <c r="R120">
        <v>968810.81093315489</v>
      </c>
      <c r="S120">
        <v>499513.41914719186</v>
      </c>
      <c r="T120">
        <v>1192530.4577015841</v>
      </c>
      <c r="U120">
        <v>713606.35122084839</v>
      </c>
    </row>
    <row r="121" spans="1:22" x14ac:dyDescent="0.3">
      <c r="A121" s="29">
        <v>46035</v>
      </c>
      <c r="B121">
        <v>3132.9328</v>
      </c>
      <c r="C121">
        <v>4761.0324000000001</v>
      </c>
      <c r="D121">
        <v>8143.28</v>
      </c>
      <c r="E121">
        <v>8203.1327000000001</v>
      </c>
      <c r="H121">
        <f t="shared" si="1"/>
        <v>8443399.8976001181</v>
      </c>
      <c r="I121">
        <v>334458.97031162347</v>
      </c>
      <c r="J121">
        <v>329767.12328767165</v>
      </c>
      <c r="K121">
        <v>479013.69863013766</v>
      </c>
      <c r="L121">
        <v>479268.49315068347</v>
      </c>
      <c r="M121">
        <v>424744.84713784396</v>
      </c>
      <c r="N121">
        <v>1010943.3554392507</v>
      </c>
      <c r="O121">
        <v>743663.12243954104</v>
      </c>
      <c r="P121">
        <v>905956.25043810613</v>
      </c>
      <c r="Q121">
        <v>909248.06116061984</v>
      </c>
      <c r="R121">
        <v>966000.65685730835</v>
      </c>
      <c r="S121">
        <v>476844.54308999295</v>
      </c>
      <c r="T121">
        <v>1084320.4329988889</v>
      </c>
      <c r="U121">
        <v>379446.3914573717</v>
      </c>
      <c r="V121">
        <v>-80276.048798922784</v>
      </c>
    </row>
    <row r="122" spans="1:22" x14ac:dyDescent="0.3">
      <c r="A122" s="29">
        <v>46036</v>
      </c>
      <c r="B122">
        <v>3112.0745000000002</v>
      </c>
      <c r="C122">
        <v>4741.9305999999997</v>
      </c>
      <c r="D122">
        <v>8227.6970000000001</v>
      </c>
      <c r="E122">
        <v>8257.1715999999997</v>
      </c>
      <c r="H122">
        <f t="shared" si="1"/>
        <v>8747731.4884934723</v>
      </c>
      <c r="I122">
        <v>334458.97031162347</v>
      </c>
      <c r="J122">
        <v>329767.12328767165</v>
      </c>
      <c r="K122">
        <v>479013.69863013766</v>
      </c>
      <c r="L122">
        <v>479268.49315068347</v>
      </c>
      <c r="M122">
        <v>425618.65685230104</v>
      </c>
      <c r="N122">
        <v>1011994.4329237654</v>
      </c>
      <c r="O122">
        <v>744599.67278024741</v>
      </c>
      <c r="P122">
        <v>912560.08576224104</v>
      </c>
      <c r="Q122">
        <v>911206.7147905794</v>
      </c>
      <c r="R122">
        <v>971646.11372928624</v>
      </c>
      <c r="S122">
        <v>492118.0554852013</v>
      </c>
      <c r="T122">
        <v>1141887.7352807943</v>
      </c>
      <c r="U122">
        <v>534673.58055205992</v>
      </c>
      <c r="V122">
        <v>-21081.84504311837</v>
      </c>
    </row>
    <row r="123" spans="1:22" x14ac:dyDescent="0.3">
      <c r="A123" s="29">
        <v>46037</v>
      </c>
      <c r="B123">
        <v>3105.5751</v>
      </c>
      <c r="C123">
        <v>4751.4292999999998</v>
      </c>
      <c r="D123">
        <v>8223.2682999999997</v>
      </c>
      <c r="E123">
        <v>8240.7751000000007</v>
      </c>
      <c r="H123">
        <f t="shared" si="1"/>
        <v>8730361.8855907787</v>
      </c>
      <c r="I123">
        <v>334458.97031162347</v>
      </c>
      <c r="J123">
        <v>329767.12328767165</v>
      </c>
      <c r="K123">
        <v>479013.69863013766</v>
      </c>
      <c r="L123">
        <v>479268.49315068347</v>
      </c>
      <c r="M123">
        <v>426493.69382323348</v>
      </c>
      <c r="N123">
        <v>1012962.6555267996</v>
      </c>
      <c r="O123">
        <v>745531.82570999477</v>
      </c>
      <c r="P123">
        <v>914430.43592652224</v>
      </c>
      <c r="Q123">
        <v>912294.3369864939</v>
      </c>
      <c r="R123">
        <v>973220.30779116449</v>
      </c>
      <c r="S123">
        <v>493558.51969073061</v>
      </c>
      <c r="T123">
        <v>1140324.7906300109</v>
      </c>
      <c r="U123">
        <v>518299.9386074107</v>
      </c>
      <c r="V123">
        <v>-29262.904481698719</v>
      </c>
    </row>
    <row r="124" spans="1:22" x14ac:dyDescent="0.3">
      <c r="A124" s="29">
        <v>46038</v>
      </c>
      <c r="B124">
        <v>3079.7631000000001</v>
      </c>
      <c r="C124">
        <v>4731.8728000000001</v>
      </c>
      <c r="D124">
        <v>8232.6740000000009</v>
      </c>
      <c r="E124">
        <v>8232.7293000000009</v>
      </c>
      <c r="H124">
        <f t="shared" si="1"/>
        <v>8749508.2382347807</v>
      </c>
      <c r="I124">
        <v>334458.97031162347</v>
      </c>
      <c r="J124">
        <v>329767.12328767165</v>
      </c>
      <c r="K124">
        <v>479013.69863013766</v>
      </c>
      <c r="L124">
        <v>479268.49315068347</v>
      </c>
      <c r="M124">
        <v>427368.78864830197</v>
      </c>
      <c r="N124">
        <v>1013922.1871289888</v>
      </c>
      <c r="O124">
        <v>746464.26170615887</v>
      </c>
      <c r="P124">
        <v>916598.13043705642</v>
      </c>
      <c r="Q124">
        <v>913376.06730286137</v>
      </c>
      <c r="R124">
        <v>975055.57849261456</v>
      </c>
      <c r="S124">
        <v>496506.99903954857</v>
      </c>
      <c r="T124">
        <v>1145493.7447100973</v>
      </c>
      <c r="U124">
        <v>521806.78465327877</v>
      </c>
      <c r="V124">
        <v>-29592.589264241338</v>
      </c>
    </row>
    <row r="125" spans="1:22" x14ac:dyDescent="0.3">
      <c r="A125" s="29">
        <v>46041</v>
      </c>
      <c r="B125">
        <v>3075.9357</v>
      </c>
      <c r="C125">
        <v>4734.4556000000002</v>
      </c>
      <c r="D125">
        <v>8287.9470000000001</v>
      </c>
      <c r="E125">
        <v>8265.6461999999992</v>
      </c>
      <c r="H125">
        <f t="shared" si="1"/>
        <v>8944116.8260602206</v>
      </c>
      <c r="I125">
        <v>334458.97031162347</v>
      </c>
      <c r="J125">
        <v>329767.12328767165</v>
      </c>
      <c r="K125">
        <v>479013.69863013766</v>
      </c>
      <c r="L125">
        <v>479268.49315068347</v>
      </c>
      <c r="M125">
        <v>428243.66418603167</v>
      </c>
      <c r="N125">
        <v>1014878.9865140446</v>
      </c>
      <c r="O125">
        <v>747396.63938588242</v>
      </c>
      <c r="P125">
        <v>919588.22216819727</v>
      </c>
      <c r="Q125">
        <v>914435.72266338638</v>
      </c>
      <c r="R125">
        <v>977370.07941712497</v>
      </c>
      <c r="S125">
        <v>505726.5288321462</v>
      </c>
      <c r="T125">
        <v>1182474.1096851784</v>
      </c>
      <c r="U125">
        <v>622765.97928819444</v>
      </c>
      <c r="V125">
        <v>8728.6085399187668</v>
      </c>
    </row>
    <row r="126" spans="1:22" x14ac:dyDescent="0.3">
      <c r="A126" s="29">
        <v>46042</v>
      </c>
      <c r="B126">
        <v>3070.6460000000002</v>
      </c>
      <c r="C126">
        <v>4718.8782000000001</v>
      </c>
      <c r="D126">
        <v>8247.8048999999992</v>
      </c>
      <c r="E126">
        <v>8182.7521999999999</v>
      </c>
      <c r="H126">
        <f t="shared" si="1"/>
        <v>8633581.3163511362</v>
      </c>
      <c r="I126">
        <v>334458.97031162347</v>
      </c>
      <c r="J126">
        <v>329767.12328767165</v>
      </c>
      <c r="K126">
        <v>479013.69863013766</v>
      </c>
      <c r="L126">
        <v>479268.49315068347</v>
      </c>
      <c r="M126">
        <v>429119.84457841626</v>
      </c>
      <c r="N126">
        <v>1015835.1129446211</v>
      </c>
      <c r="O126">
        <v>748329.30981838133</v>
      </c>
      <c r="P126">
        <v>919651.63044976862</v>
      </c>
      <c r="Q126">
        <v>915390.76871281362</v>
      </c>
      <c r="R126">
        <v>978208.27306097141</v>
      </c>
      <c r="S126">
        <v>496620.03908547241</v>
      </c>
      <c r="T126">
        <v>1127493.481357781</v>
      </c>
      <c r="U126">
        <v>444043.93308373325</v>
      </c>
      <c r="V126">
        <v>-63619.362120938546</v>
      </c>
    </row>
    <row r="127" spans="1:22" x14ac:dyDescent="0.3">
      <c r="A127" s="29">
        <v>46043</v>
      </c>
      <c r="B127">
        <v>3067.1752999999999</v>
      </c>
      <c r="C127">
        <v>4723.0691999999999</v>
      </c>
      <c r="D127">
        <v>8340.1133000000009</v>
      </c>
      <c r="E127">
        <v>8247.6797999999999</v>
      </c>
      <c r="H127">
        <f t="shared" si="1"/>
        <v>8974257.2225448918</v>
      </c>
      <c r="I127">
        <v>334458.97031162347</v>
      </c>
      <c r="J127">
        <v>329767.12328767165</v>
      </c>
      <c r="K127">
        <v>479013.69863013766</v>
      </c>
      <c r="L127">
        <v>479268.49315068347</v>
      </c>
      <c r="M127">
        <v>430000.00000000041</v>
      </c>
      <c r="N127">
        <v>1016792.057188531</v>
      </c>
      <c r="O127">
        <v>749262.05243910477</v>
      </c>
      <c r="P127">
        <v>922634.74472992402</v>
      </c>
      <c r="Q127">
        <v>916366.36885187274</v>
      </c>
      <c r="R127">
        <v>980180.13275176345</v>
      </c>
      <c r="S127">
        <v>511083.35340818588</v>
      </c>
      <c r="T127">
        <v>1191842.2786178871</v>
      </c>
      <c r="U127">
        <v>626824.70479249035</v>
      </c>
      <c r="V127">
        <v>6763.244385015726</v>
      </c>
    </row>
    <row r="128" spans="1:22" x14ac:dyDescent="0.3">
      <c r="A128" s="29">
        <v>46044</v>
      </c>
      <c r="B128">
        <v>3053.1277</v>
      </c>
      <c r="C128">
        <v>4723.7091</v>
      </c>
      <c r="D128">
        <v>8387.5949999999993</v>
      </c>
      <c r="E128">
        <v>8309.3456000000006</v>
      </c>
      <c r="H128">
        <f t="shared" si="1"/>
        <v>9253825.2449557278</v>
      </c>
      <c r="I128">
        <v>334458.97031162347</v>
      </c>
      <c r="J128">
        <v>329767.12328767165</v>
      </c>
      <c r="K128">
        <v>479013.69863013766</v>
      </c>
      <c r="L128">
        <v>479268.49315068347</v>
      </c>
      <c r="M128">
        <v>415118.32594244659</v>
      </c>
      <c r="N128">
        <v>1017747.0649919953</v>
      </c>
      <c r="O128">
        <v>750194.87198198761</v>
      </c>
      <c r="P128">
        <v>924178.48070209567</v>
      </c>
      <c r="Q128">
        <v>917316.05433964834</v>
      </c>
      <c r="R128">
        <v>981406.76856701542</v>
      </c>
      <c r="S128">
        <v>521212.49678106938</v>
      </c>
      <c r="T128">
        <v>1245017.152041106</v>
      </c>
      <c r="U128">
        <v>788792.35967297282</v>
      </c>
      <c r="V128">
        <v>70333.384555275305</v>
      </c>
    </row>
    <row r="129" spans="1:23" x14ac:dyDescent="0.3">
      <c r="A129" s="29">
        <v>46045</v>
      </c>
      <c r="B129">
        <v>3032.1930000000002</v>
      </c>
      <c r="C129">
        <v>4702.4966000000004</v>
      </c>
      <c r="D129">
        <v>8590.1659</v>
      </c>
      <c r="E129">
        <v>8470.7438000000002</v>
      </c>
      <c r="H129">
        <f t="shared" si="1"/>
        <v>9831220.1140350327</v>
      </c>
      <c r="I129">
        <v>334458.97031162347</v>
      </c>
      <c r="J129">
        <v>329767.12328767165</v>
      </c>
      <c r="K129">
        <v>479013.69863013766</v>
      </c>
      <c r="L129">
        <v>479268.49315068347</v>
      </c>
      <c r="M129">
        <v>415999.45906550222</v>
      </c>
      <c r="N129">
        <v>1018709.5890410959</v>
      </c>
      <c r="O129">
        <v>751134.24657534249</v>
      </c>
      <c r="P129">
        <v>925251.87927610916</v>
      </c>
      <c r="Q129">
        <v>918263.2982439925</v>
      </c>
      <c r="R129">
        <v>982552.13523863594</v>
      </c>
      <c r="S129">
        <v>532476.81371939206</v>
      </c>
      <c r="T129">
        <v>1336038.2394826277</v>
      </c>
      <c r="U129">
        <v>1120432.2935809956</v>
      </c>
      <c r="V129">
        <v>207853.87443122247</v>
      </c>
    </row>
    <row r="130" spans="1:23" x14ac:dyDescent="0.3">
      <c r="A130" s="29">
        <v>46048</v>
      </c>
      <c r="B130">
        <v>3049.5871000000002</v>
      </c>
      <c r="C130">
        <v>4706.9639999999999</v>
      </c>
      <c r="D130">
        <v>8506.6931999999997</v>
      </c>
      <c r="E130">
        <v>8365.4344999999994</v>
      </c>
      <c r="H130">
        <f t="shared" si="1"/>
        <v>9548168.753199229</v>
      </c>
      <c r="I130">
        <v>334458.97031162347</v>
      </c>
      <c r="J130">
        <v>329767.12328767165</v>
      </c>
      <c r="K130">
        <v>479013.69863013766</v>
      </c>
      <c r="L130">
        <v>479268.49315068347</v>
      </c>
      <c r="M130">
        <v>416873.8706959394</v>
      </c>
      <c r="N130">
        <v>1018709.5890410959</v>
      </c>
      <c r="O130">
        <v>751134.24657534249</v>
      </c>
      <c r="P130">
        <v>926199.94548462145</v>
      </c>
      <c r="Q130">
        <v>919210.9497421392</v>
      </c>
      <c r="R130">
        <v>983498.80810885224</v>
      </c>
      <c r="S130">
        <v>530480.94497630058</v>
      </c>
      <c r="T130">
        <v>1297162.8747239828</v>
      </c>
      <c r="U130">
        <v>949399.00496536586</v>
      </c>
      <c r="V130">
        <v>132990.23350547403</v>
      </c>
    </row>
    <row r="131" spans="1:23" x14ac:dyDescent="0.3">
      <c r="A131" s="29">
        <v>46049</v>
      </c>
      <c r="B131">
        <v>3052.3932</v>
      </c>
      <c r="C131">
        <v>4705.6917999999996</v>
      </c>
      <c r="D131">
        <v>8548.9321</v>
      </c>
      <c r="E131">
        <v>8382.1532999999999</v>
      </c>
      <c r="H131">
        <f t="shared" ref="H131" si="2">SUM(I131:BG131)</f>
        <v>9843159.3908211291</v>
      </c>
      <c r="I131">
        <v>334458.97031162347</v>
      </c>
      <c r="J131">
        <v>329767.12328767165</v>
      </c>
      <c r="K131">
        <v>479013.69863013766</v>
      </c>
      <c r="L131">
        <v>479268.49315068347</v>
      </c>
      <c r="M131">
        <v>417747.65495365247</v>
      </c>
      <c r="N131">
        <v>1018709.5890410959</v>
      </c>
      <c r="O131">
        <v>751134.24657534249</v>
      </c>
      <c r="P131">
        <v>927149.42057078646</v>
      </c>
      <c r="Q131">
        <v>920159.49616048613</v>
      </c>
      <c r="R131">
        <v>984466.02408566175</v>
      </c>
      <c r="S131">
        <v>533454.67024523276</v>
      </c>
      <c r="T131">
        <v>1314908.9310949282</v>
      </c>
      <c r="U131">
        <v>1003937.291469543</v>
      </c>
      <c r="V131">
        <v>154004.706070229</v>
      </c>
      <c r="W131">
        <v>194979.07517405538</v>
      </c>
    </row>
    <row r="133" spans="1:23" x14ac:dyDescent="0.3">
      <c r="A133" t="s">
        <v>66</v>
      </c>
    </row>
  </sheetData>
  <autoFilter ref="I1:W1" xr:uid="{AEE84F0B-2220-4560-9647-DF1FB5DCB3FA}"/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16</vt:i4>
      </vt:variant>
    </vt:vector>
  </HeadingPairs>
  <TitlesOfParts>
    <vt:vector size="16" baseType="lpstr">
      <vt:lpstr>15</vt:lpstr>
      <vt:lpstr>14</vt:lpstr>
      <vt:lpstr>13</vt:lpstr>
      <vt:lpstr>12</vt:lpstr>
      <vt:lpstr>11</vt:lpstr>
      <vt:lpstr>10</vt:lpstr>
      <vt:lpstr>9</vt:lpstr>
      <vt:lpstr>8</vt:lpstr>
      <vt:lpstr>7</vt:lpstr>
      <vt:lpstr>6</vt:lpstr>
      <vt:lpstr>5</vt:lpstr>
      <vt:lpstr>4</vt:lpstr>
      <vt:lpstr>3</vt:lpstr>
      <vt:lpstr>2</vt:lpstr>
      <vt:lpstr>1</vt:lpstr>
      <vt:lpstr>历史行情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ZHI SHEN</dc:creator>
  <cp:lastModifiedBy>Zhi Shen</cp:lastModifiedBy>
  <dcterms:created xsi:type="dcterms:W3CDTF">2023-05-12T11:15:00Z</dcterms:created>
  <dcterms:modified xsi:type="dcterms:W3CDTF">2026-02-09T15:24:50Z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2052-12.1.0.23542</vt:lpwstr>
  </property>
  <property fmtid="{D5CDD505-2E9C-101B-9397-08002B2CF9AE}" pid="3" name="ICV">
    <vt:lpwstr>62E9153A06EA44FE9DC02C7964F612A6_13</vt:lpwstr>
  </property>
  <property fmtid="{D5CDD505-2E9C-101B-9397-08002B2CF9AE}" pid="4" name="EM_Doc_Temp_ID">
    <vt:lpwstr>539D506D-ABBA-432E-A269-60D74BBE21C5</vt:lpwstr>
  </property>
</Properties>
</file>