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volatileDependencies.xml" ContentType="application/vnd.openxmlformats-officedocument.spreadsheetml.volatileDependenc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75" windowHeight="12375"/>
  </bookViews>
  <sheets>
    <sheet name="其他雪球产品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<sst xmlns="http://schemas.openxmlformats.org/spreadsheetml/2006/main" count="226" uniqueCount="118">
  <si>
    <t>项目</t>
  </si>
  <si>
    <t xml:space="preserve">名称 </t>
  </si>
  <si>
    <t>初始保证金</t>
  </si>
  <si>
    <t>是否
追保</t>
  </si>
  <si>
    <t>投资金额（万元）</t>
  </si>
  <si>
    <t>投资策略</t>
  </si>
  <si>
    <t>挂钩标的</t>
  </si>
  <si>
    <t>下一敲出观察日</t>
  </si>
  <si>
    <t>敲入观察日</t>
  </si>
  <si>
    <t>敲出观察日</t>
  </si>
  <si>
    <t>交易到期日</t>
  </si>
  <si>
    <t>期初价格</t>
  </si>
  <si>
    <t>敲出界限</t>
  </si>
  <si>
    <t>敲入界限</t>
  </si>
  <si>
    <t>敲入障碍价格</t>
  </si>
  <si>
    <t>红利票息
（年化）</t>
  </si>
  <si>
    <t>第一年
早利票息</t>
  </si>
  <si>
    <t>第二年
早利票息</t>
  </si>
  <si>
    <t>标的亏损</t>
  </si>
  <si>
    <t>锁定期</t>
  </si>
  <si>
    <t>合约期限</t>
  </si>
  <si>
    <t>交易达成日</t>
  </si>
  <si>
    <t>起息日</t>
  </si>
  <si>
    <t>敲出预计票息收益(万）雪球部分</t>
  </si>
  <si>
    <t>实际收益</t>
  </si>
  <si>
    <t>实际绝对收益率</t>
  </si>
  <si>
    <t>实际年化收益</t>
  </si>
  <si>
    <t>敲入
点位</t>
  </si>
  <si>
    <t>当前
点位</t>
  </si>
  <si>
    <t>距离敲出百分比</t>
  </si>
  <si>
    <t>距离敲入百分比</t>
  </si>
  <si>
    <t>华云垂云一号私募证券投资基金
（已敲出了结）</t>
  </si>
  <si>
    <t>不追保</t>
  </si>
  <si>
    <t>25%弹簧雪球结构期权产品+75%固定收益类产品</t>
  </si>
  <si>
    <t>000852.SH</t>
  </si>
  <si>
    <t>起始日到交易日，每日观察</t>
  </si>
  <si>
    <t>从第三个月开始（2025.4.18），每月一个固定观察日</t>
  </si>
  <si>
    <r>
      <rPr>
        <sz val="11"/>
        <color theme="1"/>
        <rFont val="宋体"/>
        <charset val="134"/>
        <scheme val="minor"/>
      </rPr>
      <t>从第三个月开始观察，若敲出，每个观察日为到期日，最后一个观察日为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2027年1月22日</t>
    </r>
  </si>
  <si>
    <t>-</t>
  </si>
  <si>
    <t>标的跌幅</t>
  </si>
  <si>
    <t>3个月</t>
  </si>
  <si>
    <t>24个月</t>
  </si>
  <si>
    <t>深圳青岸清川三期私募证券投资基金
（已敲出了结）</t>
  </si>
  <si>
    <t>000905.SH</t>
  </si>
  <si>
    <t>从第三个月开始（2025.7.18），每月一个固定观察日</t>
  </si>
  <si>
    <r>
      <rPr>
        <sz val="11"/>
        <color theme="1"/>
        <rFont val="宋体"/>
        <charset val="134"/>
        <scheme val="minor"/>
      </rPr>
      <t>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2027年4月23日</t>
    </r>
  </si>
  <si>
    <t>双倍亏损
（标的跌幅*2）</t>
  </si>
  <si>
    <t>国元证券元耀3号集合资产管理计划</t>
  </si>
  <si>
    <t>100%降敲雪球</t>
  </si>
  <si>
    <t>从第三个月开始（2025.9.17），每月一个固定观察日</t>
  </si>
  <si>
    <r>
      <rPr>
        <sz val="11"/>
        <color theme="1"/>
        <rFont val="宋体"/>
        <charset val="134"/>
        <scheme val="minor"/>
      </rPr>
      <t>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2027年6月17日</t>
    </r>
  </si>
  <si>
    <t>期初为100%锁定期后每个观察日降敲0.5%，最后一个观察日为89.5%</t>
  </si>
  <si>
    <t>华云垂云一号私募证券投资基金</t>
  </si>
  <si>
    <t>每月观察敲出；锁定期6个月，锁定期内不观察</t>
  </si>
  <si>
    <r>
      <rPr>
        <sz val="11"/>
        <color theme="1"/>
        <rFont val="宋体"/>
        <charset val="134"/>
        <scheme val="minor"/>
      </rPr>
      <t>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2027年5月10日</t>
    </r>
  </si>
  <si>
    <t>双倍亏损（标的跌幅*2）</t>
  </si>
  <si>
    <t>6个月</t>
  </si>
  <si>
    <t>华银元鼎双擎一号私募证券投资基金</t>
  </si>
  <si>
    <t>25%降敲早利雪球结构期权产品+75%固定收益类产品</t>
  </si>
  <si>
    <t>从第三个月开始（2025.11.26），每月一个固定观察日</t>
  </si>
  <si>
    <r>
      <rPr>
        <sz val="11"/>
        <color theme="1"/>
        <rFont val="宋体"/>
        <charset val="134"/>
        <scheme val="minor"/>
      </rPr>
      <t>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2027年8月26日</t>
    </r>
  </si>
  <si>
    <t>100%，3个月后敲出价格每个月降低0.75%，最后一个月敲出价格为84.25</t>
  </si>
  <si>
    <t>深圳青岸清川三期私募证券投资基金
（第二次投资）</t>
  </si>
  <si>
    <t>从第三个月开始（2025.11.7），每月一个固定观察日</t>
  </si>
  <si>
    <r>
      <rPr>
        <sz val="11"/>
        <color theme="1"/>
        <rFont val="宋体"/>
        <charset val="134"/>
        <scheme val="minor"/>
      </rPr>
      <t>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2027年8月2日</t>
    </r>
  </si>
  <si>
    <t>国元证券元耀1号集合资产管理计划</t>
  </si>
  <si>
    <t>DCN期权</t>
  </si>
  <si>
    <t>从第三个月开始（2025.12.16），每月一个固定观察日</t>
  </si>
  <si>
    <r>
      <rPr>
        <sz val="11"/>
        <color theme="1"/>
        <rFont val="宋体"/>
        <charset val="134"/>
        <scheme val="minor"/>
      </rPr>
      <t>若敲出，每个观察日为到期日，最后一个观察日为</t>
    </r>
    <r>
      <rPr>
        <b/>
        <sz val="11"/>
        <color theme="1"/>
        <rFont val="宋体"/>
        <charset val="134"/>
        <scheme val="minor"/>
      </rPr>
      <t>2027年9月16日</t>
    </r>
  </si>
  <si>
    <t>备注：全保DCN结构，派息障碍80%，每月绝对派息0.88%，即年化收益10.56%。</t>
  </si>
  <si>
    <t>25%早利雪球结构期权产品+75%固定收益类产品</t>
  </si>
  <si>
    <t>合计</t>
  </si>
  <si>
    <t>预计敲出票息总收益</t>
  </si>
  <si>
    <t>尚未到达敲出线上</t>
  </si>
  <si>
    <t>君元1号</t>
  </si>
  <si>
    <t>编号</t>
  </si>
  <si>
    <t>结构类型</t>
  </si>
  <si>
    <t>名义本金（万）</t>
  </si>
  <si>
    <t>期初
价格</t>
  </si>
  <si>
    <t>下一敲出观察点位</t>
  </si>
  <si>
    <t>最后一个
早利观察日</t>
  </si>
  <si>
    <t>最后一个早利观察点位</t>
  </si>
  <si>
    <t>票息率</t>
  </si>
  <si>
    <t>已存续天数</t>
  </si>
  <si>
    <t>敲出预计票息收益(万）</t>
  </si>
  <si>
    <t>实际/试算
票息（截止到25.12.31）</t>
  </si>
  <si>
    <t>敲入点位</t>
  </si>
  <si>
    <t>当前点位</t>
  </si>
  <si>
    <t>敲出实际票息</t>
  </si>
  <si>
    <t>已到达敲出线上/高于敲入线尚未敲入</t>
  </si>
  <si>
    <t>降敲早利雪球</t>
  </si>
  <si>
    <t>（5252.39,7232.14）</t>
  </si>
  <si>
    <t>全保早利雪球</t>
  </si>
  <si>
    <t>（4938.25,7597.3）</t>
  </si>
  <si>
    <t>（5305.57,7579.38）</t>
  </si>
  <si>
    <t>（5246.60,7235.46）</t>
  </si>
  <si>
    <t>（5436.68,7248.9）</t>
  </si>
  <si>
    <t>（5285.29,7550.41）</t>
  </si>
  <si>
    <t>（5046.99，6452.65）</t>
  </si>
  <si>
    <t>（5185.65,6630.22）</t>
  </si>
  <si>
    <t>5
（已敲出）</t>
  </si>
  <si>
    <t>全保凤凰雪球</t>
  </si>
  <si>
    <t>NA</t>
  </si>
  <si>
    <r>
      <rPr>
        <sz val="10.5"/>
        <color theme="1"/>
        <rFont val="宋体"/>
        <charset val="134"/>
      </rPr>
      <t>派息价格</t>
    </r>
    <r>
      <rPr>
        <sz val="10.5"/>
        <color theme="1"/>
        <rFont val="Times New Roman"/>
        <charset val="134"/>
      </rPr>
      <t>:80%*</t>
    </r>
    <r>
      <rPr>
        <sz val="10.5"/>
        <color theme="1"/>
        <rFont val="宋体"/>
        <charset val="134"/>
      </rPr>
      <t>期初价格</t>
    </r>
  </si>
  <si>
    <t>每月0.8616%</t>
  </si>
  <si>
    <t>4
（已敲出）</t>
  </si>
  <si>
    <t>(4450.16,5689.85）</t>
  </si>
  <si>
    <t>3
（已敲出）</t>
  </si>
  <si>
    <t>（4418.73, 5649.66）</t>
  </si>
  <si>
    <t>2
（已敲出）</t>
  </si>
  <si>
    <t>降敲经典雪球</t>
  </si>
  <si>
    <t>1
（已敲出）</t>
  </si>
  <si>
    <t>实时行情</t>
  </si>
  <si>
    <t>敲出票息合计</t>
  </si>
  <si>
    <t>截止到2025年12月31日的收益</t>
  </si>
  <si>
    <t>试算票息收益（万元）</t>
  </si>
  <si>
    <t>收益率
（绝对）</t>
  </si>
  <si>
    <t>收益率
（年化）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</si>
</sst>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.00_);[Red]\(0.00\)"/>
    <numFmt numFmtId="179" formatCode="###,###,##0.00"/>
    <numFmt numFmtId="180" formatCode="0.0%"/>
    <numFmt numFmtId="181" formatCode="0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b/>
      <u/>
      <sz val="11"/>
      <color theme="9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6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13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right" vertical="center" wrapText="1" inden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right" vertical="center" wrapText="1" indent="1"/>
    </xf>
    <xf numFmtId="176" fontId="3" fillId="3" borderId="0" xfId="0" applyNumberFormat="1" applyFont="1" applyFill="1" applyBorder="1" applyAlignment="1">
      <alignment horizontal="right" vertical="center" wrapText="1" indent="1"/>
    </xf>
    <xf numFmtId="0" fontId="3" fillId="3" borderId="2" xfId="0" applyFont="1" applyFill="1" applyBorder="1" applyAlignment="1">
      <alignment horizontal="right" vertical="center" wrapText="1" indent="1"/>
    </xf>
    <xf numFmtId="10" fontId="3" fillId="3" borderId="2" xfId="0" applyNumberFormat="1" applyFont="1" applyFill="1" applyBorder="1" applyAlignment="1">
      <alignment horizontal="right" vertical="center" wrapText="1" indent="1"/>
    </xf>
    <xf numFmtId="10" fontId="3" fillId="3" borderId="3" xfId="0" applyNumberFormat="1" applyFont="1" applyFill="1" applyBorder="1" applyAlignment="1">
      <alignment horizontal="right" vertical="center" wrapText="1" indent="1"/>
    </xf>
    <xf numFmtId="0" fontId="0" fillId="2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 wrapText="1"/>
    </xf>
    <xf numFmtId="31" fontId="0" fillId="2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31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0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9" fontId="0" fillId="0" borderId="0" xfId="0" applyNumberFormat="1" applyAlignment="1">
      <alignment vertical="center" wrapText="1"/>
    </xf>
    <xf numFmtId="10" fontId="0" fillId="0" borderId="0" xfId="3" applyNumberFormat="1" applyAlignment="1">
      <alignment vertical="center" wrapText="1"/>
    </xf>
    <xf numFmtId="180" fontId="0" fillId="0" borderId="0" xfId="3" applyNumberFormat="1" applyAlignment="1">
      <alignment vertical="center" wrapText="1"/>
    </xf>
    <xf numFmtId="10" fontId="0" fillId="0" borderId="1" xfId="3" applyNumberFormat="1" applyBorder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9" fontId="0" fillId="2" borderId="1" xfId="0" applyNumberFormat="1" applyFill="1" applyBorder="1" applyAlignment="1">
      <alignment horizontal="left" vertical="center" wrapText="1"/>
    </xf>
    <xf numFmtId="176" fontId="0" fillId="2" borderId="0" xfId="0" applyNumberFormat="1" applyFill="1" applyAlignment="1">
      <alignment vertical="center" wrapText="1"/>
    </xf>
    <xf numFmtId="179" fontId="0" fillId="2" borderId="0" xfId="0" applyNumberFormat="1" applyFill="1" applyAlignment="1">
      <alignment vertical="center" wrapText="1"/>
    </xf>
    <xf numFmtId="10" fontId="0" fillId="2" borderId="0" xfId="3" applyNumberFormat="1" applyFill="1" applyAlignment="1">
      <alignment vertical="center" wrapText="1"/>
    </xf>
    <xf numFmtId="180" fontId="0" fillId="2" borderId="0" xfId="3" applyNumberFormat="1" applyFill="1" applyAlignment="1">
      <alignment vertical="center" wrapText="1"/>
    </xf>
    <xf numFmtId="10" fontId="0" fillId="0" borderId="1" xfId="0" applyNumberFormat="1" applyFont="1" applyFill="1" applyBorder="1" applyAlignment="1" applyProtection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10" fontId="0" fillId="0" borderId="0" xfId="0" applyNumberFormat="1" applyFont="1" applyFill="1" applyAlignment="1" applyProtection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43" fontId="2" fillId="4" borderId="0" xfId="0" applyNumberFormat="1" applyFont="1" applyFill="1" applyAlignment="1">
      <alignment vertical="center" wrapText="1"/>
    </xf>
    <xf numFmtId="176" fontId="2" fillId="4" borderId="0" xfId="0" applyNumberFormat="1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vertical="center" wrapText="1"/>
    </xf>
    <xf numFmtId="31" fontId="0" fillId="0" borderId="0" xfId="0" applyNumberFormat="1" applyAlignment="1">
      <alignment vertical="center" wrapText="1"/>
    </xf>
    <xf numFmtId="3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0" borderId="6" xfId="0" applyFont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right" vertical="center" wrapText="1" indent="1"/>
    </xf>
    <xf numFmtId="176" fontId="5" fillId="6" borderId="2" xfId="0" applyNumberFormat="1" applyFont="1" applyFill="1" applyBorder="1" applyAlignment="1">
      <alignment horizontal="right" vertical="center" wrapText="1" indent="1"/>
    </xf>
    <xf numFmtId="0" fontId="0" fillId="7" borderId="0" xfId="0" applyFill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Alignment="1">
      <alignment horizontal="right" vertical="center" indent="1"/>
    </xf>
    <xf numFmtId="181" fontId="0" fillId="0" borderId="0" xfId="0" applyNumberFormat="1" applyAlignment="1">
      <alignment horizontal="center" vertical="center"/>
    </xf>
    <xf numFmtId="181" fontId="0" fillId="6" borderId="0" xfId="0" applyNumberFormat="1" applyFill="1" applyAlignment="1">
      <alignment horizontal="center" vertical="center"/>
    </xf>
    <xf numFmtId="43" fontId="6" fillId="8" borderId="0" xfId="17" applyNumberFormat="1" applyFont="1" applyFill="1" applyBorder="1" applyAlignment="1">
      <alignment horizontal="right" vertical="center" indent="1"/>
    </xf>
    <xf numFmtId="10" fontId="2" fillId="0" borderId="0" xfId="0" applyNumberFormat="1" applyFont="1" applyAlignment="1">
      <alignment horizontal="right" vertical="center" indent="1"/>
    </xf>
    <xf numFmtId="0" fontId="1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3" fontId="6" fillId="2" borderId="7" xfId="17" applyNumberFormat="1" applyFont="1" applyFill="1" applyBorder="1" applyAlignment="1">
      <alignment horizontal="center" vertical="center"/>
    </xf>
    <xf numFmtId="10" fontId="2" fillId="2" borderId="0" xfId="0" applyNumberFormat="1" applyFont="1" applyFill="1" applyAlignment="1">
      <alignment horizontal="right" vertical="center" indent="1"/>
    </xf>
    <xf numFmtId="0" fontId="7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center" vertical="center"/>
    </xf>
    <xf numFmtId="43" fontId="6" fillId="2" borderId="8" xfId="17" applyNumberFormat="1" applyFont="1" applyFill="1" applyBorder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right" vertical="center"/>
    </xf>
    <xf numFmtId="0" fontId="6" fillId="2" borderId="0" xfId="17" applyFont="1" applyFill="1" applyBorder="1">
      <alignment vertical="center"/>
    </xf>
    <xf numFmtId="0" fontId="0" fillId="2" borderId="0" xfId="0" applyFill="1" applyAlignment="1">
      <alignment horizontal="left" vertical="center" indent="1"/>
    </xf>
    <xf numFmtId="43" fontId="6" fillId="8" borderId="0" xfId="17" applyNumberFormat="1" applyFont="1" applyFill="1" applyBorder="1" applyAlignment="1">
      <alignment horizontal="right" vertical="center" inden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0" fontId="0" fillId="0" borderId="0" xfId="0" applyNumberFormat="1">
      <alignment vertical="center"/>
    </xf>
    <xf numFmtId="43" fontId="2" fillId="4" borderId="0" xfId="0" applyNumberFormat="1" applyFont="1" applyFill="1">
      <alignment vertical="center"/>
    </xf>
    <xf numFmtId="181" fontId="2" fillId="4" borderId="0" xfId="0" applyNumberFormat="1" applyFont="1" applyFill="1" applyAlignment="1">
      <alignment horizontal="right" vertical="center"/>
    </xf>
    <xf numFmtId="176" fontId="2" fillId="4" borderId="0" xfId="0" applyNumberFormat="1" applyFont="1" applyFill="1" applyAlignment="1">
      <alignment horizontal="right" vertical="center"/>
    </xf>
    <xf numFmtId="0" fontId="1" fillId="9" borderId="0" xfId="0" applyFont="1" applyFill="1" applyAlignment="1">
      <alignment horizontal="right" vertical="center" indent="1"/>
    </xf>
    <xf numFmtId="10" fontId="2" fillId="10" borderId="0" xfId="0" applyNumberFormat="1" applyFont="1" applyFill="1" applyAlignment="1">
      <alignment horizontal="right" vertical="center" indent="1"/>
    </xf>
    <xf numFmtId="0" fontId="6" fillId="8" borderId="0" xfId="17" applyFont="1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vertical="center" wrapText="1"/>
    </xf>
    <xf numFmtId="10" fontId="0" fillId="0" borderId="1" xfId="3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9" tint="0.399945066682943"/>
        </patternFill>
      </fill>
    </dxf>
    <dxf>
      <fill>
        <patternFill patternType="solid">
          <bgColor theme="0" tint="-0.05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7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0.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 t="n">
        <v>8357.01</v>
        <stp/>
        <stp>000852.SH</stp>
        <stp>rt_last</stp>
        <stp>RT_Price</stp>
        <tr r="Q21" s="1"/>
        <tr r="Q20" s="1"/>
        <tr r="Q23" s="1"/>
        <tr r="Q27" s="1"/>
        <tr r="Q28" s="1"/>
        <tr r="Q26" s="1"/>
      </tp>
    </main>
    <main first="WDF.RTQ">
      <tp t="n">
        <v>8249.13</v>
        <stp/>
        <stp>000905.SH</stp>
        <stp>rt_last</stp>
        <stp>RT_Price</stp>
        <tr r="Q25" s="1"/>
        <tr r="Q24" s="1"/>
      </tp>
    </main>
  </volType>
</volType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47"/>
  <sheetViews>
    <sheetView tabSelected="1" zoomScale="80" zoomScaleNormal="80" topLeftCell="A21" workbookViewId="0">
      <selection activeCell="J46" sqref="J46"/>
    </sheetView>
  </sheetViews>
  <sheetFormatPr defaultColWidth="9" defaultRowHeight="13.5"/>
  <cols>
    <col min="1" max="1" width="5.375" style="4" customWidth="1"/>
    <col min="2" max="2" width="20.375" style="4" customWidth="1"/>
    <col min="3" max="3" width="10.375" style="4" customWidth="1"/>
    <col min="4" max="4" width="14.4333333333333" style="4" customWidth="1"/>
    <col min="5" max="5" width="15" style="4" customWidth="1"/>
    <col min="6" max="6" width="17.65" style="4" customWidth="1"/>
    <col min="7" max="7" width="11.25" style="4" customWidth="1"/>
    <col min="8" max="8" width="15.9666666666667" style="4" customWidth="1"/>
    <col min="9" max="9" width="15.625" style="4" customWidth="1"/>
    <col min="10" max="10" width="20.375" style="4" customWidth="1"/>
    <col min="11" max="11" width="25.2083333333333" style="4" customWidth="1"/>
    <col min="12" max="12" width="9.625" style="4"/>
    <col min="13" max="13" width="9.525" style="4" customWidth="1"/>
    <col min="14" max="14" width="10.375" style="4"/>
    <col min="15" max="15" width="17.025" style="4" hidden="1" customWidth="1"/>
    <col min="16" max="16" width="12.9166666666667" style="4" customWidth="1"/>
    <col min="17" max="17" width="16.25" style="4" customWidth="1"/>
    <col min="18" max="18" width="14.375" style="4" customWidth="1"/>
    <col min="19" max="19" width="11.25" style="4" customWidth="1"/>
    <col min="20" max="20" width="23.4666666666667" style="4" customWidth="1"/>
    <col min="21" max="21" width="20.7833333333333" style="4" customWidth="1"/>
    <col min="22" max="22" width="12.125" style="4" customWidth="1"/>
    <col min="23" max="23" width="13" style="4" customWidth="1"/>
    <col min="24" max="24" width="15.8333333333333" style="4" customWidth="1"/>
    <col min="25" max="25" width="12.0833333333333" style="4" customWidth="1"/>
    <col min="26" max="26" width="8.95833333333333" style="4" customWidth="1"/>
    <col min="27" max="28" width="10.8333333333333" style="4" customWidth="1"/>
    <col min="29" max="29" width="10.5" style="4" customWidth="1"/>
    <col min="30" max="30" width="10.625" style="4" customWidth="1"/>
    <col min="31" max="31" width="11.25" style="4" customWidth="1"/>
    <col min="32" max="32" width="10.875" style="4" customWidth="1"/>
    <col min="33" max="16384" width="9" style="4"/>
  </cols>
  <sheetData>
    <row r="1" ht="15" hidden="1" customHeight="1" spans="1:32">
      <c r="AC1" s="5">
        <f ca="1">TODAY()</f>
        <v>46034</v>
      </c>
      <c r="AD1" s="6"/>
      <c r="AE1" s="6"/>
      <c r="AF1" s="6"/>
    </row>
    <row r="2" ht="54" hidden="1" customHeight="1" spans="1:32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9" t="s">
        <v>23</v>
      </c>
      <c r="Y2" s="10" t="s">
        <v>24</v>
      </c>
      <c r="Z2" s="8" t="s">
        <v>25</v>
      </c>
      <c r="AA2" s="8" t="s">
        <v>26</v>
      </c>
      <c r="AB2" s="11" t="s">
        <v>27</v>
      </c>
      <c r="AC2" s="11" t="s">
        <v>28</v>
      </c>
      <c r="AD2" s="12" t="s">
        <v>29</v>
      </c>
      <c r="AE2" s="13" t="s">
        <v>30</v>
      </c>
    </row>
    <row r="3" s="1" customFormat="1" ht="62" hidden="1" customHeight="1" spans="1:32">
      <c r="A3" s="14">
        <v>1</v>
      </c>
      <c r="B3" s="14" t="s">
        <v>31</v>
      </c>
      <c r="C3" s="15">
        <v>1</v>
      </c>
      <c r="D3" s="14" t="s">
        <v>32</v>
      </c>
      <c r="E3" s="14">
        <v>1500</v>
      </c>
      <c r="F3" s="14" t="s">
        <v>33</v>
      </c>
      <c r="G3" s="16" t="s">
        <v>34</v>
      </c>
      <c r="H3" s="17">
        <v>45765</v>
      </c>
      <c r="I3" s="18" t="s">
        <v>35</v>
      </c>
      <c r="J3" s="18" t="s">
        <v>36</v>
      </c>
      <c r="K3" s="19" t="s">
        <v>37</v>
      </c>
      <c r="L3" s="14">
        <v>5829.03</v>
      </c>
      <c r="M3" s="15">
        <v>1</v>
      </c>
      <c r="N3" s="15">
        <v>0.75</v>
      </c>
      <c r="O3" s="14">
        <v>4371.7725</v>
      </c>
      <c r="P3" s="15">
        <v>0.3</v>
      </c>
      <c r="Q3" s="15" t="s">
        <v>38</v>
      </c>
      <c r="R3" s="15" t="s">
        <v>38</v>
      </c>
      <c r="S3" s="14" t="s">
        <v>39</v>
      </c>
      <c r="T3" s="14" t="s">
        <v>40</v>
      </c>
      <c r="U3" s="14" t="s">
        <v>41</v>
      </c>
      <c r="V3" s="17">
        <v>45680</v>
      </c>
      <c r="W3" s="17">
        <v>45680</v>
      </c>
      <c r="X3" s="17" t="s">
        <v>38</v>
      </c>
      <c r="Y3" s="20">
        <f>(15293855.76-15000000)/10000</f>
        <v>29.385576</v>
      </c>
      <c r="Z3" s="21">
        <f>(15293855.76-15000000)/15000000</f>
        <v>0.019590384</v>
      </c>
      <c r="AA3" s="21">
        <f>Z3/3*12</f>
        <v>0.0783615359999999</v>
      </c>
      <c r="AB3" s="1" t="s">
        <v>38</v>
      </c>
      <c r="AC3" s="1" t="s">
        <v>38</v>
      </c>
      <c r="AD3" s="1" t="s">
        <v>38</v>
      </c>
      <c r="AE3" s="1" t="s">
        <v>38</v>
      </c>
    </row>
    <row r="4" s="1" customFormat="1" ht="54" hidden="1" customHeight="1" spans="1:32">
      <c r="A4" s="14">
        <v>2</v>
      </c>
      <c r="B4" s="14" t="s">
        <v>42</v>
      </c>
      <c r="C4" s="15">
        <v>1</v>
      </c>
      <c r="D4" s="14" t="s">
        <v>32</v>
      </c>
      <c r="E4" s="14">
        <v>1400</v>
      </c>
      <c r="F4" s="14" t="s">
        <v>33</v>
      </c>
      <c r="G4" s="16" t="s">
        <v>43</v>
      </c>
      <c r="H4" s="17">
        <v>45856</v>
      </c>
      <c r="I4" s="18" t="s">
        <v>35</v>
      </c>
      <c r="J4" s="18" t="s">
        <v>44</v>
      </c>
      <c r="K4" s="19" t="s">
        <v>45</v>
      </c>
      <c r="L4" s="14">
        <v>5560.72</v>
      </c>
      <c r="M4" s="15">
        <v>1</v>
      </c>
      <c r="N4" s="15">
        <v>0.7</v>
      </c>
      <c r="O4" s="14">
        <v>3892.5</v>
      </c>
      <c r="P4" s="15">
        <v>0.3</v>
      </c>
      <c r="Q4" s="15" t="s">
        <v>38</v>
      </c>
      <c r="R4" s="15" t="s">
        <v>38</v>
      </c>
      <c r="S4" s="15" t="s">
        <v>46</v>
      </c>
      <c r="T4" s="14" t="s">
        <v>40</v>
      </c>
      <c r="U4" s="14" t="s">
        <v>41</v>
      </c>
      <c r="V4" s="17">
        <v>45762</v>
      </c>
      <c r="W4" s="17">
        <v>45762</v>
      </c>
      <c r="X4" s="17" t="s">
        <v>38</v>
      </c>
      <c r="Y4" s="20">
        <f>(14328877.47-14000000)/10000</f>
        <v>32.8877470000001</v>
      </c>
      <c r="Z4" s="21">
        <f>(14328877.47-14000000)/14000000</f>
        <v>0.0234912478571429</v>
      </c>
      <c r="AA4" s="21">
        <f>Z4/3*12</f>
        <v>0.0939649914285716</v>
      </c>
      <c r="AB4" s="1" t="s">
        <v>38</v>
      </c>
      <c r="AC4" s="1" t="s">
        <v>38</v>
      </c>
      <c r="AD4" s="1" t="s">
        <v>38</v>
      </c>
      <c r="AE4" s="1" t="s">
        <v>38</v>
      </c>
    </row>
    <row r="5" ht="63" hidden="1" customHeight="1" spans="1:32">
      <c r="A5" s="7">
        <v>3</v>
      </c>
      <c r="B5" s="7" t="s">
        <v>47</v>
      </c>
      <c r="C5" s="22">
        <v>1</v>
      </c>
      <c r="D5" s="7" t="s">
        <v>32</v>
      </c>
      <c r="E5" s="7">
        <v>1055</v>
      </c>
      <c r="F5" s="7" t="s">
        <v>48</v>
      </c>
      <c r="G5" s="23" t="s">
        <v>43</v>
      </c>
      <c r="H5" s="24">
        <v>45917</v>
      </c>
      <c r="I5" s="25" t="s">
        <v>35</v>
      </c>
      <c r="J5" s="25" t="s">
        <v>49</v>
      </c>
      <c r="K5" s="26" t="s">
        <v>50</v>
      </c>
      <c r="L5" s="7">
        <v>5750.91</v>
      </c>
      <c r="M5" s="27" t="s">
        <v>51</v>
      </c>
      <c r="N5" s="22">
        <v>0.7</v>
      </c>
      <c r="O5" s="7">
        <v>4025.64</v>
      </c>
      <c r="P5" s="28">
        <v>0.107</v>
      </c>
      <c r="Q5" s="22" t="s">
        <v>38</v>
      </c>
      <c r="R5" s="22" t="s">
        <v>38</v>
      </c>
      <c r="S5" s="7" t="s">
        <v>39</v>
      </c>
      <c r="T5" s="7" t="s">
        <v>40</v>
      </c>
      <c r="U5" s="7" t="s">
        <v>41</v>
      </c>
      <c r="V5" s="24">
        <v>45813</v>
      </c>
      <c r="W5" s="24">
        <v>45825</v>
      </c>
      <c r="X5" s="29">
        <f>(H5-W5+1)/365*P5*E5</f>
        <v>28.7624794520548</v>
      </c>
      <c r="Y5" s="29"/>
      <c r="Z5" s="25" t="s">
        <v>38</v>
      </c>
      <c r="AA5" s="25" t="s">
        <v>38</v>
      </c>
      <c r="AB5" s="4">
        <f>O5</f>
        <v>4025.64</v>
      </c>
      <c r="AC5" s="30">
        <f>RTD("WDF.RTQ",,G5,"rt_last","RT_Price")</f>
        <v>7458.94</v>
      </c>
      <c r="AD5" s="31">
        <f>(L5/AC5)-1</f>
        <v>-0.228990982632921</v>
      </c>
      <c r="AE5" s="32">
        <f>(AC5/AB5)-1</f>
        <v>0.852858179072148</v>
      </c>
    </row>
    <row r="6" ht="57" hidden="1" customHeight="1" spans="1:32">
      <c r="A6" s="7">
        <v>4</v>
      </c>
      <c r="B6" s="7" t="s">
        <v>52</v>
      </c>
      <c r="C6" s="22">
        <v>1</v>
      </c>
      <c r="D6" s="7" t="s">
        <v>32</v>
      </c>
      <c r="E6" s="7">
        <v>1500</v>
      </c>
      <c r="F6" s="7" t="s">
        <v>33</v>
      </c>
      <c r="G6" s="23" t="s">
        <v>34</v>
      </c>
      <c r="H6" s="24">
        <v>45974</v>
      </c>
      <c r="I6" s="25" t="s">
        <v>35</v>
      </c>
      <c r="J6" s="25" t="s">
        <v>53</v>
      </c>
      <c r="K6" s="26" t="s">
        <v>54</v>
      </c>
      <c r="L6" s="7">
        <v>6151.01</v>
      </c>
      <c r="M6" s="22">
        <v>1</v>
      </c>
      <c r="N6" s="22">
        <v>0.7</v>
      </c>
      <c r="O6" s="7">
        <v>4305.71</v>
      </c>
      <c r="P6" s="22">
        <v>0.32</v>
      </c>
      <c r="Q6" s="22" t="s">
        <v>38</v>
      </c>
      <c r="R6" s="22" t="s">
        <v>38</v>
      </c>
      <c r="S6" s="22" t="s">
        <v>55</v>
      </c>
      <c r="T6" s="7" t="s">
        <v>56</v>
      </c>
      <c r="U6" s="7" t="s">
        <v>41</v>
      </c>
      <c r="V6" s="24">
        <v>45786</v>
      </c>
      <c r="W6" s="24">
        <v>45790</v>
      </c>
      <c r="X6" s="29">
        <f>(H6-W6+1)/365*P6*E6*0.25</f>
        <v>60.8219178082192</v>
      </c>
      <c r="Y6" s="29"/>
      <c r="Z6" s="25" t="s">
        <v>38</v>
      </c>
      <c r="AA6" s="25" t="s">
        <v>38</v>
      </c>
      <c r="AB6" s="4">
        <f>O6</f>
        <v>4305.71</v>
      </c>
      <c r="AC6" s="30">
        <f>RTD("WDF.RTQ",,G6,"rt_last","RT_Price")</f>
        <v>7597.3</v>
      </c>
      <c r="AD6" s="31">
        <f>(L6/AC6)-1</f>
        <v>-0.190368946862701</v>
      </c>
      <c r="AE6" s="32">
        <f>(AC6/AB6)-1</f>
        <v>0.764470900269642</v>
      </c>
    </row>
    <row r="7" ht="57" hidden="1" customHeight="1" spans="1:32">
      <c r="A7" s="7">
        <v>6</v>
      </c>
      <c r="B7" s="7" t="s">
        <v>57</v>
      </c>
      <c r="C7" s="22">
        <v>1</v>
      </c>
      <c r="D7" s="7" t="s">
        <v>32</v>
      </c>
      <c r="E7" s="7">
        <v>2000</v>
      </c>
      <c r="F7" s="7" t="s">
        <v>58</v>
      </c>
      <c r="G7" s="23" t="s">
        <v>34</v>
      </c>
      <c r="H7" s="24">
        <v>45987</v>
      </c>
      <c r="I7" s="25" t="s">
        <v>35</v>
      </c>
      <c r="J7" s="25" t="s">
        <v>59</v>
      </c>
      <c r="K7" s="26" t="s">
        <v>60</v>
      </c>
      <c r="L7" s="7">
        <v>7476.47</v>
      </c>
      <c r="M7" s="27" t="s">
        <v>61</v>
      </c>
      <c r="N7" s="22">
        <v>0.7</v>
      </c>
      <c r="O7" s="7">
        <f>L7*0.7</f>
        <v>5233.529</v>
      </c>
      <c r="P7" s="33">
        <v>0.065</v>
      </c>
      <c r="Q7" s="28">
        <v>0.325</v>
      </c>
      <c r="R7" s="28">
        <v>0.065</v>
      </c>
      <c r="S7" s="7" t="s">
        <v>39</v>
      </c>
      <c r="T7" s="7" t="s">
        <v>40</v>
      </c>
      <c r="U7" s="7" t="s">
        <v>41</v>
      </c>
      <c r="V7" s="24">
        <v>45895</v>
      </c>
      <c r="W7" s="24">
        <v>45895</v>
      </c>
      <c r="X7" s="29">
        <f>(H7-W7+1)/365*Q7*E7*25%</f>
        <v>41.4041095890411</v>
      </c>
      <c r="Y7" s="29"/>
      <c r="Z7" s="25" t="s">
        <v>38</v>
      </c>
      <c r="AA7" s="25" t="s">
        <v>38</v>
      </c>
      <c r="AB7" s="34">
        <f>O7</f>
        <v>5233.529</v>
      </c>
      <c r="AC7" s="30">
        <f>RTD("WDF.RTQ",,G6,"rt_last","RT_Price")</f>
        <v>7597.3</v>
      </c>
      <c r="AD7" s="31">
        <f>(L7/AC7)-1</f>
        <v>-0.0159043344346017</v>
      </c>
      <c r="AE7" s="32">
        <f>(AC7/AB7)-1</f>
        <v>0.451659100389049</v>
      </c>
    </row>
    <row r="8" s="1" customFormat="1" ht="55" hidden="1" customHeight="1" spans="1:32">
      <c r="A8" s="14">
        <v>7</v>
      </c>
      <c r="B8" s="14" t="s">
        <v>62</v>
      </c>
      <c r="C8" s="15">
        <v>1</v>
      </c>
      <c r="D8" s="14" t="s">
        <v>32</v>
      </c>
      <c r="E8" s="14">
        <v>1000</v>
      </c>
      <c r="F8" s="14" t="s">
        <v>33</v>
      </c>
      <c r="G8" s="16" t="s">
        <v>34</v>
      </c>
      <c r="H8" s="17">
        <v>45968</v>
      </c>
      <c r="I8" s="18" t="s">
        <v>35</v>
      </c>
      <c r="J8" s="18" t="s">
        <v>63</v>
      </c>
      <c r="K8" s="19" t="s">
        <v>64</v>
      </c>
      <c r="L8" s="14">
        <v>6670.47</v>
      </c>
      <c r="M8" s="35" t="s">
        <v>51</v>
      </c>
      <c r="N8" s="15">
        <v>0.65</v>
      </c>
      <c r="O8" s="14">
        <f>N8*L8</f>
        <v>4335.8055</v>
      </c>
      <c r="P8" s="21">
        <v>0.26</v>
      </c>
      <c r="Q8" s="15" t="s">
        <v>38</v>
      </c>
      <c r="R8" s="15" t="s">
        <v>38</v>
      </c>
      <c r="S8" s="14" t="s">
        <v>39</v>
      </c>
      <c r="T8" s="14" t="s">
        <v>40</v>
      </c>
      <c r="U8" s="14" t="s">
        <v>41</v>
      </c>
      <c r="V8" s="17">
        <v>45870</v>
      </c>
      <c r="W8" s="17">
        <v>45870</v>
      </c>
      <c r="X8" s="20">
        <f>(H8-V8+1)/365*P8*E8*0.25</f>
        <v>17.6301369863014</v>
      </c>
      <c r="Y8" s="20"/>
      <c r="Z8" s="18" t="s">
        <v>38</v>
      </c>
      <c r="AA8" s="18" t="s">
        <v>38</v>
      </c>
      <c r="AB8" s="36">
        <f>O8</f>
        <v>4335.8055</v>
      </c>
      <c r="AC8" s="37">
        <f>RTD("WDF.RTQ",,G7,"rt_last","RT_Price")</f>
        <v>7597.3</v>
      </c>
      <c r="AD8" s="38">
        <f>(L8/AC8)-1</f>
        <v>-0.121994655996209</v>
      </c>
      <c r="AE8" s="39">
        <f>(AC8/AB8)-1</f>
        <v>0.752223433454291</v>
      </c>
    </row>
    <row r="9" ht="57" hidden="1" customHeight="1" spans="1:32">
      <c r="A9" s="7">
        <v>8</v>
      </c>
      <c r="B9" s="7" t="s">
        <v>65</v>
      </c>
      <c r="C9" s="22">
        <v>1</v>
      </c>
      <c r="D9" s="7" t="s">
        <v>32</v>
      </c>
      <c r="E9" s="7">
        <f>1000+200</f>
        <v>1200</v>
      </c>
      <c r="F9" s="7" t="s">
        <v>66</v>
      </c>
      <c r="G9" s="23" t="s">
        <v>34</v>
      </c>
      <c r="H9" s="24">
        <v>46007</v>
      </c>
      <c r="I9" s="25" t="s">
        <v>35</v>
      </c>
      <c r="J9" s="25" t="s">
        <v>67</v>
      </c>
      <c r="K9" s="26" t="s">
        <v>68</v>
      </c>
      <c r="L9" s="7">
        <v>7483.63</v>
      </c>
      <c r="M9" s="27" t="s">
        <v>51</v>
      </c>
      <c r="N9" s="22">
        <v>0.7</v>
      </c>
      <c r="O9" s="7">
        <f>L9*N9</f>
        <v>5238.541</v>
      </c>
      <c r="P9" s="40">
        <v>0.1056</v>
      </c>
      <c r="Q9" s="41" t="s">
        <v>69</v>
      </c>
      <c r="R9" s="42"/>
      <c r="S9" s="7" t="s">
        <v>39</v>
      </c>
      <c r="T9" s="7" t="s">
        <v>40</v>
      </c>
      <c r="U9" s="7" t="s">
        <v>41</v>
      </c>
      <c r="V9" s="24">
        <v>45916</v>
      </c>
      <c r="W9" s="24">
        <v>45916</v>
      </c>
      <c r="X9" s="29">
        <f>0.88%*3*E9</f>
        <v>31.68</v>
      </c>
      <c r="Y9" s="29"/>
      <c r="Z9" s="25"/>
      <c r="AA9" s="25"/>
      <c r="AB9" s="4">
        <f>O9</f>
        <v>5238.541</v>
      </c>
      <c r="AC9" s="30">
        <f>RTD("WDF.RTQ",,G8,"rt_last","RT_Price")</f>
        <v>7597.3</v>
      </c>
      <c r="AD9" s="31">
        <f>(L9/AC9)-1</f>
        <v>-0.0149618943572059</v>
      </c>
      <c r="AE9" s="32">
        <f>(AC9/AB9)-1</f>
        <v>0.450270218368053</v>
      </c>
    </row>
    <row r="10" ht="57" hidden="1" customHeight="1" spans="1:32">
      <c r="A10" s="6">
        <v>9</v>
      </c>
      <c r="B10" s="7" t="s">
        <v>52</v>
      </c>
      <c r="C10" s="22">
        <v>1</v>
      </c>
      <c r="D10" s="7" t="s">
        <v>32</v>
      </c>
      <c r="E10" s="7">
        <v>1500</v>
      </c>
      <c r="F10" s="7" t="s">
        <v>70</v>
      </c>
      <c r="G10" s="23" t="s">
        <v>34</v>
      </c>
      <c r="H10" s="43"/>
      <c r="I10" s="25" t="s">
        <v>35</v>
      </c>
      <c r="J10" s="44"/>
      <c r="K10" s="45"/>
      <c r="L10" s="6"/>
      <c r="M10" s="46"/>
      <c r="N10" s="47"/>
      <c r="O10" s="6"/>
      <c r="P10" s="48"/>
      <c r="Q10" s="47"/>
      <c r="R10" s="47"/>
      <c r="S10" s="7" t="s">
        <v>39</v>
      </c>
      <c r="T10" s="7" t="s">
        <v>40</v>
      </c>
      <c r="U10" s="7" t="s">
        <v>41</v>
      </c>
      <c r="V10" s="24">
        <v>45980</v>
      </c>
      <c r="W10" s="24">
        <v>45980</v>
      </c>
      <c r="X10" s="49"/>
      <c r="Y10" s="49"/>
      <c r="Z10" s="44"/>
      <c r="AA10" s="44"/>
      <c r="AC10" s="30"/>
      <c r="AD10" s="31"/>
      <c r="AE10" s="32"/>
    </row>
    <row r="11" hidden="1" spans="1:32">
      <c r="A11" s="4" t="s">
        <v>71</v>
      </c>
      <c r="D11" s="50" t="s">
        <v>71</v>
      </c>
      <c r="E11" s="51">
        <f>SUM(E3:E9)</f>
        <v>9655</v>
      </c>
      <c r="X11" s="50" t="s">
        <v>71</v>
      </c>
      <c r="Y11" s="52">
        <f>SUM(X3:Y9)</f>
        <v>242.571966835617</v>
      </c>
    </row>
    <row r="13" ht="27" spans="1:32">
      <c r="X13" s="53" t="s">
        <v>72</v>
      </c>
      <c r="Y13" s="54">
        <f>Y11+N41</f>
        <v>1316.16719971233</v>
      </c>
    </row>
    <row r="14" spans="1:32">
      <c r="X14" s="53"/>
      <c r="Y14" s="54"/>
    </row>
    <row r="15" spans="1:32">
      <c r="X15" s="53"/>
      <c r="Y15" s="54"/>
    </row>
    <row r="16" spans="1:32">
      <c r="X16" s="53"/>
      <c r="Y16" s="54"/>
    </row>
    <row r="17" spans="1:31">
      <c r="K17" s="55">
        <v>46022</v>
      </c>
    </row>
    <row r="18" customFormat="1" ht="29" customHeight="1" spans="1:31">
      <c r="A18" s="56">
        <f ca="1">TODAY()</f>
        <v>46034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AD18" s="58"/>
      <c r="AE18" s="59" t="s">
        <v>73</v>
      </c>
    </row>
    <row r="19" s="2" customFormat="1" ht="61" customHeight="1" spans="1:31">
      <c r="A19" s="60" t="s">
        <v>74</v>
      </c>
      <c r="B19" s="11" t="s">
        <v>75</v>
      </c>
      <c r="C19" s="11" t="s">
        <v>6</v>
      </c>
      <c r="D19" s="11" t="s">
        <v>76</v>
      </c>
      <c r="E19" s="11" t="s">
        <v>77</v>
      </c>
      <c r="F19" s="11" t="s">
        <v>22</v>
      </c>
      <c r="G19" s="11" t="s">
        <v>78</v>
      </c>
      <c r="H19" s="11" t="s">
        <v>7</v>
      </c>
      <c r="I19" s="11" t="s">
        <v>79</v>
      </c>
      <c r="J19" s="11" t="s">
        <v>80</v>
      </c>
      <c r="K19" s="11" t="s">
        <v>81</v>
      </c>
      <c r="L19" s="11" t="s">
        <v>82</v>
      </c>
      <c r="M19" s="61" t="s">
        <v>83</v>
      </c>
      <c r="N19" s="9" t="s">
        <v>84</v>
      </c>
      <c r="O19" s="62" t="s">
        <v>85</v>
      </c>
      <c r="P19" s="11" t="s">
        <v>86</v>
      </c>
      <c r="Q19" s="11" t="s">
        <v>87</v>
      </c>
      <c r="R19" s="12" t="s">
        <v>29</v>
      </c>
      <c r="S19" s="13" t="s">
        <v>30</v>
      </c>
      <c r="T19" s="13" t="s">
        <v>88</v>
      </c>
      <c r="AD19" s="63"/>
      <c r="AE19" s="64" t="s">
        <v>89</v>
      </c>
    </row>
    <row r="20" customFormat="1" ht="19" customHeight="1" spans="1:31">
      <c r="A20" s="65"/>
      <c r="B20" s="66">
        <v>13</v>
      </c>
      <c r="C20" s="67" t="s">
        <v>34</v>
      </c>
      <c r="D20" s="68" t="s">
        <v>90</v>
      </c>
      <c r="E20" s="66">
        <v>3000</v>
      </c>
      <c r="F20" s="69">
        <v>46031</v>
      </c>
      <c r="G20" s="70">
        <v>8080.6</v>
      </c>
      <c r="H20" s="69">
        <v>46121</v>
      </c>
      <c r="I20" s="66">
        <f>G20</f>
        <v>8080.6</v>
      </c>
      <c r="J20" s="69">
        <v>46762</v>
      </c>
      <c r="K20" s="71" t="s">
        <v>91</v>
      </c>
      <c r="L20" s="72">
        <v>0.275</v>
      </c>
      <c r="M20" s="73">
        <f ca="1">TODAY()-F20+1</f>
        <v>4</v>
      </c>
      <c r="N20" s="70">
        <f>(H20-F20+1)/365*L20*E20</f>
        <v>205.684931506849</v>
      </c>
      <c r="O20" s="74"/>
      <c r="P20" s="70">
        <f>I20*65%</f>
        <v>5252.39</v>
      </c>
      <c r="Q20" s="75">
        <f>RTD("WDF.RTQ",,C20,"rt_last","RT_Price")</f>
        <v>8357.01</v>
      </c>
      <c r="R20" s="76">
        <f>I20/Q20-1</f>
        <v>-0.0330752266659966</v>
      </c>
      <c r="S20" s="76">
        <f>Q20/P20-1</f>
        <v>0.591087105108341</v>
      </c>
    </row>
    <row r="21" customFormat="1" ht="19" customHeight="1" spans="1:31">
      <c r="A21" s="65"/>
      <c r="B21" s="66">
        <v>12</v>
      </c>
      <c r="C21" s="67" t="s">
        <v>34</v>
      </c>
      <c r="D21" s="68" t="s">
        <v>92</v>
      </c>
      <c r="E21" s="66">
        <v>2200</v>
      </c>
      <c r="F21" s="69">
        <v>46021</v>
      </c>
      <c r="G21" s="70">
        <v>7597.3</v>
      </c>
      <c r="H21" s="69">
        <v>46111</v>
      </c>
      <c r="I21" s="66">
        <f>G21</f>
        <v>7597.3</v>
      </c>
      <c r="J21" s="69">
        <v>46751</v>
      </c>
      <c r="K21" s="71" t="s">
        <v>93</v>
      </c>
      <c r="L21" s="72">
        <v>0.28</v>
      </c>
      <c r="M21" s="73">
        <f ca="1">TODAY()-F21+1</f>
        <v>14</v>
      </c>
      <c r="N21" s="70">
        <f>(H21-F21+1)/365*L21*E21</f>
        <v>153.578082191781</v>
      </c>
      <c r="O21" s="74">
        <f>($K$17-F21+1)/365*L21*E21</f>
        <v>3.37534246575342</v>
      </c>
      <c r="P21" s="70">
        <f>I21*65%</f>
        <v>4938.245</v>
      </c>
      <c r="Q21" s="75">
        <f>RTD("WDF.RTQ",,C21,"rt_last","RT_Price")</f>
        <v>8357.01</v>
      </c>
      <c r="R21" s="76">
        <f>I21/Q21-1</f>
        <v>-0.0909069152723283</v>
      </c>
      <c r="S21" s="76">
        <f>Q21/P21-1</f>
        <v>0.692303642285873</v>
      </c>
    </row>
    <row r="22" customFormat="1" ht="19" customHeight="1" spans="1:31">
      <c r="A22" s="65"/>
      <c r="B22" s="66">
        <v>11</v>
      </c>
      <c r="C22" s="67" t="s">
        <v>34</v>
      </c>
      <c r="D22" s="68" t="s">
        <v>92</v>
      </c>
      <c r="E22" s="66">
        <v>1000</v>
      </c>
      <c r="F22" s="69">
        <v>46016</v>
      </c>
      <c r="G22" s="70">
        <v>7579.38</v>
      </c>
      <c r="H22" s="69">
        <v>46078</v>
      </c>
      <c r="I22" s="66">
        <v>7579.38</v>
      </c>
      <c r="J22" s="69">
        <v>46748</v>
      </c>
      <c r="K22" s="71" t="s">
        <v>94</v>
      </c>
      <c r="L22" s="72">
        <v>0.32</v>
      </c>
      <c r="M22" s="73">
        <f ca="1">TODAY()-F22+1</f>
        <v>19</v>
      </c>
      <c r="N22" s="70">
        <f>(H22-F22+1)/365*L22*E22</f>
        <v>55.2328767123288</v>
      </c>
      <c r="O22" s="74"/>
      <c r="P22" s="70">
        <f>70%*G22</f>
        <v>5305.566</v>
      </c>
      <c r="Q22" s="75">
        <f>RTD("WDF.RTQ",,C22,"rt_last","RT_Price")</f>
        <v>8357.01</v>
      </c>
      <c r="R22" s="76">
        <f>I22/Q22-1</f>
        <v>-0.0930512228655943</v>
      </c>
      <c r="S22" s="76">
        <f>Q22/P22-1</f>
        <v>0.57514014527385</v>
      </c>
    </row>
    <row r="23" customFormat="1" ht="19" customHeight="1" spans="1:31">
      <c r="A23" s="65"/>
      <c r="B23" s="66">
        <v>10</v>
      </c>
      <c r="C23" s="67" t="s">
        <v>43</v>
      </c>
      <c r="D23" s="68" t="s">
        <v>92</v>
      </c>
      <c r="E23" s="66">
        <v>1000</v>
      </c>
      <c r="F23" s="69">
        <v>45975</v>
      </c>
      <c r="G23" s="70">
        <v>7235.46</v>
      </c>
      <c r="H23" s="69">
        <v>46077</v>
      </c>
      <c r="I23" s="66">
        <f>G23</f>
        <v>7235.46</v>
      </c>
      <c r="J23" s="69">
        <v>46706</v>
      </c>
      <c r="K23" s="71" t="s">
        <v>95</v>
      </c>
      <c r="L23" s="72">
        <v>0.3536</v>
      </c>
      <c r="M23" s="73">
        <f ca="1">TODAY()-F23+1</f>
        <v>60</v>
      </c>
      <c r="N23" s="70">
        <f>(H23-F23+1)/365*L23*E23</f>
        <v>99.7830136986301</v>
      </c>
      <c r="O23" s="74">
        <f>($K$17-F23+1)/365*L23*E23</f>
        <v>46.5008219178082</v>
      </c>
      <c r="P23" s="70">
        <f>G23*75%</f>
        <v>5426.595</v>
      </c>
      <c r="Q23" s="75">
        <f>RTD("WDF.RTQ",,C23,"rt_last","RT_Price")</f>
        <v>8249.13</v>
      </c>
      <c r="R23" s="76">
        <f>I23/Q23-1</f>
        <v>-0.122882049379753</v>
      </c>
      <c r="S23" s="76">
        <f>Q23/P23-1</f>
        <v>0.520130026287202</v>
      </c>
    </row>
    <row r="24" customFormat="1" ht="19" customHeight="1" spans="1:31">
      <c r="A24" s="65"/>
      <c r="B24" s="66">
        <v>9</v>
      </c>
      <c r="C24" s="67" t="s">
        <v>43</v>
      </c>
      <c r="D24" s="68" t="s">
        <v>92</v>
      </c>
      <c r="E24" s="66">
        <v>1000</v>
      </c>
      <c r="F24" s="69">
        <v>45964</v>
      </c>
      <c r="G24" s="70">
        <v>7248.9</v>
      </c>
      <c r="H24" s="69">
        <v>46056</v>
      </c>
      <c r="I24" s="66">
        <f>G24</f>
        <v>7248.9</v>
      </c>
      <c r="J24" s="69">
        <v>46694</v>
      </c>
      <c r="K24" s="71" t="s">
        <v>96</v>
      </c>
      <c r="L24" s="72">
        <v>0.363</v>
      </c>
      <c r="M24" s="73">
        <f ca="1">TODAY()-F24+1</f>
        <v>71</v>
      </c>
      <c r="N24" s="70">
        <f>(H24-F24+1)/365*L24*E24</f>
        <v>92.4904109589041</v>
      </c>
      <c r="O24" s="74">
        <f>($K$17-F24+1)/365*L24*E24</f>
        <v>58.6767123287671</v>
      </c>
      <c r="P24" s="70">
        <f>75%*I24</f>
        <v>5436.675</v>
      </c>
      <c r="Q24" s="75">
        <f>RTD("WDF.RTQ",,C24,"rt_last","RT_Price")</f>
        <v>8249.13</v>
      </c>
      <c r="R24" s="76">
        <f>I24/Q24-1</f>
        <v>-0.121252786657502</v>
      </c>
      <c r="S24" s="76">
        <f>Q24/P24-1</f>
        <v>0.51731159210363</v>
      </c>
    </row>
    <row r="25" customFormat="1" ht="19" customHeight="1" spans="1:31">
      <c r="A25" s="65"/>
      <c r="B25" s="66">
        <v>8</v>
      </c>
      <c r="C25" s="67" t="s">
        <v>34</v>
      </c>
      <c r="D25" s="68" t="s">
        <v>92</v>
      </c>
      <c r="E25" s="66">
        <v>1000</v>
      </c>
      <c r="F25" s="69">
        <v>45960</v>
      </c>
      <c r="G25" s="68">
        <v>7550.41</v>
      </c>
      <c r="H25" s="69">
        <v>46052</v>
      </c>
      <c r="I25" s="66">
        <f>G25</f>
        <v>7550.41</v>
      </c>
      <c r="J25" s="69">
        <v>46692</v>
      </c>
      <c r="K25" s="71" t="s">
        <v>97</v>
      </c>
      <c r="L25" s="72">
        <v>0.365</v>
      </c>
      <c r="M25" s="73">
        <f ca="1">TODAY()-F25+1</f>
        <v>75</v>
      </c>
      <c r="N25" s="70">
        <f>(H25-F25+1)/365*L25*E25</f>
        <v>93</v>
      </c>
      <c r="O25" s="74">
        <f>($K$17-F25+1)/365*L25*E25</f>
        <v>63</v>
      </c>
      <c r="P25" s="70">
        <f>I25*0.7</f>
        <v>5285.287</v>
      </c>
      <c r="Q25" s="75">
        <f>RTD("WDF.RTQ",,C25,"rt_last","RT_Price")</f>
        <v>8357.01</v>
      </c>
      <c r="R25" s="76">
        <f>I25/Q25-1</f>
        <v>-0.0965177737013597</v>
      </c>
      <c r="S25" s="76">
        <f>Q25/P25-1</f>
        <v>0.581183765422767</v>
      </c>
    </row>
    <row r="26" customFormat="1" ht="19" customHeight="1" spans="1:31">
      <c r="A26" s="65"/>
      <c r="B26" s="66">
        <v>7</v>
      </c>
      <c r="C26" s="67" t="s">
        <v>34</v>
      </c>
      <c r="D26" s="68" t="s">
        <v>90</v>
      </c>
      <c r="E26" s="66">
        <v>1000</v>
      </c>
      <c r="F26" s="69">
        <v>45953</v>
      </c>
      <c r="G26" s="68">
        <v>7209.67</v>
      </c>
      <c r="H26" s="69">
        <v>46045</v>
      </c>
      <c r="I26" s="66">
        <f>G26</f>
        <v>7209.67</v>
      </c>
      <c r="J26" s="69">
        <v>46685</v>
      </c>
      <c r="K26" s="69" t="s">
        <v>98</v>
      </c>
      <c r="L26" s="72">
        <v>0.2948</v>
      </c>
      <c r="M26" s="73">
        <f ca="1">TODAY()-F26+1</f>
        <v>82</v>
      </c>
      <c r="N26" s="70">
        <f>(H26-F26+1)/365*L26*E26</f>
        <v>75.1134246575343</v>
      </c>
      <c r="O26" s="74">
        <f>($K$17-F26+1)/365*L26*E26</f>
        <v>56.5369863013699</v>
      </c>
      <c r="P26" s="70">
        <f>I26*0.7</f>
        <v>5046.769</v>
      </c>
      <c r="Q26" s="75">
        <f>RTD("WDF.RTQ",,C26,"rt_last","RT_Price")</f>
        <v>8357.01</v>
      </c>
      <c r="R26" s="76">
        <f>I26/Q26-1</f>
        <v>-0.13729072957912</v>
      </c>
      <c r="S26" s="76">
        <f>Q26/P26-1</f>
        <v>0.655912921712882</v>
      </c>
    </row>
    <row r="27" customFormat="1" ht="19" customHeight="1" spans="1:31">
      <c r="A27" s="65"/>
      <c r="B27" s="66">
        <v>6</v>
      </c>
      <c r="C27" s="67" t="s">
        <v>34</v>
      </c>
      <c r="D27" s="68" t="s">
        <v>90</v>
      </c>
      <c r="E27" s="66">
        <v>1000</v>
      </c>
      <c r="F27" s="69">
        <v>45923</v>
      </c>
      <c r="G27" s="68">
        <v>7408.07</v>
      </c>
      <c r="H27" s="69">
        <v>46045</v>
      </c>
      <c r="I27" s="66">
        <f>G27</f>
        <v>7408.07</v>
      </c>
      <c r="J27" s="69">
        <v>46653</v>
      </c>
      <c r="K27" s="69" t="s">
        <v>99</v>
      </c>
      <c r="L27" s="72">
        <v>0.3023</v>
      </c>
      <c r="M27" s="73">
        <f ca="1">TODAY()-F27+1</f>
        <v>112</v>
      </c>
      <c r="N27" s="70">
        <f>(H27-F27+1)/365*L27*E27</f>
        <v>101.87095890411</v>
      </c>
      <c r="O27" s="74">
        <f>($K$17-F27+1)/365*L27*E27</f>
        <v>82.8219178082192</v>
      </c>
      <c r="P27" s="70">
        <f>G27*0.7</f>
        <v>5185.649</v>
      </c>
      <c r="Q27" s="75">
        <f>RTD("WDF.RTQ",,C27,"rt_last","RT_Price")</f>
        <v>8357.01</v>
      </c>
      <c r="R27" s="76">
        <f>I27/Q27-1</f>
        <v>-0.113550181225103</v>
      </c>
      <c r="S27" s="76">
        <f>Q27/P27-1</f>
        <v>0.611564916946751</v>
      </c>
    </row>
    <row r="28" s="3" customFormat="1" ht="20" customHeight="1" spans="1:31">
      <c r="A28" s="77"/>
      <c r="B28" s="78" t="s">
        <v>100</v>
      </c>
      <c r="C28" s="79" t="s">
        <v>34</v>
      </c>
      <c r="D28" s="80" t="s">
        <v>101</v>
      </c>
      <c r="E28" s="80">
        <v>1000</v>
      </c>
      <c r="F28" s="81">
        <v>45890</v>
      </c>
      <c r="G28" s="80">
        <v>7253.81</v>
      </c>
      <c r="H28" s="81">
        <v>46013</v>
      </c>
      <c r="I28" s="80">
        <f>G28</f>
        <v>7253.81</v>
      </c>
      <c r="J28" s="81">
        <v>46620</v>
      </c>
      <c r="K28" s="80" t="s">
        <v>102</v>
      </c>
      <c r="L28" s="82">
        <f>0.8616%*12</f>
        <v>0.103392</v>
      </c>
      <c r="M28" s="83">
        <f>H28-F28+1</f>
        <v>124</v>
      </c>
      <c r="N28" s="84">
        <f>4*0.8616%*1000</f>
        <v>34.464</v>
      </c>
      <c r="O28" s="83">
        <f>($K$17-F28+1)/365*L28*E28</f>
        <v>37.6743452054795</v>
      </c>
      <c r="P28" s="84">
        <f>I28*65%</f>
        <v>4714.9765</v>
      </c>
      <c r="Q28" s="85">
        <f>RTD("WDF.RTQ",,C28,"rt_last","RT_Price")</f>
        <v>8357.01</v>
      </c>
      <c r="R28" s="86">
        <f>I28/Q28-1</f>
        <v>-0.132008936210439</v>
      </c>
      <c r="S28" s="86">
        <f>Q28/P28-1</f>
        <v>0.772439374830394</v>
      </c>
      <c r="T28" s="85">
        <f>86160*4</f>
        <v>344640</v>
      </c>
      <c r="U28" s="87" t="s">
        <v>103</v>
      </c>
      <c r="V28" s="3">
        <f>80%*G28</f>
        <v>5803.048</v>
      </c>
    </row>
    <row r="29" s="3" customFormat="1" ht="18" customHeight="1" spans="1:31">
      <c r="A29" s="77"/>
      <c r="B29" s="88"/>
      <c r="C29" s="79"/>
      <c r="D29" s="80"/>
      <c r="E29" s="80">
        <v>-1000</v>
      </c>
      <c r="F29" s="81"/>
      <c r="G29" s="80"/>
      <c r="H29" s="81"/>
      <c r="I29" s="80"/>
      <c r="J29" s="81"/>
      <c r="K29" s="80"/>
      <c r="L29" s="82"/>
      <c r="M29" s="83"/>
      <c r="N29" s="84"/>
      <c r="O29" s="84"/>
      <c r="P29" s="84"/>
      <c r="Q29" s="89"/>
      <c r="R29" s="86"/>
      <c r="S29" s="86"/>
      <c r="T29" s="89"/>
      <c r="U29" s="3" t="s">
        <v>104</v>
      </c>
    </row>
    <row r="30" s="3" customFormat="1" ht="18" customHeight="1" spans="1:31">
      <c r="A30" s="77"/>
      <c r="B30" s="78" t="s">
        <v>105</v>
      </c>
      <c r="C30" s="79" t="s">
        <v>43</v>
      </c>
      <c r="D30" s="80" t="s">
        <v>90</v>
      </c>
      <c r="E30" s="80">
        <v>1000</v>
      </c>
      <c r="F30" s="81">
        <v>45875</v>
      </c>
      <c r="G30" s="80">
        <v>6357.38</v>
      </c>
      <c r="H30" s="81">
        <v>45967</v>
      </c>
      <c r="I30" s="80">
        <f>G30</f>
        <v>6357.38</v>
      </c>
      <c r="J30" s="81">
        <v>46605</v>
      </c>
      <c r="K30" s="81" t="s">
        <v>106</v>
      </c>
      <c r="L30" s="82">
        <v>0.1881</v>
      </c>
      <c r="M30" s="83">
        <f>H30-F30+1</f>
        <v>93</v>
      </c>
      <c r="N30" s="84">
        <f>(H30-F30+1)/365*L30*E30</f>
        <v>47.9268493150685</v>
      </c>
      <c r="O30" s="90">
        <f>T30/10000</f>
        <v>47.926849</v>
      </c>
      <c r="P30" s="84">
        <v>4450.16</v>
      </c>
      <c r="Q30" s="85">
        <f>RTD("WDF.RTQ",,C30,"rt_last","RT_Price")</f>
        <v>8249.13</v>
      </c>
      <c r="R30" s="86">
        <f>I30/Q30-1</f>
        <v>-0.229327213900133</v>
      </c>
      <c r="S30" s="86">
        <f>Q30/P30-1</f>
        <v>0.853670429827242</v>
      </c>
      <c r="T30" s="85">
        <v>479268.49</v>
      </c>
    </row>
    <row r="31" s="3" customFormat="1" ht="18" customHeight="1" spans="1:31">
      <c r="A31" s="77"/>
      <c r="B31" s="88"/>
      <c r="C31" s="79"/>
      <c r="D31" s="80"/>
      <c r="E31" s="80">
        <v>-1000</v>
      </c>
      <c r="F31" s="81"/>
      <c r="G31" s="80"/>
      <c r="H31" s="81"/>
      <c r="I31" s="80"/>
      <c r="J31" s="81"/>
      <c r="K31" s="81"/>
      <c r="L31" s="82"/>
      <c r="M31" s="83"/>
      <c r="N31" s="84"/>
      <c r="O31" s="90"/>
      <c r="P31" s="84"/>
      <c r="Q31" s="89"/>
      <c r="R31" s="86"/>
      <c r="S31" s="86"/>
      <c r="T31" s="89"/>
    </row>
    <row r="32" s="3" customFormat="1" ht="15" customHeight="1" spans="1:31">
      <c r="A32" s="65"/>
      <c r="B32" s="78" t="s">
        <v>107</v>
      </c>
      <c r="C32" s="79" t="s">
        <v>43</v>
      </c>
      <c r="D32" s="80" t="s">
        <v>90</v>
      </c>
      <c r="E32" s="80">
        <v>1000</v>
      </c>
      <c r="F32" s="81">
        <v>45867</v>
      </c>
      <c r="G32" s="80">
        <v>6312.47</v>
      </c>
      <c r="H32" s="81">
        <v>45959</v>
      </c>
      <c r="I32" s="80">
        <v>6312.47</v>
      </c>
      <c r="J32" s="81">
        <v>46597</v>
      </c>
      <c r="K32" s="81" t="s">
        <v>108</v>
      </c>
      <c r="L32" s="82">
        <v>0.1885</v>
      </c>
      <c r="M32" s="83">
        <f>H32-F32+1</f>
        <v>93</v>
      </c>
      <c r="N32" s="84">
        <f>(H32-F32+1)/365*L32*E32</f>
        <v>48.0287671232877</v>
      </c>
      <c r="O32" s="90">
        <f>T32/10000</f>
        <v>47.90137</v>
      </c>
      <c r="P32" s="84">
        <v>4418.73</v>
      </c>
      <c r="Q32" s="85">
        <f>RTD("WDF.RTQ",,C32,"rt_last","RT_Price")</f>
        <v>8249.13</v>
      </c>
      <c r="R32" s="86">
        <f>I32/Q32-1</f>
        <v>-0.23477142438051</v>
      </c>
      <c r="S32" s="86">
        <f>Q32/P32-1</f>
        <v>0.866855408680775</v>
      </c>
      <c r="T32" s="85">
        <v>479013.7</v>
      </c>
      <c r="V32" s="91"/>
    </row>
    <row r="33" s="3" customFormat="1" ht="19" customHeight="1" spans="1:31">
      <c r="A33" s="65"/>
      <c r="B33" s="88"/>
      <c r="C33" s="79"/>
      <c r="D33" s="80"/>
      <c r="E33" s="80">
        <v>-1000</v>
      </c>
      <c r="F33" s="81"/>
      <c r="G33" s="80"/>
      <c r="H33" s="81"/>
      <c r="I33" s="80"/>
      <c r="J33" s="81"/>
      <c r="K33" s="81"/>
      <c r="L33" s="82"/>
      <c r="M33" s="83"/>
      <c r="N33" s="84"/>
      <c r="O33" s="90"/>
      <c r="P33" s="84"/>
      <c r="Q33" s="89"/>
      <c r="R33" s="86"/>
      <c r="S33" s="86"/>
      <c r="T33" s="89"/>
      <c r="V33" s="91"/>
    </row>
    <row r="34" s="3" customFormat="1" ht="14.25" spans="1:31">
      <c r="A34" s="65"/>
      <c r="B34" s="78" t="s">
        <v>109</v>
      </c>
      <c r="C34" s="79" t="s">
        <v>34</v>
      </c>
      <c r="D34" s="80" t="s">
        <v>110</v>
      </c>
      <c r="E34" s="80">
        <v>1000</v>
      </c>
      <c r="F34" s="81">
        <v>45863</v>
      </c>
      <c r="G34" s="80">
        <v>6706.61</v>
      </c>
      <c r="H34" s="81">
        <v>45957</v>
      </c>
      <c r="I34" s="80">
        <v>6706.61</v>
      </c>
      <c r="J34" s="80" t="s">
        <v>102</v>
      </c>
      <c r="K34" s="80" t="s">
        <v>102</v>
      </c>
      <c r="L34" s="82">
        <v>0.1267</v>
      </c>
      <c r="M34" s="83">
        <f>H34-F34+1</f>
        <v>95</v>
      </c>
      <c r="N34" s="84">
        <f>(H34-F34+1)/365*L34*E34</f>
        <v>32.9767123287671</v>
      </c>
      <c r="O34" s="90">
        <f>T34/10000</f>
        <v>32.976712</v>
      </c>
      <c r="P34" s="84">
        <v>4359.3</v>
      </c>
      <c r="Q34" s="85">
        <f>RTD("WDF.RTQ",,C34,"rt_last","RT_Price")</f>
        <v>8357.01</v>
      </c>
      <c r="R34" s="86">
        <f>I34/Q34-1</f>
        <v>-0.197486900219098</v>
      </c>
      <c r="S34" s="86">
        <f>Q34/P34-1</f>
        <v>0.917053196614135</v>
      </c>
      <c r="T34" s="85">
        <v>329767.12</v>
      </c>
      <c r="V34" s="91"/>
    </row>
    <row r="35" s="3" customFormat="1" ht="18" customHeight="1" spans="1:31">
      <c r="A35" s="65"/>
      <c r="B35" s="88"/>
      <c r="C35" s="79"/>
      <c r="D35" s="80"/>
      <c r="E35" s="80">
        <v>-1000</v>
      </c>
      <c r="F35" s="81"/>
      <c r="G35" s="80"/>
      <c r="H35" s="81"/>
      <c r="I35" s="80"/>
      <c r="J35" s="80"/>
      <c r="K35" s="80"/>
      <c r="L35" s="82"/>
      <c r="M35" s="83"/>
      <c r="N35" s="84"/>
      <c r="O35" s="90"/>
      <c r="P35" s="84"/>
      <c r="Q35" s="89"/>
      <c r="R35" s="86"/>
      <c r="S35" s="86"/>
      <c r="T35" s="89"/>
      <c r="V35" s="91"/>
    </row>
    <row r="36" s="3" customFormat="1" ht="14.25" spans="1:31">
      <c r="A36" s="65"/>
      <c r="B36" s="78" t="s">
        <v>111</v>
      </c>
      <c r="C36" s="79" t="s">
        <v>34</v>
      </c>
      <c r="D36" s="80" t="s">
        <v>110</v>
      </c>
      <c r="E36" s="80">
        <v>1000</v>
      </c>
      <c r="F36" s="81">
        <v>45856</v>
      </c>
      <c r="G36" s="80">
        <v>6535.26</v>
      </c>
      <c r="H36" s="81">
        <v>45950</v>
      </c>
      <c r="I36" s="80">
        <v>6535.26</v>
      </c>
      <c r="J36" s="80" t="s">
        <v>102</v>
      </c>
      <c r="K36" s="80" t="s">
        <v>102</v>
      </c>
      <c r="L36" s="82">
        <v>0.1285</v>
      </c>
      <c r="M36" s="83">
        <f>H36-F36+1</f>
        <v>95</v>
      </c>
      <c r="N36" s="84">
        <f>(H36-F36+1)/365*L36*E36</f>
        <v>33.4452054794521</v>
      </c>
      <c r="O36" s="90">
        <f>T36/10000</f>
        <v>33.445205</v>
      </c>
      <c r="P36" s="84">
        <v>4247.92</v>
      </c>
      <c r="Q36" s="85">
        <f>RTD("WDF.RTQ",,C36,"rt_last","RT_Price")</f>
        <v>8357.01</v>
      </c>
      <c r="R36" s="86">
        <f>I36/Q36-1</f>
        <v>-0.217990644979484</v>
      </c>
      <c r="S36" s="86">
        <f>Q36/P36-1</f>
        <v>0.967318122751841</v>
      </c>
      <c r="T36" s="85">
        <v>334452.05</v>
      </c>
      <c r="V36" s="91"/>
      <c r="AD36" s="92"/>
      <c r="AE36" s="93" t="s">
        <v>112</v>
      </c>
    </row>
    <row r="37" s="3" customFormat="1" ht="17" customHeight="1" spans="1:31">
      <c r="A37" s="65"/>
      <c r="B37" s="88"/>
      <c r="C37" s="79"/>
      <c r="D37" s="80"/>
      <c r="E37" s="80">
        <v>-1000</v>
      </c>
      <c r="F37" s="81"/>
      <c r="G37" s="80"/>
      <c r="H37" s="81"/>
      <c r="I37" s="80"/>
      <c r="J37" s="80"/>
      <c r="K37" s="80"/>
      <c r="L37" s="82"/>
      <c r="M37" s="83"/>
      <c r="N37" s="84"/>
      <c r="O37" s="90"/>
      <c r="P37" s="84"/>
      <c r="Q37" s="89"/>
      <c r="R37" s="86"/>
      <c r="S37" s="86"/>
      <c r="T37" s="89"/>
      <c r="V37" s="91"/>
      <c r="AD37" s="92"/>
      <c r="AE37" s="93"/>
    </row>
    <row r="38" customFormat="1" ht="19" customHeight="1" spans="1:31">
      <c r="A38" s="65"/>
      <c r="B38" s="66"/>
      <c r="C38" s="67"/>
      <c r="D38" s="68"/>
      <c r="E38" s="66"/>
      <c r="F38" s="69"/>
      <c r="G38" s="70"/>
      <c r="H38" s="69"/>
      <c r="I38" s="66"/>
      <c r="J38" s="69"/>
      <c r="K38" s="71"/>
      <c r="L38" s="72"/>
      <c r="M38" s="73"/>
      <c r="N38" s="70"/>
      <c r="O38" s="74"/>
      <c r="P38" s="70"/>
      <c r="Q38" s="94"/>
      <c r="R38" s="76"/>
      <c r="S38" s="76"/>
    </row>
    <row r="39" customFormat="1" ht="19" customHeight="1" spans="1:31">
      <c r="A39" s="65"/>
      <c r="B39" s="66"/>
      <c r="C39" s="67"/>
      <c r="D39" s="68"/>
      <c r="E39" s="66"/>
      <c r="F39" s="69"/>
      <c r="G39" s="70"/>
      <c r="H39" s="69"/>
      <c r="I39" s="66"/>
      <c r="J39" s="69"/>
      <c r="K39" s="71"/>
      <c r="L39" s="72"/>
      <c r="M39" s="73"/>
      <c r="N39" s="70"/>
      <c r="O39" s="74"/>
      <c r="P39" s="70"/>
      <c r="Q39" s="94"/>
      <c r="R39" s="76"/>
      <c r="S39" s="76"/>
    </row>
    <row r="40" customFormat="1" ht="15" customHeight="1" spans="1:31">
      <c r="D40" s="95" t="s">
        <v>71</v>
      </c>
      <c r="E40" s="95">
        <f>SUM(E20:E39)</f>
        <v>11200</v>
      </c>
      <c r="L40" s="96"/>
      <c r="M40" s="97"/>
      <c r="N40" s="98"/>
      <c r="O40" s="98"/>
      <c r="R40" s="99"/>
      <c r="S40" s="99"/>
      <c r="T40" s="100">
        <f>SUM(T20:T31)</f>
        <v>823908.49</v>
      </c>
    </row>
    <row r="41" customFormat="1" spans="1:31">
      <c r="L41" s="96"/>
      <c r="M41" s="101" t="s">
        <v>113</v>
      </c>
      <c r="N41" s="102">
        <f>SUM(N20:N40)</f>
        <v>1073.59523287671</v>
      </c>
      <c r="O41" s="102"/>
      <c r="R41" s="99"/>
      <c r="S41" s="99"/>
    </row>
    <row r="42" customFormat="1" ht="14.25" spans="1:31">
      <c r="L42" s="96"/>
      <c r="M42" s="97"/>
      <c r="N42" s="98"/>
      <c r="O42" s="98"/>
      <c r="P42" s="103"/>
      <c r="Q42" s="59" t="s">
        <v>73</v>
      </c>
      <c r="R42" s="99"/>
      <c r="S42" s="99"/>
    </row>
    <row r="43" customFormat="1" ht="19" customHeight="1" spans="1:31">
      <c r="L43" s="96"/>
      <c r="M43" s="97"/>
      <c r="N43" s="98"/>
      <c r="O43" s="98"/>
      <c r="P43" s="104"/>
      <c r="Q43" s="64" t="s">
        <v>89</v>
      </c>
      <c r="R43" s="99"/>
      <c r="S43" s="99"/>
    </row>
    <row r="44" customFormat="1" spans="1:31">
      <c r="L44" s="96"/>
      <c r="M44" s="97"/>
      <c r="N44" s="98"/>
      <c r="O44" s="98"/>
      <c r="P44" s="105"/>
      <c r="Q44" s="64" t="s">
        <v>112</v>
      </c>
      <c r="R44" s="99"/>
      <c r="S44" s="99"/>
    </row>
    <row r="46" ht="44" customHeight="1" spans="1:31">
      <c r="B46" s="106" t="s">
        <v>114</v>
      </c>
      <c r="C46" s="107"/>
      <c r="D46" s="7" t="s">
        <v>115</v>
      </c>
      <c r="E46" s="7" t="s">
        <v>116</v>
      </c>
      <c r="F46" s="7" t="s">
        <v>117</v>
      </c>
    </row>
    <row r="47" ht="19" customHeight="1" spans="1:31">
      <c r="B47" s="108"/>
      <c r="C47" s="109"/>
      <c r="D47" s="110">
        <f>SUM(O20:O23)</f>
        <v>49.8761643835616</v>
      </c>
      <c r="E47" s="111">
        <f>D47/6000</f>
        <v>0.00831269406392694</v>
      </c>
      <c r="F47" s="111">
        <f>E47/(K17-F36)*365</f>
        <v>0.0182779116465863</v>
      </c>
    </row>
  </sheetData>
  <mergeCells count="84">
    <mergeCell ref="AC1:AF1"/>
    <mergeCell ref="Q9:R9"/>
    <mergeCell ref="A18:R18"/>
    <mergeCell ref="A19:A37"/>
    <mergeCell ref="B28:B29"/>
    <mergeCell ref="B30:B31"/>
    <mergeCell ref="B32:B33"/>
    <mergeCell ref="B34:B35"/>
    <mergeCell ref="B36:B37"/>
    <mergeCell ref="C28:C29"/>
    <mergeCell ref="C30:C31"/>
    <mergeCell ref="C32:C33"/>
    <mergeCell ref="C34:C35"/>
    <mergeCell ref="C36:C37"/>
    <mergeCell ref="D28:D29"/>
    <mergeCell ref="D30:D31"/>
    <mergeCell ref="D32:D33"/>
    <mergeCell ref="D34:D35"/>
    <mergeCell ref="D36:D37"/>
    <mergeCell ref="F28:F29"/>
    <mergeCell ref="F30:F31"/>
    <mergeCell ref="F32:F33"/>
    <mergeCell ref="F34:F35"/>
    <mergeCell ref="F36:F37"/>
    <mergeCell ref="G28:G29"/>
    <mergeCell ref="G30:G31"/>
    <mergeCell ref="G32:G33"/>
    <mergeCell ref="G34:G35"/>
    <mergeCell ref="G36:G37"/>
    <mergeCell ref="H28:H29"/>
    <mergeCell ref="H30:H31"/>
    <mergeCell ref="H32:H33"/>
    <mergeCell ref="H34:H35"/>
    <mergeCell ref="H36:H37"/>
    <mergeCell ref="I28:I29"/>
    <mergeCell ref="I30:I31"/>
    <mergeCell ref="I32:I33"/>
    <mergeCell ref="I34:I35"/>
    <mergeCell ref="I36:I37"/>
    <mergeCell ref="J28:J29"/>
    <mergeCell ref="J30:J31"/>
    <mergeCell ref="J32:J33"/>
    <mergeCell ref="J34:J35"/>
    <mergeCell ref="J36:J37"/>
    <mergeCell ref="K28:K29"/>
    <mergeCell ref="K30:K31"/>
    <mergeCell ref="K32:K33"/>
    <mergeCell ref="K34:K35"/>
    <mergeCell ref="K36:K37"/>
    <mergeCell ref="L28:L29"/>
    <mergeCell ref="L30:L31"/>
    <mergeCell ref="L32:L33"/>
    <mergeCell ref="L34:L35"/>
    <mergeCell ref="L36:L37"/>
    <mergeCell ref="M28:M29"/>
    <mergeCell ref="M30:M31"/>
    <mergeCell ref="M32:M33"/>
    <mergeCell ref="M34:M35"/>
    <mergeCell ref="M36:M37"/>
    <mergeCell ref="N28:N29"/>
    <mergeCell ref="N30:N31"/>
    <mergeCell ref="N32:N33"/>
    <mergeCell ref="N34:N35"/>
    <mergeCell ref="N36:N37"/>
    <mergeCell ref="O30:O31"/>
    <mergeCell ref="O32:O33"/>
    <mergeCell ref="O34:O35"/>
    <mergeCell ref="O36:O37"/>
    <mergeCell ref="P28:P29"/>
    <mergeCell ref="P30:P31"/>
    <mergeCell ref="P32:P33"/>
    <mergeCell ref="P34:P35"/>
    <mergeCell ref="P36:P37"/>
    <mergeCell ref="Q28:Q29"/>
    <mergeCell ref="Q30:Q31"/>
    <mergeCell ref="Q32:Q33"/>
    <mergeCell ref="Q34:Q35"/>
    <mergeCell ref="Q36:Q37"/>
    <mergeCell ref="T28:T29"/>
    <mergeCell ref="T30:T31"/>
    <mergeCell ref="T32:T33"/>
    <mergeCell ref="T34:T35"/>
    <mergeCell ref="T36:T37"/>
    <mergeCell ref="B46:C47"/>
  </mergeCells>
  <conditionalFormatting sqref="R24">
    <cfRule type="cellIs" dxfId="0" priority="2" operator="greaterThan">
      <formula>0</formula>
    </cfRule>
    <cfRule type="cellIs" dxfId="1" priority="3" operator="lessThan">
      <formula>0</formula>
    </cfRule>
  </conditionalFormatting>
  <conditionalFormatting sqref="S24">
    <cfRule type="cellIs" dxfId="1" priority="1" operator="greaterThan">
      <formula>0</formula>
    </cfRule>
  </conditionalFormatting>
  <conditionalFormatting sqref="R29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S29">
    <cfRule type="cellIs" dxfId="1" priority="4" operator="greaterThan">
      <formula>0</formula>
    </cfRule>
  </conditionalFormatting>
  <conditionalFormatting sqref="P43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AC5:AC10">
    <cfRule type="cellIs" dxfId="2" priority="23" operator="greaterThan">
      <formula>0</formula>
    </cfRule>
  </conditionalFormatting>
  <conditionalFormatting sqref="AD5:AD10">
    <cfRule type="cellIs" dxfId="3" priority="26" operator="greaterThan">
      <formula>0</formula>
    </cfRule>
    <cfRule type="cellIs" dxfId="4" priority="27" operator="lessThan">
      <formula>0</formula>
    </cfRule>
    <cfRule type="cellIs" dxfId="4" priority="28" operator="lessThan">
      <formula>0</formula>
    </cfRule>
    <cfRule type="cellIs" dxfId="5" priority="30" operator="lessThan">
      <formula>-0.0955923</formula>
    </cfRule>
    <cfRule type="cellIs" dxfId="5" priority="33" operator="lessThan">
      <formula>0</formula>
    </cfRule>
    <cfRule type="cellIs" dxfId="6" priority="34" operator="lessThan">
      <formula>0</formula>
    </cfRule>
  </conditionalFormatting>
  <conditionalFormatting sqref="AE5:AE10">
    <cfRule type="cellIs" dxfId="4" priority="12" operator="greaterThan">
      <formula>0</formula>
    </cfRule>
    <cfRule type="cellIs" dxfId="7" priority="24" operator="greaterThan">
      <formula>0</formula>
    </cfRule>
    <cfRule type="cellIs" dxfId="5" priority="25" operator="greaterThan">
      <formula>0</formula>
    </cfRule>
    <cfRule type="cellIs" dxfId="3" priority="29" operator="greaterThan">
      <formula>0</formula>
    </cfRule>
  </conditionalFormatting>
  <conditionalFormatting sqref="R30:R40 R25:R28 R20:R23 R44">
    <cfRule type="cellIs" dxfId="0" priority="10" operator="greaterThan">
      <formula>0</formula>
    </cfRule>
    <cfRule type="cellIs" dxfId="1" priority="11" operator="lessThan">
      <formula>0</formula>
    </cfRule>
  </conditionalFormatting>
  <conditionalFormatting sqref="S30:S40 S25:S28 S20:S23 S44">
    <cfRule type="cellIs" dxfId="1" priority="9" operator="greaterThan">
      <formula>0</formula>
    </cfRule>
  </conditionalFormatting>
  <pageMargins left="0.7" right="0.7" top="0.75" bottom="0.75" header="0.3" footer="0.3"/>
  <pageSetup paperSize="9" scale="6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O9" sqref="O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其他雪球产品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</cp:lastModifiedBy>
  <dcterms:created xsi:type="dcterms:W3CDTF">2023-05-12T11:15:00Z</dcterms:created>
  <dcterms:modified xsi:type="dcterms:W3CDTF">2026-01-12T07:24:24Z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62E9153A06EA44FE9DC02C7964F612A6_13</vt:lpwstr>
  </property>
  <property fmtid="{D5CDD505-2E9C-101B-9397-08002B2CF9AE}" pid="4" name="CalculationRule">
    <vt:i4>0</vt:i4>
  </property>
</Properties>
</file>