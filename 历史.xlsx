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8_{12F31E59-ADEE-45A9-90F7-D5558A872F9E}" xr6:coauthVersionLast="47" xr6:coauthVersionMax="47" xr10:uidLastSave="{00000000-0000-0000-0000-000000000000}"/>
  <bookViews>
    <workbookView xWindow="-98" yWindow="-98" windowWidth="19396" windowHeight="11475" xr2:uid="{3BD00341-49AC-44B9-8D95-644E569D00F8}"/>
  </bookViews>
  <sheets>
    <sheet name="历史行情" sheetId="1" r:id="rId1"/>
  </sheets>
  <externalReferences>
    <externalReference r:id="rId2"/>
  </externalReferenc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I5" i="1"/>
  <c r="J5" i="1"/>
  <c r="L5" i="1"/>
  <c r="I6" i="1"/>
  <c r="J6" i="1"/>
  <c r="L6" i="1"/>
  <c r="I7" i="1"/>
  <c r="J7" i="1"/>
  <c r="L7" i="1"/>
  <c r="I8" i="1"/>
  <c r="J8" i="1"/>
  <c r="L8" i="1"/>
  <c r="I9" i="1"/>
  <c r="J9" i="1"/>
  <c r="L9" i="1"/>
  <c r="I10" i="1"/>
  <c r="J10" i="1"/>
  <c r="L10" i="1"/>
  <c r="I11" i="1"/>
  <c r="J11" i="1"/>
  <c r="L11" i="1"/>
  <c r="I12" i="1"/>
  <c r="J12" i="1"/>
  <c r="L12" i="1"/>
  <c r="I13" i="1"/>
  <c r="J13" i="1"/>
  <c r="L13" i="1"/>
  <c r="I14" i="1"/>
  <c r="J14" i="1"/>
  <c r="L14" i="1"/>
  <c r="I15" i="1"/>
  <c r="J15" i="1"/>
  <c r="L15" i="1"/>
  <c r="I16" i="1"/>
  <c r="J16" i="1"/>
  <c r="L16" i="1"/>
  <c r="I17" i="1"/>
  <c r="J17" i="1"/>
  <c r="L17" i="1"/>
  <c r="I18" i="1"/>
  <c r="J18" i="1"/>
  <c r="L18" i="1"/>
  <c r="I19" i="1"/>
  <c r="J19" i="1"/>
  <c r="L19" i="1"/>
  <c r="I20" i="1"/>
  <c r="J20" i="1"/>
  <c r="L20" i="1"/>
  <c r="I21" i="1"/>
  <c r="J21" i="1"/>
  <c r="L21" i="1"/>
  <c r="I22" i="1"/>
  <c r="J22" i="1"/>
  <c r="L22" i="1"/>
  <c r="I23" i="1"/>
  <c r="J23" i="1"/>
  <c r="L23" i="1"/>
  <c r="I24" i="1"/>
  <c r="J24" i="1"/>
  <c r="L24" i="1"/>
  <c r="I25" i="1"/>
  <c r="J25" i="1"/>
  <c r="L25" i="1"/>
  <c r="I26" i="1"/>
  <c r="J26" i="1"/>
  <c r="L26" i="1"/>
  <c r="I27" i="1"/>
  <c r="J27" i="1"/>
  <c r="L27" i="1"/>
  <c r="I28" i="1"/>
  <c r="J28" i="1"/>
  <c r="L28" i="1"/>
  <c r="I29" i="1"/>
  <c r="J29" i="1"/>
  <c r="L29" i="1"/>
  <c r="I30" i="1"/>
  <c r="J30" i="1"/>
  <c r="L30" i="1"/>
  <c r="I31" i="1"/>
  <c r="J31" i="1"/>
  <c r="L31" i="1"/>
  <c r="I32" i="1"/>
  <c r="J32" i="1"/>
  <c r="L32" i="1"/>
  <c r="I33" i="1"/>
  <c r="J33" i="1"/>
  <c r="L33" i="1"/>
  <c r="I34" i="1"/>
  <c r="J34" i="1"/>
  <c r="L34" i="1"/>
  <c r="I35" i="1"/>
  <c r="J35" i="1"/>
  <c r="L35" i="1"/>
  <c r="I36" i="1"/>
  <c r="J36" i="1"/>
  <c r="L36" i="1"/>
  <c r="I37" i="1"/>
  <c r="J37" i="1"/>
  <c r="L37" i="1"/>
  <c r="I38" i="1"/>
  <c r="J38" i="1"/>
  <c r="L38" i="1"/>
  <c r="I39" i="1"/>
  <c r="J39" i="1"/>
  <c r="L39" i="1"/>
  <c r="I40" i="1"/>
  <c r="J40" i="1"/>
  <c r="L40" i="1"/>
  <c r="I41" i="1"/>
  <c r="J41" i="1"/>
  <c r="L41" i="1"/>
  <c r="I42" i="1"/>
  <c r="J42" i="1"/>
  <c r="L42" i="1"/>
  <c r="I43" i="1"/>
  <c r="J43" i="1"/>
  <c r="L43" i="1"/>
  <c r="I44" i="1"/>
  <c r="J44" i="1"/>
  <c r="L44" i="1"/>
  <c r="I45" i="1"/>
  <c r="J45" i="1"/>
  <c r="L45" i="1"/>
  <c r="I46" i="1"/>
  <c r="J46" i="1"/>
  <c r="L46" i="1"/>
  <c r="I47" i="1"/>
  <c r="J47" i="1"/>
  <c r="L47" i="1"/>
  <c r="I48" i="1"/>
  <c r="J48" i="1"/>
  <c r="L48" i="1"/>
  <c r="I49" i="1"/>
  <c r="J49" i="1"/>
  <c r="L49" i="1"/>
  <c r="I50" i="1"/>
  <c r="J50" i="1"/>
  <c r="L50" i="1"/>
  <c r="I51" i="1"/>
  <c r="J51" i="1"/>
  <c r="L51" i="1"/>
  <c r="I52" i="1"/>
  <c r="J52" i="1"/>
  <c r="L52" i="1"/>
  <c r="I53" i="1"/>
  <c r="J53" i="1"/>
  <c r="L53" i="1"/>
  <c r="I54" i="1"/>
  <c r="J54" i="1"/>
  <c r="L54" i="1"/>
  <c r="I55" i="1"/>
  <c r="J55" i="1"/>
  <c r="L55" i="1"/>
  <c r="I56" i="1"/>
  <c r="J56" i="1"/>
  <c r="L56" i="1"/>
  <c r="I57" i="1"/>
  <c r="J57" i="1"/>
  <c r="L57" i="1"/>
  <c r="I58" i="1"/>
  <c r="J58" i="1"/>
  <c r="L58" i="1"/>
  <c r="I59" i="1"/>
  <c r="J59" i="1"/>
  <c r="L59" i="1"/>
  <c r="I60" i="1"/>
  <c r="J60" i="1"/>
  <c r="L60" i="1"/>
  <c r="I61" i="1"/>
  <c r="J61" i="1"/>
  <c r="L61" i="1"/>
  <c r="I62" i="1"/>
  <c r="J62" i="1"/>
  <c r="L62" i="1"/>
  <c r="I63" i="1"/>
  <c r="J63" i="1"/>
  <c r="L63" i="1"/>
  <c r="I64" i="1"/>
  <c r="J64" i="1"/>
  <c r="L64" i="1"/>
  <c r="I65" i="1"/>
  <c r="J65" i="1"/>
  <c r="L65" i="1"/>
  <c r="I66" i="1"/>
  <c r="J66" i="1"/>
  <c r="L66" i="1"/>
  <c r="I67" i="1"/>
  <c r="J67" i="1"/>
  <c r="L67" i="1"/>
  <c r="I68" i="1"/>
  <c r="J68" i="1"/>
  <c r="L68" i="1"/>
  <c r="I69" i="1"/>
  <c r="J69" i="1"/>
  <c r="L69" i="1"/>
  <c r="I70" i="1"/>
  <c r="J70" i="1"/>
  <c r="L70" i="1"/>
  <c r="I71" i="1"/>
  <c r="J71" i="1"/>
  <c r="L71" i="1"/>
  <c r="I72" i="1"/>
  <c r="J72" i="1"/>
  <c r="L72" i="1"/>
  <c r="I73" i="1"/>
  <c r="J73" i="1"/>
  <c r="L73" i="1"/>
  <c r="I74" i="1"/>
  <c r="J74" i="1"/>
  <c r="L74" i="1"/>
  <c r="I75" i="1"/>
  <c r="J75" i="1"/>
  <c r="L75" i="1"/>
  <c r="I76" i="1"/>
  <c r="J76" i="1"/>
  <c r="L76" i="1"/>
  <c r="I77" i="1"/>
  <c r="J77" i="1"/>
  <c r="L77" i="1"/>
  <c r="I78" i="1"/>
  <c r="J78" i="1"/>
  <c r="L78" i="1"/>
  <c r="I79" i="1"/>
  <c r="J79" i="1"/>
  <c r="L79" i="1"/>
  <c r="I80" i="1"/>
  <c r="J80" i="1"/>
  <c r="L80" i="1"/>
  <c r="I81" i="1"/>
  <c r="J81" i="1"/>
  <c r="L81" i="1"/>
  <c r="I82" i="1"/>
  <c r="J82" i="1"/>
  <c r="L82" i="1"/>
  <c r="I83" i="1"/>
  <c r="J83" i="1"/>
  <c r="L83" i="1"/>
  <c r="I84" i="1"/>
  <c r="J84" i="1"/>
  <c r="L84" i="1"/>
  <c r="I85" i="1"/>
  <c r="J85" i="1"/>
  <c r="L85" i="1"/>
  <c r="I86" i="1"/>
  <c r="J86" i="1"/>
  <c r="L86" i="1"/>
  <c r="I87" i="1"/>
  <c r="J87" i="1"/>
  <c r="L87" i="1"/>
  <c r="I88" i="1"/>
  <c r="J88" i="1"/>
  <c r="L88" i="1"/>
  <c r="I89" i="1"/>
  <c r="J89" i="1"/>
  <c r="L89" i="1"/>
  <c r="I90" i="1"/>
  <c r="J90" i="1"/>
  <c r="L90" i="1"/>
  <c r="I91" i="1"/>
  <c r="J91" i="1"/>
  <c r="L91" i="1"/>
  <c r="I92" i="1"/>
  <c r="J92" i="1"/>
  <c r="L92" i="1"/>
  <c r="I93" i="1"/>
  <c r="J93" i="1"/>
  <c r="L93" i="1"/>
  <c r="I94" i="1"/>
  <c r="J94" i="1"/>
  <c r="L94" i="1"/>
  <c r="I95" i="1"/>
  <c r="J95" i="1"/>
  <c r="L95" i="1"/>
  <c r="I96" i="1"/>
  <c r="J96" i="1"/>
  <c r="L96" i="1"/>
  <c r="I97" i="1"/>
  <c r="J97" i="1"/>
  <c r="L97" i="1"/>
  <c r="I98" i="1"/>
  <c r="J98" i="1"/>
  <c r="L98" i="1"/>
  <c r="I99" i="1"/>
  <c r="J99" i="1"/>
  <c r="L99" i="1"/>
  <c r="I100" i="1"/>
  <c r="J100" i="1"/>
  <c r="L100" i="1"/>
  <c r="I101" i="1"/>
  <c r="J101" i="1"/>
  <c r="L101" i="1"/>
  <c r="I102" i="1"/>
  <c r="J102" i="1"/>
  <c r="L102" i="1"/>
  <c r="I103" i="1"/>
  <c r="J103" i="1"/>
  <c r="L103" i="1"/>
  <c r="I104" i="1"/>
  <c r="J104" i="1"/>
  <c r="L104" i="1"/>
  <c r="I105" i="1"/>
  <c r="J105" i="1"/>
  <c r="L105" i="1"/>
  <c r="I106" i="1"/>
  <c r="J106" i="1"/>
  <c r="L106" i="1"/>
  <c r="I107" i="1"/>
  <c r="J107" i="1"/>
  <c r="L107" i="1"/>
  <c r="I108" i="1"/>
  <c r="J108" i="1"/>
  <c r="L108" i="1"/>
  <c r="I109" i="1"/>
  <c r="J109" i="1"/>
  <c r="L109" i="1"/>
  <c r="I110" i="1"/>
  <c r="J110" i="1"/>
  <c r="L110" i="1"/>
  <c r="I111" i="1"/>
  <c r="J111" i="1"/>
  <c r="L111" i="1"/>
  <c r="I112" i="1"/>
  <c r="J112" i="1"/>
  <c r="L112" i="1"/>
  <c r="I113" i="1"/>
  <c r="J113" i="1"/>
  <c r="L113" i="1"/>
  <c r="I114" i="1"/>
  <c r="J114" i="1"/>
  <c r="L114" i="1"/>
  <c r="I115" i="1"/>
  <c r="J115" i="1"/>
  <c r="L115" i="1"/>
  <c r="I116" i="1"/>
  <c r="J116" i="1"/>
  <c r="L116" i="1"/>
  <c r="I117" i="1"/>
  <c r="J117" i="1"/>
  <c r="L117" i="1"/>
  <c r="I118" i="1"/>
  <c r="J118" i="1"/>
  <c r="L118" i="1"/>
  <c r="I119" i="1"/>
  <c r="J119" i="1"/>
  <c r="L119" i="1"/>
  <c r="I120" i="1"/>
  <c r="J120" i="1"/>
  <c r="L120" i="1"/>
  <c r="I121" i="1"/>
  <c r="J121" i="1"/>
  <c r="L121" i="1"/>
  <c r="I122" i="1"/>
  <c r="J122" i="1"/>
  <c r="L122" i="1"/>
  <c r="I123" i="1"/>
  <c r="J123" i="1"/>
  <c r="L123" i="1"/>
  <c r="I124" i="1"/>
  <c r="J124" i="1"/>
  <c r="L124" i="1"/>
  <c r="I125" i="1"/>
  <c r="J125" i="1"/>
  <c r="L125" i="1"/>
  <c r="I126" i="1"/>
  <c r="J126" i="1"/>
  <c r="L126" i="1"/>
  <c r="I127" i="1"/>
  <c r="J127" i="1"/>
  <c r="L127" i="1"/>
  <c r="I128" i="1"/>
  <c r="J128" i="1"/>
  <c r="L128" i="1"/>
  <c r="I129" i="1"/>
  <c r="J129" i="1"/>
  <c r="L129" i="1"/>
  <c r="I130" i="1"/>
  <c r="J130" i="1"/>
  <c r="L130" i="1"/>
  <c r="I131" i="1"/>
  <c r="J131" i="1"/>
  <c r="L131" i="1"/>
  <c r="I132" i="1"/>
  <c r="J132" i="1"/>
  <c r="L132" i="1"/>
  <c r="I133" i="1"/>
  <c r="J133" i="1"/>
  <c r="L133" i="1"/>
  <c r="I134" i="1"/>
  <c r="J134" i="1"/>
  <c r="L134" i="1"/>
  <c r="L135" i="1"/>
  <c r="L136" i="1"/>
  <c r="L137" i="1"/>
  <c r="L138" i="1"/>
  <c r="L139" i="1"/>
  <c r="L140" i="1"/>
  <c r="L141" i="1"/>
  <c r="L1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ZHI SHEN</author>
  </authors>
  <commentList>
    <comment ref="A1" authorId="0" shapeId="0" xr:uid="{41252BFA-D133-4309-ABD3-40CAA5D6FEA9}">
      <text>
        <r>
          <rPr>
            <b/>
            <sz val="9"/>
            <color indexed="81"/>
            <rFont val="宋体"/>
            <family val="3"/>
            <charset val="134"/>
          </rPr>
          <t>yVjpCgZpNvM/fXw9lVWJmthRGfdF51hJMzJfZfmFRF8NurwqtzBcabiiPXVDoJ/MrHUH1xHtKKF6rf8oeMaADZvcbwhHH5cvogI+vRTKIr5saxfbz7iofYWiUpAsFVI8et0pgyVs2Mde6EgbAF1ZI0co3QqgiIQktCsT4NjQVz4NXZsJGC9uFS1fisTJ/G5VtoDR5AnPKep2db/LKqN2DcnkItE08Go2fLUALJXzldcqzn11q23qzFE2PcaXRdNTr5XuO5gSif5I/M4lpCIhjE+iv6mY0g3AII0d23uCSSULmn+BhmRA42jM3S/3fLIeUKljoEr3X5eftwrH8s0SbdQFlOQVWANT9eEX3Bvc37z/yQjh9n2UPp1km6Qw1QsxnDV6dljNf1P7PqmqmhWs1fr74TUNpZcc7/5kcoJ5fw/1E/uBWb/wGLx9K3SzLxd+Mw8uKaNzgJsmxQZNy3Y2d17OZTyT4cMOi3dA+kYpC3CqQLUPB26PONHPV5vKxGv9CoQSA/2VXNz39Ge3GVH5NMuz0cSHinA9xORsp7+CUoeMnFnImaFLCnqP8c500wxd1fDKNCoigGnI3UFLAU6dhzNBogQXgXISE5RC93xqTcoMRZ2UPdW7O+9rCDuWq5vudFQhcnKy/HO529ki52CDajk9Z8oLchS/NUZbQUTwhhF93Q4r9O+cpRYR9S7yqT++UL4q8Zbq/cKjBVvfM4+iIw==</t>
        </r>
      </text>
    </comment>
  </commentList>
</comments>
</file>

<file path=xl/sharedStrings.xml><?xml version="1.0" encoding="utf-8"?>
<sst xmlns="http://schemas.openxmlformats.org/spreadsheetml/2006/main" count="20" uniqueCount="17">
  <si>
    <t>数据来源：妙想Choice</t>
  </si>
  <si>
    <t>000852.SH</t>
    <phoneticPr fontId="1" type="noConversion"/>
  </si>
  <si>
    <t>000905.SH</t>
    <phoneticPr fontId="1" type="noConversion"/>
  </si>
  <si>
    <t>000300.SH</t>
    <phoneticPr fontId="1" type="noConversion"/>
  </si>
  <si>
    <t>000016.SH</t>
    <phoneticPr fontId="1" type="noConversion"/>
  </si>
  <si>
    <t>收盘价</t>
  </si>
  <si>
    <t>估值</t>
    <phoneticPr fontId="1" type="noConversion"/>
  </si>
  <si>
    <t>存续合约估值</t>
    <phoneticPr fontId="1" type="noConversion"/>
  </si>
  <si>
    <t>中证1000</t>
  </si>
  <si>
    <t>中证500</t>
  </si>
  <si>
    <t>沪深300</t>
  </si>
  <si>
    <t>上证50</t>
  </si>
  <si>
    <t>000852.SH</t>
  </si>
  <si>
    <t>000905.SH</t>
  </si>
  <si>
    <t>000300.SH</t>
  </si>
  <si>
    <t>000016.SH</t>
  </si>
  <si>
    <t>估值总和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</si>
</sst>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rgb="FF012B5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12B5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常规 2" xfId="1" xr:uid="{5029517D-9387-4AA6-8F31-E750716A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历史累计估值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历史行情!$A$5:$A$149</c:f>
              <c:numCache>
                <c:formatCode>yyyy\-mm\-dd</c:formatCode>
                <c:ptCount val="145"/>
                <c:pt idx="0">
                  <c:v>45856</c:v>
                </c:pt>
                <c:pt idx="1">
                  <c:v>45859</c:v>
                </c:pt>
                <c:pt idx="2">
                  <c:v>45860</c:v>
                </c:pt>
                <c:pt idx="3">
                  <c:v>45861</c:v>
                </c:pt>
                <c:pt idx="4">
                  <c:v>45862</c:v>
                </c:pt>
                <c:pt idx="5">
                  <c:v>45863</c:v>
                </c:pt>
                <c:pt idx="6">
                  <c:v>45866</c:v>
                </c:pt>
                <c:pt idx="7">
                  <c:v>45867</c:v>
                </c:pt>
                <c:pt idx="8">
                  <c:v>45868</c:v>
                </c:pt>
                <c:pt idx="9">
                  <c:v>45869</c:v>
                </c:pt>
                <c:pt idx="10">
                  <c:v>45870</c:v>
                </c:pt>
                <c:pt idx="11">
                  <c:v>45873</c:v>
                </c:pt>
                <c:pt idx="12">
                  <c:v>45874</c:v>
                </c:pt>
                <c:pt idx="13">
                  <c:v>45875</c:v>
                </c:pt>
                <c:pt idx="14">
                  <c:v>45876</c:v>
                </c:pt>
                <c:pt idx="15">
                  <c:v>45877</c:v>
                </c:pt>
                <c:pt idx="16">
                  <c:v>45880</c:v>
                </c:pt>
                <c:pt idx="17">
                  <c:v>45881</c:v>
                </c:pt>
                <c:pt idx="18">
                  <c:v>45882</c:v>
                </c:pt>
                <c:pt idx="19">
                  <c:v>45883</c:v>
                </c:pt>
                <c:pt idx="20">
                  <c:v>45884</c:v>
                </c:pt>
                <c:pt idx="21">
                  <c:v>45887</c:v>
                </c:pt>
                <c:pt idx="22">
                  <c:v>45888</c:v>
                </c:pt>
                <c:pt idx="23">
                  <c:v>45889</c:v>
                </c:pt>
                <c:pt idx="24">
                  <c:v>45890</c:v>
                </c:pt>
                <c:pt idx="25">
                  <c:v>45891</c:v>
                </c:pt>
                <c:pt idx="26">
                  <c:v>45894</c:v>
                </c:pt>
                <c:pt idx="27">
                  <c:v>45895</c:v>
                </c:pt>
                <c:pt idx="28">
                  <c:v>45896</c:v>
                </c:pt>
                <c:pt idx="29">
                  <c:v>45897</c:v>
                </c:pt>
                <c:pt idx="30">
                  <c:v>45898</c:v>
                </c:pt>
                <c:pt idx="31">
                  <c:v>45901</c:v>
                </c:pt>
                <c:pt idx="32">
                  <c:v>45902</c:v>
                </c:pt>
                <c:pt idx="33">
                  <c:v>45903</c:v>
                </c:pt>
                <c:pt idx="34">
                  <c:v>45904</c:v>
                </c:pt>
                <c:pt idx="35">
                  <c:v>45905</c:v>
                </c:pt>
                <c:pt idx="36">
                  <c:v>45908</c:v>
                </c:pt>
                <c:pt idx="37">
                  <c:v>45909</c:v>
                </c:pt>
                <c:pt idx="38">
                  <c:v>45910</c:v>
                </c:pt>
                <c:pt idx="39">
                  <c:v>45911</c:v>
                </c:pt>
                <c:pt idx="40">
                  <c:v>45912</c:v>
                </c:pt>
                <c:pt idx="41">
                  <c:v>45915</c:v>
                </c:pt>
                <c:pt idx="42">
                  <c:v>45916</c:v>
                </c:pt>
                <c:pt idx="43">
                  <c:v>45917</c:v>
                </c:pt>
                <c:pt idx="44">
                  <c:v>45918</c:v>
                </c:pt>
                <c:pt idx="45">
                  <c:v>45919</c:v>
                </c:pt>
                <c:pt idx="46">
                  <c:v>45922</c:v>
                </c:pt>
                <c:pt idx="47">
                  <c:v>45923</c:v>
                </c:pt>
                <c:pt idx="48">
                  <c:v>45924</c:v>
                </c:pt>
                <c:pt idx="49">
                  <c:v>45925</c:v>
                </c:pt>
                <c:pt idx="50">
                  <c:v>45926</c:v>
                </c:pt>
                <c:pt idx="51">
                  <c:v>45929</c:v>
                </c:pt>
                <c:pt idx="52">
                  <c:v>45930</c:v>
                </c:pt>
                <c:pt idx="53">
                  <c:v>45939</c:v>
                </c:pt>
                <c:pt idx="54">
                  <c:v>45940</c:v>
                </c:pt>
                <c:pt idx="55">
                  <c:v>45943</c:v>
                </c:pt>
                <c:pt idx="56">
                  <c:v>45944</c:v>
                </c:pt>
                <c:pt idx="57">
                  <c:v>45945</c:v>
                </c:pt>
                <c:pt idx="58">
                  <c:v>45946</c:v>
                </c:pt>
                <c:pt idx="59">
                  <c:v>45947</c:v>
                </c:pt>
                <c:pt idx="60">
                  <c:v>45950</c:v>
                </c:pt>
                <c:pt idx="61">
                  <c:v>45951</c:v>
                </c:pt>
                <c:pt idx="62">
                  <c:v>45952</c:v>
                </c:pt>
                <c:pt idx="63">
                  <c:v>45953</c:v>
                </c:pt>
                <c:pt idx="64">
                  <c:v>45954</c:v>
                </c:pt>
                <c:pt idx="65">
                  <c:v>45957</c:v>
                </c:pt>
                <c:pt idx="66">
                  <c:v>45958</c:v>
                </c:pt>
                <c:pt idx="67">
                  <c:v>45959</c:v>
                </c:pt>
                <c:pt idx="68">
                  <c:v>45960</c:v>
                </c:pt>
                <c:pt idx="69">
                  <c:v>45961</c:v>
                </c:pt>
                <c:pt idx="70">
                  <c:v>45964</c:v>
                </c:pt>
                <c:pt idx="71">
                  <c:v>45965</c:v>
                </c:pt>
                <c:pt idx="72">
                  <c:v>45966</c:v>
                </c:pt>
                <c:pt idx="73">
                  <c:v>45967</c:v>
                </c:pt>
                <c:pt idx="74">
                  <c:v>45968</c:v>
                </c:pt>
                <c:pt idx="75">
                  <c:v>45971</c:v>
                </c:pt>
                <c:pt idx="76">
                  <c:v>45972</c:v>
                </c:pt>
                <c:pt idx="77">
                  <c:v>45973</c:v>
                </c:pt>
                <c:pt idx="78">
                  <c:v>45974</c:v>
                </c:pt>
                <c:pt idx="79">
                  <c:v>45975</c:v>
                </c:pt>
                <c:pt idx="80">
                  <c:v>45978</c:v>
                </c:pt>
                <c:pt idx="81">
                  <c:v>45979</c:v>
                </c:pt>
                <c:pt idx="82">
                  <c:v>45980</c:v>
                </c:pt>
                <c:pt idx="83">
                  <c:v>45981</c:v>
                </c:pt>
                <c:pt idx="84">
                  <c:v>45982</c:v>
                </c:pt>
                <c:pt idx="85">
                  <c:v>45985</c:v>
                </c:pt>
                <c:pt idx="86">
                  <c:v>45986</c:v>
                </c:pt>
                <c:pt idx="87">
                  <c:v>45987</c:v>
                </c:pt>
                <c:pt idx="88">
                  <c:v>45988</c:v>
                </c:pt>
                <c:pt idx="89">
                  <c:v>45989</c:v>
                </c:pt>
                <c:pt idx="90">
                  <c:v>45992</c:v>
                </c:pt>
                <c:pt idx="91">
                  <c:v>45993</c:v>
                </c:pt>
                <c:pt idx="92">
                  <c:v>45994</c:v>
                </c:pt>
                <c:pt idx="93">
                  <c:v>45995</c:v>
                </c:pt>
                <c:pt idx="94">
                  <c:v>45996</c:v>
                </c:pt>
                <c:pt idx="95">
                  <c:v>45999</c:v>
                </c:pt>
                <c:pt idx="96">
                  <c:v>46000</c:v>
                </c:pt>
                <c:pt idx="97">
                  <c:v>46001</c:v>
                </c:pt>
                <c:pt idx="98">
                  <c:v>46002</c:v>
                </c:pt>
                <c:pt idx="99">
                  <c:v>46003</c:v>
                </c:pt>
                <c:pt idx="100">
                  <c:v>46006</c:v>
                </c:pt>
                <c:pt idx="101">
                  <c:v>46007</c:v>
                </c:pt>
                <c:pt idx="102">
                  <c:v>46008</c:v>
                </c:pt>
                <c:pt idx="103">
                  <c:v>46009</c:v>
                </c:pt>
                <c:pt idx="104">
                  <c:v>46010</c:v>
                </c:pt>
                <c:pt idx="105">
                  <c:v>46013</c:v>
                </c:pt>
                <c:pt idx="106">
                  <c:v>46014</c:v>
                </c:pt>
                <c:pt idx="107">
                  <c:v>46015</c:v>
                </c:pt>
                <c:pt idx="108">
                  <c:v>46016</c:v>
                </c:pt>
                <c:pt idx="109">
                  <c:v>46017</c:v>
                </c:pt>
                <c:pt idx="110">
                  <c:v>46020</c:v>
                </c:pt>
                <c:pt idx="111">
                  <c:v>46021</c:v>
                </c:pt>
                <c:pt idx="112">
                  <c:v>46022</c:v>
                </c:pt>
                <c:pt idx="113">
                  <c:v>46027</c:v>
                </c:pt>
                <c:pt idx="114">
                  <c:v>46028</c:v>
                </c:pt>
                <c:pt idx="115">
                  <c:v>46029</c:v>
                </c:pt>
                <c:pt idx="116">
                  <c:v>46030</c:v>
                </c:pt>
                <c:pt idx="117">
                  <c:v>46031</c:v>
                </c:pt>
                <c:pt idx="118">
                  <c:v>46034</c:v>
                </c:pt>
                <c:pt idx="119">
                  <c:v>46035</c:v>
                </c:pt>
                <c:pt idx="120">
                  <c:v>46036</c:v>
                </c:pt>
                <c:pt idx="121">
                  <c:v>46037</c:v>
                </c:pt>
                <c:pt idx="122">
                  <c:v>46038</c:v>
                </c:pt>
                <c:pt idx="123">
                  <c:v>46041</c:v>
                </c:pt>
                <c:pt idx="124">
                  <c:v>46042</c:v>
                </c:pt>
                <c:pt idx="125">
                  <c:v>46043</c:v>
                </c:pt>
                <c:pt idx="126">
                  <c:v>46044</c:v>
                </c:pt>
                <c:pt idx="127">
                  <c:v>46045</c:v>
                </c:pt>
                <c:pt idx="128">
                  <c:v>46048</c:v>
                </c:pt>
                <c:pt idx="129">
                  <c:v>46049</c:v>
                </c:pt>
                <c:pt idx="130">
                  <c:v>46050</c:v>
                </c:pt>
                <c:pt idx="131">
                  <c:v>46051</c:v>
                </c:pt>
                <c:pt idx="132">
                  <c:v>46052</c:v>
                </c:pt>
                <c:pt idx="133">
                  <c:v>46055</c:v>
                </c:pt>
                <c:pt idx="134">
                  <c:v>46056</c:v>
                </c:pt>
                <c:pt idx="135">
                  <c:v>46057</c:v>
                </c:pt>
                <c:pt idx="136">
                  <c:v>46058</c:v>
                </c:pt>
                <c:pt idx="137">
                  <c:v>46059</c:v>
                </c:pt>
                <c:pt idx="138">
                  <c:v>46062</c:v>
                </c:pt>
                <c:pt idx="139">
                  <c:v>46063</c:v>
                </c:pt>
                <c:pt idx="140">
                  <c:v>46064</c:v>
                </c:pt>
                <c:pt idx="141">
                  <c:v>46065</c:v>
                </c:pt>
                <c:pt idx="142">
                  <c:v>46066</c:v>
                </c:pt>
                <c:pt idx="143">
                  <c:v>46077</c:v>
                </c:pt>
                <c:pt idx="144">
                  <c:v>46078</c:v>
                </c:pt>
              </c:numCache>
            </c:numRef>
          </c:xVal>
          <c:yVal>
            <c:numRef>
              <c:f>历史行情!$L$5:$L$149</c:f>
              <c:numCache>
                <c:formatCode>General</c:formatCode>
                <c:ptCount val="145"/>
                <c:pt idx="0">
                  <c:v>10514.503843034729</c:v>
                </c:pt>
                <c:pt idx="1">
                  <c:v>50363.243581909483</c:v>
                </c:pt>
                <c:pt idx="2">
                  <c:v>68300.469938986353</c:v>
                </c:pt>
                <c:pt idx="3">
                  <c:v>57068.686015685162</c:v>
                </c:pt>
                <c:pt idx="4">
                  <c:v>108276.02989139341</c:v>
                </c:pt>
                <c:pt idx="5">
                  <c:v>115011.33012369348</c:v>
                </c:pt>
                <c:pt idx="6">
                  <c:v>148096.6936752685</c:v>
                </c:pt>
                <c:pt idx="7">
                  <c:v>242226.87181082909</c:v>
                </c:pt>
                <c:pt idx="8">
                  <c:v>162604.23855115709</c:v>
                </c:pt>
                <c:pt idx="9">
                  <c:v>19612.230276743925</c:v>
                </c:pt>
                <c:pt idx="10">
                  <c:v>29442.888811831508</c:v>
                </c:pt>
                <c:pt idx="11">
                  <c:v>170588.07400018239</c:v>
                </c:pt>
                <c:pt idx="12">
                  <c:v>272222.7755669629</c:v>
                </c:pt>
                <c:pt idx="13">
                  <c:v>396640.53020400717</c:v>
                </c:pt>
                <c:pt idx="14">
                  <c:v>376598.75617671304</c:v>
                </c:pt>
                <c:pt idx="15">
                  <c:v>349867.25060944026</c:v>
                </c:pt>
                <c:pt idx="16">
                  <c:v>569968.82382881839</c:v>
                </c:pt>
                <c:pt idx="17">
                  <c:v>645659.25165802159</c:v>
                </c:pt>
                <c:pt idx="18">
                  <c:v>850689.22125700233</c:v>
                </c:pt>
                <c:pt idx="19">
                  <c:v>707487.72974834475</c:v>
                </c:pt>
                <c:pt idx="20">
                  <c:v>981053.44987541367</c:v>
                </c:pt>
                <c:pt idx="21">
                  <c:v>1134145.2428692337</c:v>
                </c:pt>
                <c:pt idx="22">
                  <c:v>1136280.2498419262</c:v>
                </c:pt>
                <c:pt idx="23">
                  <c:v>1222497.637733364</c:v>
                </c:pt>
                <c:pt idx="24">
                  <c:v>1148086.2415114997</c:v>
                </c:pt>
                <c:pt idx="25">
                  <c:v>1322553.8696434607</c:v>
                </c:pt>
                <c:pt idx="26">
                  <c:v>1454078.3689217637</c:v>
                </c:pt>
                <c:pt idx="27">
                  <c:v>1468903.0518520197</c:v>
                </c:pt>
                <c:pt idx="28">
                  <c:v>1366590.0616826208</c:v>
                </c:pt>
                <c:pt idx="29">
                  <c:v>1489858.782145537</c:v>
                </c:pt>
                <c:pt idx="30">
                  <c:v>1503486.3517702215</c:v>
                </c:pt>
                <c:pt idx="31">
                  <c:v>1552454.9824676451</c:v>
                </c:pt>
                <c:pt idx="32">
                  <c:v>1437458.7869554067</c:v>
                </c:pt>
                <c:pt idx="33">
                  <c:v>1343681.1586202113</c:v>
                </c:pt>
                <c:pt idx="34">
                  <c:v>1109312.282117469</c:v>
                </c:pt>
                <c:pt idx="35">
                  <c:v>1415789.9824857288</c:v>
                </c:pt>
                <c:pt idx="36">
                  <c:v>1489980.7527909563</c:v>
                </c:pt>
                <c:pt idx="37">
                  <c:v>1431073.4268073412</c:v>
                </c:pt>
                <c:pt idx="38">
                  <c:v>1447598.519693803</c:v>
                </c:pt>
                <c:pt idx="39">
                  <c:v>1585295.1291433848</c:v>
                </c:pt>
                <c:pt idx="40">
                  <c:v>1606515.9483487934</c:v>
                </c:pt>
                <c:pt idx="41">
                  <c:v>1611690.4945578808</c:v>
                </c:pt>
                <c:pt idx="42">
                  <c:v>1649487.3648616944</c:v>
                </c:pt>
                <c:pt idx="43">
                  <c:v>1681676.136745289</c:v>
                </c:pt>
                <c:pt idx="44">
                  <c:v>1663294.9242458425</c:v>
                </c:pt>
                <c:pt idx="45">
                  <c:v>1656584.9901199373</c:v>
                </c:pt>
                <c:pt idx="46">
                  <c:v>1683793.7523735177</c:v>
                </c:pt>
                <c:pt idx="47">
                  <c:v>1661301.1529224925</c:v>
                </c:pt>
                <c:pt idx="48">
                  <c:v>1864334.3936338574</c:v>
                </c:pt>
                <c:pt idx="49">
                  <c:v>1842161.9340599389</c:v>
                </c:pt>
                <c:pt idx="50">
                  <c:v>1693761.1675601522</c:v>
                </c:pt>
                <c:pt idx="51">
                  <c:v>1860710.0924772962</c:v>
                </c:pt>
                <c:pt idx="52">
                  <c:v>1975219.9492594607</c:v>
                </c:pt>
                <c:pt idx="53">
                  <c:v>2071405.8221781319</c:v>
                </c:pt>
                <c:pt idx="54">
                  <c:v>1953867.9599875191</c:v>
                </c:pt>
                <c:pt idx="55">
                  <c:v>1757294.9767166905</c:v>
                </c:pt>
                <c:pt idx="56">
                  <c:v>1750689.5794588062</c:v>
                </c:pt>
                <c:pt idx="57">
                  <c:v>1932963.0516375713</c:v>
                </c:pt>
                <c:pt idx="58">
                  <c:v>1829208.5047261452</c:v>
                </c:pt>
                <c:pt idx="59">
                  <c:v>1444338.2244451672</c:v>
                </c:pt>
                <c:pt idx="60">
                  <c:v>1573271.2839411523</c:v>
                </c:pt>
                <c:pt idx="61">
                  <c:v>1783071.0884258868</c:v>
                </c:pt>
                <c:pt idx="62">
                  <c:v>1738382.0973299486</c:v>
                </c:pt>
                <c:pt idx="63">
                  <c:v>1854150.6058505159</c:v>
                </c:pt>
                <c:pt idx="64">
                  <c:v>2177814.7115949914</c:v>
                </c:pt>
                <c:pt idx="65">
                  <c:v>2370806.5441656737</c:v>
                </c:pt>
                <c:pt idx="66">
                  <c:v>2357625.0895168236</c:v>
                </c:pt>
                <c:pt idx="67">
                  <c:v>2554505.6512924139</c:v>
                </c:pt>
                <c:pt idx="68">
                  <c:v>2322515.3320769263</c:v>
                </c:pt>
                <c:pt idx="69">
                  <c:v>2425789.8859143225</c:v>
                </c:pt>
                <c:pt idx="70">
                  <c:v>2676128.5680967574</c:v>
                </c:pt>
                <c:pt idx="71">
                  <c:v>2185992.1305483277</c:v>
                </c:pt>
                <c:pt idx="72">
                  <c:v>2357626.1799402842</c:v>
                </c:pt>
                <c:pt idx="73">
                  <c:v>2845452.1956134774</c:v>
                </c:pt>
                <c:pt idx="74">
                  <c:v>2827275.3742703749</c:v>
                </c:pt>
                <c:pt idx="75">
                  <c:v>2949324.4199345931</c:v>
                </c:pt>
                <c:pt idx="76">
                  <c:v>2847072.9161583241</c:v>
                </c:pt>
                <c:pt idx="77">
                  <c:v>2641067.7831440433</c:v>
                </c:pt>
                <c:pt idx="78">
                  <c:v>2689684.9100400731</c:v>
                </c:pt>
                <c:pt idx="79">
                  <c:v>2758572.9464200353</c:v>
                </c:pt>
                <c:pt idx="80">
                  <c:v>2867539.4099164712</c:v>
                </c:pt>
                <c:pt idx="81">
                  <c:v>2399742.3142138105</c:v>
                </c:pt>
                <c:pt idx="82">
                  <c:v>2131307.6197729688</c:v>
                </c:pt>
                <c:pt idx="83">
                  <c:v>1781558.482213703</c:v>
                </c:pt>
                <c:pt idx="84">
                  <c:v>-505112.34924315132</c:v>
                </c:pt>
                <c:pt idx="85">
                  <c:v>252777.96818196803</c:v>
                </c:pt>
                <c:pt idx="86">
                  <c:v>1118344.3914172782</c:v>
                </c:pt>
                <c:pt idx="87">
                  <c:v>1200625.0605635142</c:v>
                </c:pt>
                <c:pt idx="88">
                  <c:v>1238474.7934727734</c:v>
                </c:pt>
                <c:pt idx="89">
                  <c:v>1941417.5122021544</c:v>
                </c:pt>
                <c:pt idx="90">
                  <c:v>2461061.3556106193</c:v>
                </c:pt>
                <c:pt idx="91">
                  <c:v>1984881.4831413243</c:v>
                </c:pt>
                <c:pt idx="92">
                  <c:v>1570836.141151675</c:v>
                </c:pt>
                <c:pt idx="93">
                  <c:v>1687421.6325958981</c:v>
                </c:pt>
                <c:pt idx="94">
                  <c:v>2476794.2800034112</c:v>
                </c:pt>
                <c:pt idx="95">
                  <c:v>3099385.7425867482</c:v>
                </c:pt>
                <c:pt idx="96">
                  <c:v>2819823.1538476506</c:v>
                </c:pt>
                <c:pt idx="97">
                  <c:v>3098461.2164019714</c:v>
                </c:pt>
                <c:pt idx="98">
                  <c:v>2508209.7024819585</c:v>
                </c:pt>
                <c:pt idx="99">
                  <c:v>3116120.5007408853</c:v>
                </c:pt>
                <c:pt idx="100">
                  <c:v>2720053.1183448718</c:v>
                </c:pt>
                <c:pt idx="101">
                  <c:v>1720591.5309136568</c:v>
                </c:pt>
                <c:pt idx="102">
                  <c:v>2827240.8368537226</c:v>
                </c:pt>
                <c:pt idx="103">
                  <c:v>2673171.4187546037</c:v>
                </c:pt>
                <c:pt idx="104">
                  <c:v>3238545.0972218071</c:v>
                </c:pt>
                <c:pt idx="105">
                  <c:v>3902095.4418462403</c:v>
                </c:pt>
                <c:pt idx="106">
                  <c:v>3854169.3080699351</c:v>
                </c:pt>
                <c:pt idx="107">
                  <c:v>4546599.7502301512</c:v>
                </c:pt>
                <c:pt idx="108">
                  <c:v>4935975.5659327712</c:v>
                </c:pt>
                <c:pt idx="109">
                  <c:v>5190558.4237178015</c:v>
                </c:pt>
                <c:pt idx="110">
                  <c:v>5150506.9453692678</c:v>
                </c:pt>
                <c:pt idx="111">
                  <c:v>5281491.6018908015</c:v>
                </c:pt>
                <c:pt idx="112">
                  <c:v>5360075.0178805664</c:v>
                </c:pt>
                <c:pt idx="113">
                  <c:v>6485729.1578340791</c:v>
                </c:pt>
                <c:pt idx="114">
                  <c:v>7085426.9686337924</c:v>
                </c:pt>
                <c:pt idx="115">
                  <c:v>7291544.7436382631</c:v>
                </c:pt>
                <c:pt idx="116">
                  <c:v>7512462.3362697</c:v>
                </c:pt>
                <c:pt idx="117">
                  <c:v>8032095.289710247</c:v>
                </c:pt>
                <c:pt idx="118">
                  <c:v>8914681.638169203</c:v>
                </c:pt>
                <c:pt idx="119">
                  <c:v>8362655.0504622711</c:v>
                </c:pt>
                <c:pt idx="120">
                  <c:v>8666112.831641173</c:v>
                </c:pt>
                <c:pt idx="121">
                  <c:v>8647868.1917675436</c:v>
                </c:pt>
                <c:pt idx="122">
                  <c:v>8666139.449586479</c:v>
                </c:pt>
                <c:pt idx="123">
                  <c:v>8859873.1618741881</c:v>
                </c:pt>
                <c:pt idx="124">
                  <c:v>8548461.471772721</c:v>
                </c:pt>
                <c:pt idx="125">
                  <c:v>8888257.2225448899</c:v>
                </c:pt>
                <c:pt idx="126">
                  <c:v>9182706.9190132823</c:v>
                </c:pt>
                <c:pt idx="127">
                  <c:v>9759220.6549695302</c:v>
                </c:pt>
                <c:pt idx="128">
                  <c:v>9475294.8825032897</c:v>
                </c:pt>
                <c:pt idx="129">
                  <c:v>9769411.735867478</c:v>
                </c:pt>
                <c:pt idx="130">
                  <c:v>9912235.7055566497</c:v>
                </c:pt>
                <c:pt idx="131">
                  <c:v>9634863.6367282588</c:v>
                </c:pt>
                <c:pt idx="132">
                  <c:v>9272135.0814442579</c:v>
                </c:pt>
                <c:pt idx="133">
                  <c:v>7389924.6956144851</c:v>
                </c:pt>
                <c:pt idx="134">
                  <c:v>9126319.8127126805</c:v>
                </c:pt>
                <c:pt idx="135">
                  <c:v>9176542.7377469819</c:v>
                </c:pt>
                <c:pt idx="136">
                  <c:v>8286118.360486703</c:v>
                </c:pt>
                <c:pt idx="137">
                  <c:v>8266585.2290992066</c:v>
                </c:pt>
                <c:pt idx="138">
                  <c:v>9723502.3782162238</c:v>
                </c:pt>
                <c:pt idx="139">
                  <c:v>9908375.2536966633</c:v>
                </c:pt>
                <c:pt idx="140">
                  <c:v>9905890.1026740633</c:v>
                </c:pt>
                <c:pt idx="141">
                  <c:v>10126822.81297585</c:v>
                </c:pt>
                <c:pt idx="142">
                  <c:v>9823491.5886256937</c:v>
                </c:pt>
                <c:pt idx="143">
                  <c:v>10509127.131352706</c:v>
                </c:pt>
                <c:pt idx="144">
                  <c:v>11252242.043232158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90-4201-B33B-F9BA895BA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050095"/>
        <c:axId val="2121050575"/>
      </c:scatterChart>
      <c:valAx>
        <c:axId val="2121050095"/>
        <c:scaling>
          <c:orientation val="minMax"/>
          <c:max val="46070"/>
          <c:min val="45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1050575"/>
        <c:crosses val="autoZero"/>
        <c:crossBetween val="midCat"/>
      </c:valAx>
      <c:valAx>
        <c:axId val="21210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105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2380</xdr:colOff>
      <xdr:row>3</xdr:row>
      <xdr:rowOff>42861</xdr:rowOff>
    </xdr:from>
    <xdr:to>
      <xdr:col>11</xdr:col>
      <xdr:colOff>461962</xdr:colOff>
      <xdr:row>19</xdr:row>
      <xdr:rowOff>95249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105ADE-10A1-40B1-8D80-1AECEE63B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astmoney\Choice\config\Office\WinExcel\EMFunc.xla" TargetMode="External"/><Relationship Id="rId1" Type="http://schemas.openxmlformats.org/officeDocument/2006/relationships/externalLinkPath" Target="file:///C:\Eastmoney\Choice\config\Office\WinExcel\EM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M_HQ_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5C9D-0B8C-4A29-8192-CE462DA9E8E5}">
  <dimension ref="A1:AA153"/>
  <sheetViews>
    <sheetView tabSelected="1" topLeftCell="A142" workbookViewId="0">
      <selection activeCell="D155" sqref="D155"/>
    </sheetView>
  </sheetViews>
  <sheetFormatPr defaultRowHeight="13.9" x14ac:dyDescent="0.4"/>
  <cols>
    <col min="1" max="1" width="11.59765625" customWidth="1"/>
    <col min="6" max="6" width="14.3984375" customWidth="1"/>
  </cols>
  <sheetData>
    <row r="1" spans="1:27" x14ac:dyDescent="0.4">
      <c r="A1" t="str">
        <f>[1]!EM_HQ_N("000016.SH,000300.SH,000905.SH,000852.SH","CLOSE","2025-07-18","N","Period=1,AdjustFlag=1,Type=1,CalendarType=1,Market=ALL,DealType=1,Layout1=0,Layout2=0,Order=0,DateType=0")</f>
        <v>历史行情</v>
      </c>
      <c r="L1" s="2" t="s">
        <v>16</v>
      </c>
      <c r="M1" s="2">
        <v>15</v>
      </c>
      <c r="N1" s="2">
        <v>14</v>
      </c>
      <c r="O1" s="2">
        <v>13</v>
      </c>
      <c r="P1" s="2">
        <v>12</v>
      </c>
      <c r="Q1" s="2">
        <v>11</v>
      </c>
      <c r="R1" s="2">
        <v>10</v>
      </c>
      <c r="S1" s="2">
        <v>9</v>
      </c>
      <c r="T1" s="2">
        <v>8</v>
      </c>
      <c r="U1" s="2">
        <v>7</v>
      </c>
      <c r="V1" s="2">
        <v>6</v>
      </c>
      <c r="W1" s="2">
        <v>5</v>
      </c>
      <c r="X1" s="2">
        <v>4</v>
      </c>
      <c r="Y1" s="2">
        <v>3</v>
      </c>
      <c r="Z1" s="2">
        <v>2</v>
      </c>
      <c r="AA1" s="2">
        <v>1</v>
      </c>
    </row>
    <row r="2" spans="1:27" x14ac:dyDescent="0.4">
      <c r="B2" t="s">
        <v>15</v>
      </c>
      <c r="C2" t="s">
        <v>14</v>
      </c>
      <c r="D2" t="s">
        <v>13</v>
      </c>
      <c r="E2" t="s">
        <v>12</v>
      </c>
    </row>
    <row r="3" spans="1:27" x14ac:dyDescent="0.4">
      <c r="B3" t="s">
        <v>11</v>
      </c>
      <c r="C3" t="s">
        <v>10</v>
      </c>
      <c r="D3" t="s">
        <v>9</v>
      </c>
      <c r="E3" t="s">
        <v>8</v>
      </c>
      <c r="F3" t="s">
        <v>7</v>
      </c>
      <c r="G3" t="s">
        <v>6</v>
      </c>
    </row>
    <row r="4" spans="1:27" x14ac:dyDescent="0.4">
      <c r="B4" t="s">
        <v>5</v>
      </c>
      <c r="C4" t="s">
        <v>5</v>
      </c>
      <c r="D4" t="s">
        <v>5</v>
      </c>
      <c r="E4" t="s">
        <v>5</v>
      </c>
      <c r="G4" t="s">
        <v>4</v>
      </c>
      <c r="H4" t="s">
        <v>3</v>
      </c>
      <c r="I4" t="s">
        <v>2</v>
      </c>
      <c r="J4" t="s">
        <v>1</v>
      </c>
    </row>
    <row r="5" spans="1:27" x14ac:dyDescent="0.4">
      <c r="A5" s="1">
        <v>45856</v>
      </c>
      <c r="B5">
        <v>2764.5160000000001</v>
      </c>
      <c r="C5">
        <v>4058.5486000000001</v>
      </c>
      <c r="D5">
        <v>6099.6103999999996</v>
      </c>
      <c r="E5">
        <v>6552.0740999999998</v>
      </c>
      <c r="G5">
        <v>0</v>
      </c>
      <c r="H5">
        <v>0</v>
      </c>
      <c r="I5">
        <f>SUM(Y5+X5+S5+R5)</f>
        <v>0</v>
      </c>
      <c r="J5">
        <f>SUM(M5:Q5)+SUM(T5:W5)+SUM(Z5:AA5)</f>
        <v>10514.503843034729</v>
      </c>
      <c r="L5" s="2">
        <f>SUM(M5:AW5)</f>
        <v>10514.503843034729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>
        <v>10514.503843034729</v>
      </c>
    </row>
    <row r="6" spans="1:27" x14ac:dyDescent="0.4">
      <c r="A6" s="1">
        <v>45859</v>
      </c>
      <c r="B6">
        <v>2772.2384999999999</v>
      </c>
      <c r="C6">
        <v>4085.6071999999999</v>
      </c>
      <c r="D6">
        <v>6161.3086000000003</v>
      </c>
      <c r="E6">
        <v>6612.2588999999998</v>
      </c>
      <c r="G6">
        <v>0</v>
      </c>
      <c r="H6">
        <v>0</v>
      </c>
      <c r="I6">
        <f>SUM(Y6+X6+S6+R6)</f>
        <v>0</v>
      </c>
      <c r="J6">
        <f>SUM(M6:Q6)+SUM(T6:W6)+SUM(Z6:AA6)</f>
        <v>50363.243581909483</v>
      </c>
      <c r="L6" s="2">
        <f>SUM(M6:AW6)</f>
        <v>50363.243581909483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>
        <v>50363.243581909483</v>
      </c>
    </row>
    <row r="7" spans="1:27" x14ac:dyDescent="0.4">
      <c r="A7" s="1">
        <v>45860</v>
      </c>
      <c r="B7">
        <v>2792.1822999999999</v>
      </c>
      <c r="C7">
        <v>4118.9582</v>
      </c>
      <c r="D7">
        <v>6213.4071999999996</v>
      </c>
      <c r="E7">
        <v>6637.1035000000002</v>
      </c>
      <c r="G7">
        <v>0</v>
      </c>
      <c r="H7">
        <v>0</v>
      </c>
      <c r="I7">
        <f>SUM(Y7+X7+S7+R7)</f>
        <v>0</v>
      </c>
      <c r="J7">
        <f>SUM(M7:Q7)+SUM(T7:W7)+SUM(Z7:AA7)</f>
        <v>68300.469938986353</v>
      </c>
      <c r="L7" s="2">
        <f>SUM(M7:AW7)</f>
        <v>68300.469938986353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>
        <v>68300.469938986353</v>
      </c>
    </row>
    <row r="8" spans="1:27" x14ac:dyDescent="0.4">
      <c r="A8" s="1">
        <v>45861</v>
      </c>
      <c r="B8">
        <v>2801.2002000000002</v>
      </c>
      <c r="C8">
        <v>4119.7685000000001</v>
      </c>
      <c r="D8">
        <v>6196.7577000000001</v>
      </c>
      <c r="E8">
        <v>6607.22</v>
      </c>
      <c r="G8">
        <v>0</v>
      </c>
      <c r="H8">
        <v>0</v>
      </c>
      <c r="I8">
        <f>SUM(Y8+X8+S8+R8)</f>
        <v>0</v>
      </c>
      <c r="J8">
        <f>SUM(M8:Q8)+SUM(T8:W8)+SUM(Z8:AA8)</f>
        <v>57068.686015685162</v>
      </c>
      <c r="L8" s="2">
        <f>SUM(M8:AW8)</f>
        <v>57068.686015685162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57068.686015685162</v>
      </c>
    </row>
    <row r="9" spans="1:27" x14ac:dyDescent="0.4">
      <c r="A9" s="1">
        <v>45862</v>
      </c>
      <c r="B9">
        <v>2812.4427999999998</v>
      </c>
      <c r="C9">
        <v>4149.0367999999999</v>
      </c>
      <c r="D9">
        <v>6293.5983999999999</v>
      </c>
      <c r="E9">
        <v>6701.12</v>
      </c>
      <c r="G9">
        <v>0</v>
      </c>
      <c r="H9">
        <v>0</v>
      </c>
      <c r="I9">
        <f>SUM(Y9+X9+S9+R9)</f>
        <v>0</v>
      </c>
      <c r="J9">
        <f>SUM(M9:Q9)+SUM(T9:W9)+SUM(Z9:AA9)</f>
        <v>108276.02989139341</v>
      </c>
      <c r="L9" s="2">
        <f>SUM(M9:AW9)</f>
        <v>108276.02989139341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>
        <v>108276.02989139341</v>
      </c>
    </row>
    <row r="10" spans="1:27" x14ac:dyDescent="0.4">
      <c r="A10" s="1">
        <v>45863</v>
      </c>
      <c r="B10">
        <v>2795.5127000000002</v>
      </c>
      <c r="C10">
        <v>4127.1634000000004</v>
      </c>
      <c r="D10">
        <v>6299.5907999999999</v>
      </c>
      <c r="E10">
        <v>6706.6098000000002</v>
      </c>
      <c r="G10">
        <v>0</v>
      </c>
      <c r="H10">
        <v>0</v>
      </c>
      <c r="I10">
        <f>SUM(Y10+X10+S10+R10)</f>
        <v>0</v>
      </c>
      <c r="J10">
        <f>SUM(M10:Q10)+SUM(T10:W10)+SUM(Z10:AA10)</f>
        <v>115011.33012369348</v>
      </c>
      <c r="L10" s="2">
        <f>SUM(M10:AW10)</f>
        <v>115011.33012369348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v>-41.022353143641347</v>
      </c>
      <c r="AA10" s="2">
        <v>115052.35247683711</v>
      </c>
    </row>
    <row r="11" spans="1:27" x14ac:dyDescent="0.4">
      <c r="A11" s="1">
        <v>45866</v>
      </c>
      <c r="B11">
        <v>2802.7674000000002</v>
      </c>
      <c r="C11">
        <v>4135.8242</v>
      </c>
      <c r="D11">
        <v>6323.4197999999997</v>
      </c>
      <c r="E11">
        <v>6729.9790000000003</v>
      </c>
      <c r="G11">
        <v>0</v>
      </c>
      <c r="H11">
        <v>0</v>
      </c>
      <c r="I11">
        <f>SUM(Y11+X11+S11+R11)</f>
        <v>0</v>
      </c>
      <c r="J11">
        <f>SUM(M11:Q11)+SUM(T11:W11)+SUM(Z11:AA11)</f>
        <v>148096.6936752685</v>
      </c>
      <c r="L11" s="2">
        <f>SUM(M11:AW11)</f>
        <v>148096.6936752685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18787.454225849753</v>
      </c>
      <c r="AA11" s="2">
        <v>129309.23944941876</v>
      </c>
    </row>
    <row r="12" spans="1:27" x14ac:dyDescent="0.4">
      <c r="A12" s="1">
        <v>45867</v>
      </c>
      <c r="B12">
        <v>2808.5916999999999</v>
      </c>
      <c r="C12">
        <v>4152.0246999999999</v>
      </c>
      <c r="D12">
        <v>6356.1327000000001</v>
      </c>
      <c r="E12">
        <v>6773.8842999999997</v>
      </c>
      <c r="G12">
        <v>0</v>
      </c>
      <c r="H12">
        <v>0</v>
      </c>
      <c r="I12">
        <f>SUM(Y12+X12+S12+R12)</f>
        <v>43458.519250279161</v>
      </c>
      <c r="J12">
        <f>SUM(M12:Q12)+SUM(T12:W12)+SUM(Z12:AA12)</f>
        <v>198768.35256054995</v>
      </c>
      <c r="L12" s="2">
        <f>SUM(M12:AW12)</f>
        <v>242226.87181082909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v>43458.519250279161</v>
      </c>
      <c r="Z12" s="2">
        <v>48048.958927414962</v>
      </c>
      <c r="AA12" s="2">
        <v>150719.39363313498</v>
      </c>
    </row>
    <row r="13" spans="1:27" x14ac:dyDescent="0.4">
      <c r="A13" s="1">
        <v>45868</v>
      </c>
      <c r="B13">
        <v>2819.3508000000002</v>
      </c>
      <c r="C13">
        <v>4151.2379000000001</v>
      </c>
      <c r="D13">
        <v>6314.6872999999996</v>
      </c>
      <c r="E13">
        <v>6718.4818999999998</v>
      </c>
      <c r="G13">
        <v>0</v>
      </c>
      <c r="H13">
        <v>0</v>
      </c>
      <c r="I13">
        <f>SUM(Y13+X13+S13+R13)</f>
        <v>7792.9121983106288</v>
      </c>
      <c r="J13">
        <f>SUM(M13:Q13)+SUM(T13:W13)+SUM(Z13:AA13)</f>
        <v>154811.32635284646</v>
      </c>
      <c r="L13" s="2">
        <f>SUM(M13:AW13)</f>
        <v>162604.23855115709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7792.9121983106288</v>
      </c>
      <c r="Z13" s="2">
        <v>21838.070819260156</v>
      </c>
      <c r="AA13" s="2">
        <v>132973.25553358631</v>
      </c>
    </row>
    <row r="14" spans="1:27" x14ac:dyDescent="0.4">
      <c r="A14" s="1">
        <v>45869</v>
      </c>
      <c r="B14">
        <v>2775.9935</v>
      </c>
      <c r="C14">
        <v>4075.5911999999998</v>
      </c>
      <c r="D14">
        <v>6226.3432000000003</v>
      </c>
      <c r="E14">
        <v>6661.1862000000001</v>
      </c>
      <c r="G14">
        <v>0</v>
      </c>
      <c r="H14">
        <v>0</v>
      </c>
      <c r="I14">
        <f>SUM(Y14+X14+S14+R14)</f>
        <v>-84127.257770309181</v>
      </c>
      <c r="J14">
        <f>SUM(M14:Q14)+SUM(T14:W14)+SUM(Z14:AA14)</f>
        <v>103739.48804705311</v>
      </c>
      <c r="L14" s="2">
        <f>SUM(M14:AW14)</f>
        <v>19612.230276743925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-84127.257770309181</v>
      </c>
      <c r="Z14" s="2">
        <v>-8318.3013945830171</v>
      </c>
      <c r="AA14" s="2">
        <v>112057.78944163612</v>
      </c>
    </row>
    <row r="15" spans="1:27" x14ac:dyDescent="0.4">
      <c r="A15" s="1">
        <v>45870</v>
      </c>
      <c r="B15">
        <v>2754.1302000000001</v>
      </c>
      <c r="C15">
        <v>4054.9286000000002</v>
      </c>
      <c r="D15">
        <v>6213.2013999999999</v>
      </c>
      <c r="E15">
        <v>6670.4719999999998</v>
      </c>
      <c r="G15">
        <v>0</v>
      </c>
      <c r="H15">
        <v>0</v>
      </c>
      <c r="I15">
        <f>SUM(Y15+X15+S15+R15)</f>
        <v>-94039.447321071537</v>
      </c>
      <c r="J15">
        <f>SUM(M15:Q15)+SUM(T15:W15)+SUM(Z15:AA15)</f>
        <v>123482.33613290304</v>
      </c>
      <c r="L15" s="2">
        <f>SUM(M15:AW15)</f>
        <v>29442.888811831508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-94039.447321071537</v>
      </c>
      <c r="Z15" s="2">
        <v>2694.1556127478493</v>
      </c>
      <c r="AA15" s="2">
        <v>120788.18052015519</v>
      </c>
    </row>
    <row r="16" spans="1:27" x14ac:dyDescent="0.4">
      <c r="A16" s="1">
        <v>45873</v>
      </c>
      <c r="B16">
        <v>2769.3933999999999</v>
      </c>
      <c r="C16">
        <v>4070.7022999999999</v>
      </c>
      <c r="D16">
        <v>6261.7313000000004</v>
      </c>
      <c r="E16">
        <v>6739.6935999999996</v>
      </c>
      <c r="G16">
        <v>0</v>
      </c>
      <c r="H16">
        <v>0</v>
      </c>
      <c r="I16">
        <f>SUM(Y16+X16+S16+R16)</f>
        <v>-31952.566691821892</v>
      </c>
      <c r="J16">
        <f>SUM(M16:Q16)+SUM(T16:W16)+SUM(Z16:AA16)</f>
        <v>202540.64069200429</v>
      </c>
      <c r="L16" s="2">
        <f>SUM(M16:AW16)</f>
        <v>170588.07400018239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>
        <v>-31952.566691821892</v>
      </c>
      <c r="Z16" s="2">
        <v>48515.602782257651</v>
      </c>
      <c r="AA16" s="2">
        <v>154025.03790974664</v>
      </c>
    </row>
    <row r="17" spans="1:27" x14ac:dyDescent="0.4">
      <c r="A17" s="1">
        <v>45874</v>
      </c>
      <c r="B17">
        <v>2790.7287000000001</v>
      </c>
      <c r="C17">
        <v>4103.45</v>
      </c>
      <c r="D17">
        <v>6303.2358999999997</v>
      </c>
      <c r="E17">
        <v>6787.4805999999999</v>
      </c>
      <c r="G17">
        <v>0</v>
      </c>
      <c r="H17">
        <v>0</v>
      </c>
      <c r="I17">
        <f>SUM(Y17+X17+S17+R17)</f>
        <v>18459.944915358737</v>
      </c>
      <c r="J17">
        <f>SUM(M17:Q17)+SUM(T17:W17)+SUM(Z17:AA17)</f>
        <v>253762.83065160413</v>
      </c>
      <c r="L17" s="2">
        <f>SUM(M17:AW17)</f>
        <v>272222.7755669629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18459.944915358737</v>
      </c>
      <c r="Z17" s="2">
        <v>78423.914691859449</v>
      </c>
      <c r="AA17" s="2">
        <v>175338.91595974469</v>
      </c>
    </row>
    <row r="18" spans="1:27" x14ac:dyDescent="0.4">
      <c r="A18" s="1">
        <v>45875</v>
      </c>
      <c r="B18">
        <v>2797.4234000000001</v>
      </c>
      <c r="C18">
        <v>4113.4852000000001</v>
      </c>
      <c r="D18">
        <v>6357.3769000000002</v>
      </c>
      <c r="E18">
        <v>6861.3091000000004</v>
      </c>
      <c r="G18">
        <v>0</v>
      </c>
      <c r="H18">
        <v>0</v>
      </c>
      <c r="I18">
        <f>SUM(Y18+X18+S18+R18)</f>
        <v>77579.606432968707</v>
      </c>
      <c r="J18">
        <f>SUM(M18:Q18)+SUM(T18:W18)+SUM(Z18:AA18)</f>
        <v>319060.92377103848</v>
      </c>
      <c r="L18" s="2">
        <f>SUM(M18:AW18)</f>
        <v>396640.53020400717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>
        <v>-52.936535910888665</v>
      </c>
      <c r="Y18" s="2">
        <v>77632.542968879599</v>
      </c>
      <c r="Z18" s="2">
        <v>117186.82431336289</v>
      </c>
      <c r="AA18" s="2">
        <v>201874.09945767559</v>
      </c>
    </row>
    <row r="19" spans="1:27" x14ac:dyDescent="0.4">
      <c r="A19" s="1">
        <v>45876</v>
      </c>
      <c r="B19">
        <v>2798.3110999999999</v>
      </c>
      <c r="C19">
        <v>4114.6660000000002</v>
      </c>
      <c r="D19">
        <v>6337.5424999999996</v>
      </c>
      <c r="E19">
        <v>6862.1496999999999</v>
      </c>
      <c r="G19">
        <v>0</v>
      </c>
      <c r="H19">
        <v>0</v>
      </c>
      <c r="I19">
        <f>SUM(Y19+X19+S19+R19)</f>
        <v>49092.172226786315</v>
      </c>
      <c r="J19">
        <f>SUM(M19:Q19)+SUM(T19:W19)+SUM(Z19:AA19)</f>
        <v>327506.58394992666</v>
      </c>
      <c r="L19" s="2">
        <f>SUM(M19:AW19)</f>
        <v>376598.75617671304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>
        <v>-15168.459244345928</v>
      </c>
      <c r="Y19" s="2">
        <v>64260.631471132241</v>
      </c>
      <c r="Z19" s="2">
        <v>121862.63552236621</v>
      </c>
      <c r="AA19" s="2">
        <v>205643.94842756048</v>
      </c>
    </row>
    <row r="20" spans="1:27" x14ac:dyDescent="0.4">
      <c r="A20" s="1">
        <v>45877</v>
      </c>
      <c r="B20">
        <v>2789.1743999999999</v>
      </c>
      <c r="C20">
        <v>4104.9669000000004</v>
      </c>
      <c r="D20">
        <v>6323.4998999999998</v>
      </c>
      <c r="E20">
        <v>6838.1298999999999</v>
      </c>
      <c r="G20">
        <v>0</v>
      </c>
      <c r="H20">
        <v>0</v>
      </c>
      <c r="I20">
        <f>SUM(Y20+X20+S20+R20)</f>
        <v>31549.599464054892</v>
      </c>
      <c r="J20">
        <f>SUM(M20:Q20)+SUM(T20:W20)+SUM(Z20:AA20)</f>
        <v>318317.65114538535</v>
      </c>
      <c r="L20" s="2">
        <f>SUM(M20:AW20)</f>
        <v>349867.25060944026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>
        <v>-24557.888480048558</v>
      </c>
      <c r="Y20" s="2">
        <v>56107.48794410345</v>
      </c>
      <c r="Z20" s="2">
        <v>115841.23118102794</v>
      </c>
      <c r="AA20" s="2">
        <v>202476.4199643574</v>
      </c>
    </row>
    <row r="21" spans="1:27" x14ac:dyDescent="0.4">
      <c r="A21" s="1">
        <v>45880</v>
      </c>
      <c r="B21">
        <v>2789.8959</v>
      </c>
      <c r="C21">
        <v>4122.5105999999996</v>
      </c>
      <c r="D21">
        <v>6391.7595000000001</v>
      </c>
      <c r="E21">
        <v>6943.9366</v>
      </c>
      <c r="G21">
        <v>0</v>
      </c>
      <c r="H21">
        <v>0</v>
      </c>
      <c r="I21">
        <f>SUM(Y21+X21+S21+R21)</f>
        <v>176264.27064495889</v>
      </c>
      <c r="J21">
        <f>SUM(M21:Q21)+SUM(T21:W21)+SUM(Z21:AA21)</f>
        <v>393704.55318385951</v>
      </c>
      <c r="L21" s="2">
        <f>SUM(M21:AW21)</f>
        <v>569968.82382881839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>
        <v>50984.479910704322</v>
      </c>
      <c r="Y21" s="2">
        <v>125279.79073425457</v>
      </c>
      <c r="Z21" s="2">
        <v>161589.42288704141</v>
      </c>
      <c r="AA21" s="2">
        <v>232115.1302968181</v>
      </c>
    </row>
    <row r="22" spans="1:27" x14ac:dyDescent="0.4">
      <c r="A22" s="1">
        <v>45881</v>
      </c>
      <c r="B22">
        <v>2807.0124000000001</v>
      </c>
      <c r="C22">
        <v>4143.8252000000002</v>
      </c>
      <c r="D22">
        <v>6418.1594999999998</v>
      </c>
      <c r="E22">
        <v>6963.6109999999999</v>
      </c>
      <c r="G22">
        <v>0</v>
      </c>
      <c r="H22">
        <v>0</v>
      </c>
      <c r="I22">
        <f>SUM(Y22+X22+S22+R22)</f>
        <v>234334.73932315345</v>
      </c>
      <c r="J22">
        <f>SUM(M22:Q22)+SUM(T22:W22)+SUM(Z22:AA22)</f>
        <v>411324.51233486814</v>
      </c>
      <c r="L22" s="2">
        <f>SUM(M22:AW22)</f>
        <v>645659.25165802159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>
        <v>81321.167675203978</v>
      </c>
      <c r="Y22" s="2">
        <v>153013.57164794949</v>
      </c>
      <c r="Z22" s="2">
        <v>172120.08887442006</v>
      </c>
      <c r="AA22" s="2">
        <v>239204.42346044807</v>
      </c>
    </row>
    <row r="23" spans="1:27" x14ac:dyDescent="0.4">
      <c r="A23" s="1">
        <v>45882</v>
      </c>
      <c r="B23">
        <v>2812.9803999999999</v>
      </c>
      <c r="C23">
        <v>4176.5775999999996</v>
      </c>
      <c r="D23">
        <v>6508.0977999999996</v>
      </c>
      <c r="E23">
        <v>7064.3338999999996</v>
      </c>
      <c r="G23">
        <v>0</v>
      </c>
      <c r="H23">
        <v>0</v>
      </c>
      <c r="I23">
        <f>SUM(Y23+X23+S23+R23)</f>
        <v>386992.21326251572</v>
      </c>
      <c r="J23">
        <f>SUM(M23:Q23)+SUM(T23:W23)+SUM(Z23:AA23)</f>
        <v>463697.0079944866</v>
      </c>
      <c r="L23" s="2">
        <f>SUM(M23:AW23)</f>
        <v>850689.22125700233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>
        <v>162049.6696769777</v>
      </c>
      <c r="Y23" s="2">
        <v>224942.54358553799</v>
      </c>
      <c r="Z23" s="2">
        <v>204852.03905104997</v>
      </c>
      <c r="AA23" s="2">
        <v>258844.96894343666</v>
      </c>
    </row>
    <row r="24" spans="1:27" x14ac:dyDescent="0.4">
      <c r="A24" s="1">
        <v>45883</v>
      </c>
      <c r="B24">
        <v>2829.4703</v>
      </c>
      <c r="C24">
        <v>4173.3131000000003</v>
      </c>
      <c r="D24">
        <v>6429.8462</v>
      </c>
      <c r="E24">
        <v>6976.4875000000002</v>
      </c>
      <c r="G24">
        <v>0</v>
      </c>
      <c r="H24">
        <v>0</v>
      </c>
      <c r="I24">
        <f>SUM(Y24+X24+S24+R24)</f>
        <v>276075.1490453044</v>
      </c>
      <c r="J24">
        <f>SUM(M24:Q24)+SUM(T24:W24)+SUM(Z24:AA24)</f>
        <v>431412.58070304035</v>
      </c>
      <c r="L24" s="2">
        <f>SUM(M24:AW24)</f>
        <v>707487.72974834475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>
        <v>102857.61726716712</v>
      </c>
      <c r="Y24" s="2">
        <v>173217.53177813729</v>
      </c>
      <c r="Z24" s="2">
        <v>183840.48246066979</v>
      </c>
      <c r="AA24" s="2">
        <v>247572.09824237059</v>
      </c>
    </row>
    <row r="25" spans="1:27" x14ac:dyDescent="0.4">
      <c r="A25" s="1">
        <v>45884</v>
      </c>
      <c r="B25">
        <v>2832.8759</v>
      </c>
      <c r="C25">
        <v>4202.3532999999998</v>
      </c>
      <c r="D25">
        <v>6568.57</v>
      </c>
      <c r="E25">
        <v>7117.5009</v>
      </c>
      <c r="G25">
        <v>0</v>
      </c>
      <c r="H25">
        <v>0</v>
      </c>
      <c r="I25">
        <f>SUM(Y25+X25+S25+R25)</f>
        <v>486894.29907080799</v>
      </c>
      <c r="J25">
        <f>SUM(M25:Q25)+SUM(T25:W25)+SUM(Z25:AA25)</f>
        <v>494159.15080460563</v>
      </c>
      <c r="L25" s="2">
        <f>SUM(M25:AW25)</f>
        <v>981053.44987541367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>
        <v>215130.73871281906</v>
      </c>
      <c r="Y25" s="2">
        <v>271763.56035798893</v>
      </c>
      <c r="Z25" s="2">
        <v>223728.83483283198</v>
      </c>
      <c r="AA25" s="2">
        <v>270430.31597177364</v>
      </c>
    </row>
    <row r="26" spans="1:27" x14ac:dyDescent="0.4">
      <c r="A26" s="1">
        <v>45887</v>
      </c>
      <c r="B26">
        <v>2838.8726000000001</v>
      </c>
      <c r="C26">
        <v>4239.4125000000004</v>
      </c>
      <c r="D26">
        <v>6668.1725999999999</v>
      </c>
      <c r="E26">
        <v>7237.6018000000004</v>
      </c>
      <c r="G26">
        <v>0</v>
      </c>
      <c r="H26">
        <v>0</v>
      </c>
      <c r="I26">
        <f>SUM(Y26+X26+S26+R26)</f>
        <v>602892.66471533966</v>
      </c>
      <c r="J26">
        <f>SUM(M26:Q26)+SUM(T26:W26)+SUM(Z26:AA26)</f>
        <v>531252.57815389417</v>
      </c>
      <c r="L26" s="2">
        <f>SUM(M26:AW26)</f>
        <v>1134145.2428692337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>
        <v>277956.39413071226</v>
      </c>
      <c r="Y26" s="2">
        <v>324936.27058462746</v>
      </c>
      <c r="Z26" s="2">
        <v>248018.66007788005</v>
      </c>
      <c r="AA26" s="2">
        <v>283233.91807601409</v>
      </c>
    </row>
    <row r="27" spans="1:27" x14ac:dyDescent="0.4">
      <c r="A27" s="1">
        <v>45888</v>
      </c>
      <c r="B27">
        <v>2812.4225000000001</v>
      </c>
      <c r="C27">
        <v>4223.3741</v>
      </c>
      <c r="D27">
        <v>6655.3104999999996</v>
      </c>
      <c r="E27">
        <v>7242.8494000000001</v>
      </c>
      <c r="G27">
        <v>0</v>
      </c>
      <c r="H27">
        <v>0</v>
      </c>
      <c r="I27">
        <f>SUM(Y27+X27+S27+R27)</f>
        <v>599407.47575237136</v>
      </c>
      <c r="J27">
        <f>SUM(M27:Q27)+SUM(T27:W27)+SUM(Z27:AA27)</f>
        <v>536872.77408955479</v>
      </c>
      <c r="L27" s="2">
        <f>SUM(M27:AW27)</f>
        <v>1136280.2498419262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>
        <v>275769.3442585523</v>
      </c>
      <c r="Y27" s="2">
        <v>323638.13149381912</v>
      </c>
      <c r="Z27" s="2">
        <v>251404.00751765585</v>
      </c>
      <c r="AA27" s="2">
        <v>285468.76657189889</v>
      </c>
    </row>
    <row r="28" spans="1:27" x14ac:dyDescent="0.4">
      <c r="A28" s="1">
        <v>45889</v>
      </c>
      <c r="B28">
        <v>2846.9906999999998</v>
      </c>
      <c r="C28">
        <v>4271.3958000000002</v>
      </c>
      <c r="D28">
        <v>6728.0691999999999</v>
      </c>
      <c r="E28">
        <v>7305.4612999999999</v>
      </c>
      <c r="G28">
        <v>0</v>
      </c>
      <c r="H28">
        <v>0</v>
      </c>
      <c r="I28">
        <f>SUM(Y28+X28+S28+R28)</f>
        <v>669933.23488459317</v>
      </c>
      <c r="J28">
        <f>SUM(M28:Q28)+SUM(T28:W28)+SUM(Z28:AA28)</f>
        <v>552564.40284877084</v>
      </c>
      <c r="L28" s="2">
        <f>SUM(M28:AW28)</f>
        <v>1222497.637733364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314492.47697176767</v>
      </c>
      <c r="Y28" s="2">
        <v>355440.75791282556</v>
      </c>
      <c r="Z28" s="2">
        <v>261796.59788227594</v>
      </c>
      <c r="AA28" s="2">
        <v>290767.80496649485</v>
      </c>
    </row>
    <row r="29" spans="1:27" x14ac:dyDescent="0.4">
      <c r="A29" s="1">
        <v>45890</v>
      </c>
      <c r="B29">
        <v>2862.1763999999998</v>
      </c>
      <c r="C29">
        <v>4288.0707000000002</v>
      </c>
      <c r="D29">
        <v>6704.1656999999996</v>
      </c>
      <c r="E29">
        <v>7253.3428999999996</v>
      </c>
      <c r="G29">
        <v>0</v>
      </c>
      <c r="H29">
        <v>0</v>
      </c>
      <c r="I29">
        <f>SUM(Y29+X29+S29+R29)</f>
        <v>659192.24343953491</v>
      </c>
      <c r="J29">
        <f>SUM(M29:Q29)+SUM(T29:W29)+SUM(Z29:AA29)</f>
        <v>488893.99807196489</v>
      </c>
      <c r="L29" s="2">
        <f>SUM(M29:AW29)</f>
        <v>1148086.2415114997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>
        <v>-58776.537970189864</v>
      </c>
      <c r="X29" s="2">
        <v>308232.66305147187</v>
      </c>
      <c r="Y29" s="2">
        <v>350959.58038806304</v>
      </c>
      <c r="Z29" s="2">
        <v>257924.64194240951</v>
      </c>
      <c r="AA29" s="2">
        <v>289745.8940997452</v>
      </c>
    </row>
    <row r="30" spans="1:27" x14ac:dyDescent="0.4">
      <c r="A30" s="1">
        <v>45891</v>
      </c>
      <c r="B30">
        <v>2928.6134999999999</v>
      </c>
      <c r="C30">
        <v>4377.9976999999999</v>
      </c>
      <c r="D30">
        <v>6822.8468999999996</v>
      </c>
      <c r="E30">
        <v>7362.9395999999997</v>
      </c>
      <c r="G30">
        <v>0</v>
      </c>
      <c r="H30">
        <v>0</v>
      </c>
      <c r="I30">
        <f>SUM(Y30+X30+S30+R30)</f>
        <v>745758.51169462607</v>
      </c>
      <c r="J30">
        <f>SUM(M30:Q30)+SUM(T30:W30)+SUM(Z30:AA30)</f>
        <v>576795.35794883478</v>
      </c>
      <c r="L30" s="2">
        <f>SUM(M30:AW30)</f>
        <v>1322553.8696434607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>
        <v>8575.2793523338387</v>
      </c>
      <c r="X30" s="2">
        <v>356686.57349779661</v>
      </c>
      <c r="Y30" s="2">
        <v>389071.93819682946</v>
      </c>
      <c r="Z30" s="2">
        <v>271966.97960053326</v>
      </c>
      <c r="AA30" s="2">
        <v>296253.09899596759</v>
      </c>
    </row>
    <row r="31" spans="1:27" x14ac:dyDescent="0.4">
      <c r="A31" s="1">
        <v>45894</v>
      </c>
      <c r="B31">
        <v>2989.8548999999998</v>
      </c>
      <c r="C31">
        <v>4469.2217000000001</v>
      </c>
      <c r="D31">
        <v>6951.8954999999996</v>
      </c>
      <c r="E31">
        <v>7477.7280000000001</v>
      </c>
      <c r="G31">
        <v>0</v>
      </c>
      <c r="H31">
        <v>0</v>
      </c>
      <c r="I31">
        <f>SUM(Y31+X31+S31+R31)</f>
        <v>806769.23445537803</v>
      </c>
      <c r="J31">
        <f>SUM(M31:Q31)+SUM(T31:W31)+SUM(Z31:AA31)</f>
        <v>647309.13446638547</v>
      </c>
      <c r="L31" s="2">
        <f>SUM(M31:AW31)</f>
        <v>1454078.3689217637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v>64831.0803515921</v>
      </c>
      <c r="X31" s="2">
        <v>391826.70110046741</v>
      </c>
      <c r="Y31" s="2">
        <v>414942.53335491067</v>
      </c>
      <c r="Z31" s="2">
        <v>281938.68791453325</v>
      </c>
      <c r="AA31" s="2">
        <v>300539.36620026024</v>
      </c>
    </row>
    <row r="32" spans="1:27" x14ac:dyDescent="0.4">
      <c r="A32" s="1">
        <v>45895</v>
      </c>
      <c r="B32">
        <v>2969.7761999999998</v>
      </c>
      <c r="C32">
        <v>4452.5905000000002</v>
      </c>
      <c r="D32">
        <v>6964.0653000000002</v>
      </c>
      <c r="E32">
        <v>7476.4672</v>
      </c>
      <c r="G32">
        <v>0</v>
      </c>
      <c r="H32">
        <v>0</v>
      </c>
      <c r="I32">
        <f>SUM(Y32+X32+S32+R32)</f>
        <v>815714.06711163884</v>
      </c>
      <c r="J32">
        <f>SUM(M32:Q32)+SUM(T32:W32)+SUM(Z32:AA32)</f>
        <v>653188.9847403809</v>
      </c>
      <c r="L32" s="2">
        <f>SUM(M32:AW32)</f>
        <v>1468903.0518520197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v>67824.272373099971</v>
      </c>
      <c r="X32" s="2">
        <v>396859.95635496062</v>
      </c>
      <c r="Y32" s="2">
        <v>418854.11075667822</v>
      </c>
      <c r="Z32" s="2">
        <v>283604.83516398497</v>
      </c>
      <c r="AA32" s="2">
        <v>301759.877203296</v>
      </c>
    </row>
    <row r="33" spans="1:27" x14ac:dyDescent="0.4">
      <c r="A33" s="1">
        <v>45896</v>
      </c>
      <c r="B33">
        <v>2918.3789000000002</v>
      </c>
      <c r="C33">
        <v>4386.1265999999996</v>
      </c>
      <c r="D33">
        <v>6862.5623999999998</v>
      </c>
      <c r="E33">
        <v>7336.5036</v>
      </c>
      <c r="G33">
        <v>0</v>
      </c>
      <c r="H33">
        <v>0</v>
      </c>
      <c r="I33">
        <f>SUM(Y33+X33+S33+R33)</f>
        <v>784228.6455558259</v>
      </c>
      <c r="J33">
        <f>SUM(M33:Q33)+SUM(T33:W33)+SUM(Z33:AA33)</f>
        <v>582361.416126795</v>
      </c>
      <c r="L33" s="2">
        <f>SUM(M33:AW33)</f>
        <v>1366590.0616826208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>
        <v>6545.7704040664548</v>
      </c>
      <c r="X33" s="2">
        <v>378024.24949615641</v>
      </c>
      <c r="Y33" s="2">
        <v>406204.39605966944</v>
      </c>
      <c r="Z33" s="2">
        <v>276015.7932432486</v>
      </c>
      <c r="AA33" s="2">
        <v>299799.85247947997</v>
      </c>
    </row>
    <row r="34" spans="1:27" x14ac:dyDescent="0.4">
      <c r="A34" s="1">
        <v>45897</v>
      </c>
      <c r="B34">
        <v>2960.7266</v>
      </c>
      <c r="C34">
        <v>4463.7820000000002</v>
      </c>
      <c r="D34">
        <v>7011.1602000000003</v>
      </c>
      <c r="E34">
        <v>7447.1100999999999</v>
      </c>
      <c r="G34">
        <v>0</v>
      </c>
      <c r="H34">
        <v>0</v>
      </c>
      <c r="I34">
        <f>SUM(Y34+X34+S34+R34)</f>
        <v>837696.17660317651</v>
      </c>
      <c r="J34">
        <f>SUM(M34:Q34)+SUM(T34:W34)+SUM(Z34:AA34)</f>
        <v>652162.60554236046</v>
      </c>
      <c r="L34" s="2">
        <f>SUM(M34:AW34)</f>
        <v>1489858.782145537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>
        <v>62924.533988112504</v>
      </c>
      <c r="X34" s="2">
        <v>409540.95619375521</v>
      </c>
      <c r="Y34" s="2">
        <v>428155.22040942131</v>
      </c>
      <c r="Z34" s="2">
        <v>285511.88710084313</v>
      </c>
      <c r="AA34" s="2">
        <v>303726.18445340486</v>
      </c>
    </row>
    <row r="35" spans="1:27" x14ac:dyDescent="0.4">
      <c r="A35" s="1">
        <v>45898</v>
      </c>
      <c r="B35">
        <v>2976.4731999999999</v>
      </c>
      <c r="C35">
        <v>4496.7591000000002</v>
      </c>
      <c r="D35">
        <v>7043.9416000000001</v>
      </c>
      <c r="E35">
        <v>7438.6767</v>
      </c>
      <c r="G35">
        <v>0</v>
      </c>
      <c r="H35">
        <v>0</v>
      </c>
      <c r="I35">
        <f>SUM(Y35+X35+S35+R35)</f>
        <v>848875.97463034838</v>
      </c>
      <c r="J35">
        <f>SUM(M35:Q35)+SUM(T35:W35)+SUM(Z35:AA35)</f>
        <v>654610.37713987299</v>
      </c>
      <c r="L35" s="2">
        <f>SUM(M35:AW35)</f>
        <v>1503486.3517702215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>
        <v>62981.696647958102</v>
      </c>
      <c r="X35" s="2">
        <v>416117.02237879368</v>
      </c>
      <c r="Y35" s="2">
        <v>432758.95225155464</v>
      </c>
      <c r="Z35" s="2">
        <v>286811.67581536126</v>
      </c>
      <c r="AA35" s="2">
        <v>304817.0046765536</v>
      </c>
    </row>
    <row r="36" spans="1:27" x14ac:dyDescent="0.4">
      <c r="A36" s="1">
        <v>45901</v>
      </c>
      <c r="B36">
        <v>2981.2024000000001</v>
      </c>
      <c r="C36">
        <v>4523.7111000000004</v>
      </c>
      <c r="D36">
        <v>7110.2882</v>
      </c>
      <c r="E36">
        <v>7501.1482999999998</v>
      </c>
      <c r="G36">
        <v>0</v>
      </c>
      <c r="H36">
        <v>0</v>
      </c>
      <c r="I36">
        <f>SUM(Y36+X36+S36+R36)</f>
        <v>863335.61492657941</v>
      </c>
      <c r="J36">
        <f>SUM(M36:Q36)+SUM(T36:W36)+SUM(Z36:AA36)</f>
        <v>689119.36754106579</v>
      </c>
      <c r="L36" s="2">
        <f>SUM(M36:AW36)</f>
        <v>1552454.9824676451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>
        <v>91028.117359654934</v>
      </c>
      <c r="X36" s="2">
        <v>424888.67310780013</v>
      </c>
      <c r="Y36" s="2">
        <v>438446.94181877928</v>
      </c>
      <c r="Z36" s="2">
        <v>291290.78373355564</v>
      </c>
      <c r="AA36" s="2">
        <v>306800.46644785517</v>
      </c>
    </row>
    <row r="37" spans="1:27" x14ac:dyDescent="0.4">
      <c r="A37" s="1">
        <v>45902</v>
      </c>
      <c r="B37">
        <v>2992.8809999999999</v>
      </c>
      <c r="C37">
        <v>4490.4528</v>
      </c>
      <c r="D37">
        <v>6961.6894000000002</v>
      </c>
      <c r="E37">
        <v>7313.8824000000004</v>
      </c>
      <c r="G37">
        <v>0</v>
      </c>
      <c r="H37">
        <v>0</v>
      </c>
      <c r="I37">
        <f>SUM(Y37+X37+S37+R37)</f>
        <v>839589.17268226692</v>
      </c>
      <c r="J37">
        <f>SUM(M37:Q37)+SUM(T37:W37)+SUM(Z37:AA37)</f>
        <v>597869.61427313986</v>
      </c>
      <c r="L37" s="2">
        <f>SUM(M37:AW37)</f>
        <v>1437458.7869554067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>
        <v>10461.886371034218</v>
      </c>
      <c r="X37" s="2">
        <v>409788.51420909475</v>
      </c>
      <c r="Y37" s="2">
        <v>429800.65847317223</v>
      </c>
      <c r="Z37" s="2">
        <v>282539.28916878428</v>
      </c>
      <c r="AA37" s="2">
        <v>304868.43873332138</v>
      </c>
    </row>
    <row r="38" spans="1:27" x14ac:dyDescent="0.4">
      <c r="A38" s="1">
        <v>45903</v>
      </c>
      <c r="B38">
        <v>2960.9933000000001</v>
      </c>
      <c r="C38">
        <v>4459.8296</v>
      </c>
      <c r="D38">
        <v>6868.4615000000003</v>
      </c>
      <c r="E38">
        <v>7206.8757999999998</v>
      </c>
      <c r="G38">
        <v>0</v>
      </c>
      <c r="H38">
        <v>0</v>
      </c>
      <c r="I38">
        <f>SUM(Y38+X38+S38+R38)</f>
        <v>816180.11705707724</v>
      </c>
      <c r="J38">
        <f>SUM(M38:Q38)+SUM(T38:W38)+SUM(Z38:AA38)</f>
        <v>527501.04156313394</v>
      </c>
      <c r="L38" s="2">
        <f>SUM(M38:AW38)</f>
        <v>1343681.1586202113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>
        <v>-50075.573230045615</v>
      </c>
      <c r="X38" s="2">
        <v>395330.57889546448</v>
      </c>
      <c r="Y38" s="2">
        <v>420849.53816161276</v>
      </c>
      <c r="Z38" s="2">
        <v>274703.32472376694</v>
      </c>
      <c r="AA38" s="2">
        <v>302873.29006941261</v>
      </c>
    </row>
    <row r="39" spans="1:27" x14ac:dyDescent="0.4">
      <c r="A39" s="1">
        <v>45904</v>
      </c>
      <c r="B39">
        <v>2910.47</v>
      </c>
      <c r="C39">
        <v>4365.2084999999997</v>
      </c>
      <c r="D39">
        <v>6698.4474</v>
      </c>
      <c r="E39">
        <v>7041.1544000000004</v>
      </c>
      <c r="G39">
        <v>0</v>
      </c>
      <c r="H39">
        <v>0</v>
      </c>
      <c r="I39">
        <f>SUM(Y39+X39+S39+R39)</f>
        <v>735478.85814083903</v>
      </c>
      <c r="J39">
        <f>SUM(M39:Q39)+SUM(T39:W39)+SUM(Z39:AA39)</f>
        <v>373833.42397662986</v>
      </c>
      <c r="L39" s="2">
        <f>SUM(M39:AW39)</f>
        <v>1109312.282117469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>
        <v>-173769.49297960813</v>
      </c>
      <c r="X39" s="2">
        <v>347996.29496156465</v>
      </c>
      <c r="Y39" s="2">
        <v>387482.56317927438</v>
      </c>
      <c r="Z39" s="2">
        <v>252750.99338999842</v>
      </c>
      <c r="AA39" s="2">
        <v>294851.92356623959</v>
      </c>
    </row>
    <row r="40" spans="1:27" x14ac:dyDescent="0.4">
      <c r="A40" s="1">
        <v>45905</v>
      </c>
      <c r="B40">
        <v>2942.2161999999998</v>
      </c>
      <c r="C40">
        <v>4460.3248999999996</v>
      </c>
      <c r="D40">
        <v>6913.9531999999999</v>
      </c>
      <c r="E40">
        <v>7245.6670000000004</v>
      </c>
      <c r="G40">
        <v>0</v>
      </c>
      <c r="H40">
        <v>0</v>
      </c>
      <c r="I40">
        <f>SUM(Y40+X40+S40+R40)</f>
        <v>841638.26402656897</v>
      </c>
      <c r="J40">
        <f>SUM(M40:Q40)+SUM(T40:W40)+SUM(Z40:AA40)</f>
        <v>574151.71845915983</v>
      </c>
      <c r="L40" s="2">
        <f>SUM(M40:AW40)</f>
        <v>1415789.9824857288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v>-16458.487317304076</v>
      </c>
      <c r="X40" s="2">
        <v>410073.26907359867</v>
      </c>
      <c r="Y40" s="2">
        <v>431564.99495297024</v>
      </c>
      <c r="Z40" s="2">
        <v>283302.50971889886</v>
      </c>
      <c r="AA40" s="2">
        <v>307307.6960575651</v>
      </c>
    </row>
    <row r="41" spans="1:27" x14ac:dyDescent="0.4">
      <c r="A41" s="1">
        <v>45908</v>
      </c>
      <c r="B41">
        <v>2939.8823000000002</v>
      </c>
      <c r="C41">
        <v>4467.5733</v>
      </c>
      <c r="D41">
        <v>6992.1169</v>
      </c>
      <c r="E41">
        <v>7311.0343000000003</v>
      </c>
      <c r="G41">
        <v>0</v>
      </c>
      <c r="H41">
        <v>0</v>
      </c>
      <c r="I41">
        <f>SUM(Y41+X41+S41+R41)</f>
        <v>864132.95755559218</v>
      </c>
      <c r="J41">
        <f>SUM(M41:Q41)+SUM(T41:W41)+SUM(Z41:AA41)</f>
        <v>625847.79523536423</v>
      </c>
      <c r="L41" s="2">
        <f>SUM(M41:AW41)</f>
        <v>1489980.7527909563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v>25255.862631891912</v>
      </c>
      <c r="X41" s="2">
        <v>423761.65342619328</v>
      </c>
      <c r="Y41" s="2">
        <v>440371.30412939889</v>
      </c>
      <c r="Z41" s="2">
        <v>290412.86164210294</v>
      </c>
      <c r="AA41" s="2">
        <v>310179.07096136932</v>
      </c>
    </row>
    <row r="42" spans="1:27" x14ac:dyDescent="0.4">
      <c r="A42" s="1">
        <v>45909</v>
      </c>
      <c r="B42">
        <v>2928.6323000000002</v>
      </c>
      <c r="C42">
        <v>4436.2583999999997</v>
      </c>
      <c r="D42">
        <v>6928.9651000000003</v>
      </c>
      <c r="E42">
        <v>7226.0276999999996</v>
      </c>
      <c r="G42">
        <v>0</v>
      </c>
      <c r="H42">
        <v>0</v>
      </c>
      <c r="I42">
        <f>SUM(Y42+X42+S42+R42)</f>
        <v>855358.385813687</v>
      </c>
      <c r="J42">
        <f>SUM(M42:Q42)+SUM(T42:W42)+SUM(Z42:AA42)</f>
        <v>575715.04099365429</v>
      </c>
      <c r="L42" s="2">
        <f>SUM(M42:AW42)</f>
        <v>1431073.4268073412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>
        <v>-20014.647441274592</v>
      </c>
      <c r="X42" s="2">
        <v>417884.52680165041</v>
      </c>
      <c r="Y42" s="2">
        <v>437473.85901203653</v>
      </c>
      <c r="Z42" s="2">
        <v>286052.61442005564</v>
      </c>
      <c r="AA42" s="2">
        <v>309677.07401487324</v>
      </c>
    </row>
    <row r="43" spans="1:27" x14ac:dyDescent="0.4">
      <c r="A43" s="1">
        <v>45910</v>
      </c>
      <c r="B43">
        <v>2939.5911000000001</v>
      </c>
      <c r="C43">
        <v>4445.3648999999996</v>
      </c>
      <c r="D43">
        <v>6932.1091999999999</v>
      </c>
      <c r="E43">
        <v>7230.1678000000002</v>
      </c>
      <c r="G43">
        <v>0</v>
      </c>
      <c r="H43">
        <v>0</v>
      </c>
      <c r="I43">
        <f>SUM(Y43+X43+S43+R43)</f>
        <v>860794.30238093482</v>
      </c>
      <c r="J43">
        <f>SUM(M43:Q43)+SUM(T43:W43)+SUM(Z43:AA43)</f>
        <v>586804.21731286845</v>
      </c>
      <c r="L43" s="2">
        <f>SUM(M43:AW43)</f>
        <v>1447598.519693803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>
        <v>-13030.762668171592</v>
      </c>
      <c r="X43" s="2">
        <v>420944.15203813475</v>
      </c>
      <c r="Y43" s="2">
        <v>439850.15034280007</v>
      </c>
      <c r="Z43" s="2">
        <v>288633.48514709371</v>
      </c>
      <c r="AA43" s="2">
        <v>311201.49483394629</v>
      </c>
    </row>
    <row r="44" spans="1:27" x14ac:dyDescent="0.4">
      <c r="A44" s="1">
        <v>45911</v>
      </c>
      <c r="B44">
        <v>2983.0828999999999</v>
      </c>
      <c r="C44">
        <v>4548.0344999999998</v>
      </c>
      <c r="D44">
        <v>7122.7051000000001</v>
      </c>
      <c r="E44">
        <v>7399.8854000000001</v>
      </c>
      <c r="G44">
        <v>0</v>
      </c>
      <c r="H44">
        <v>0</v>
      </c>
      <c r="I44">
        <f>SUM(Y44+X44+S44+R44)</f>
        <v>890766.71070011752</v>
      </c>
      <c r="J44">
        <f>SUM(M44:Q44)+SUM(T44:W44)+SUM(Z44:AA44)</f>
        <v>694528.41844326747</v>
      </c>
      <c r="L44" s="2">
        <f>SUM(M44:AW44)</f>
        <v>1585295.1291433848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v>79700.939715924003</v>
      </c>
      <c r="X44" s="2">
        <v>440199.18293984083</v>
      </c>
      <c r="Y44" s="2">
        <v>450567.52776027663</v>
      </c>
      <c r="Z44" s="2">
        <v>300088.71632568381</v>
      </c>
      <c r="AA44" s="2">
        <v>314738.76240165962</v>
      </c>
    </row>
    <row r="45" spans="1:27" x14ac:dyDescent="0.4">
      <c r="A45" s="1">
        <v>45912</v>
      </c>
      <c r="B45">
        <v>2968.5396999999998</v>
      </c>
      <c r="C45">
        <v>4521.9979999999996</v>
      </c>
      <c r="D45">
        <v>7147.7488999999996</v>
      </c>
      <c r="E45">
        <v>7422.8843999999999</v>
      </c>
      <c r="G45">
        <v>0</v>
      </c>
      <c r="H45">
        <v>0</v>
      </c>
      <c r="I45">
        <f>SUM(Y45+X45+S45+R45)</f>
        <v>895290.6869275372</v>
      </c>
      <c r="J45">
        <f>SUM(M45:Q45)+SUM(T45:W45)+SUM(Z45:AA45)</f>
        <v>711225.26142125635</v>
      </c>
      <c r="L45" s="2">
        <f>SUM(M45:AW45)</f>
        <v>1606515.9483487934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>
        <v>92939.78803234869</v>
      </c>
      <c r="X45" s="2">
        <v>442950.17546996131</v>
      </c>
      <c r="Y45" s="2">
        <v>452340.51145757583</v>
      </c>
      <c r="Z45" s="2">
        <v>302359.69204492349</v>
      </c>
      <c r="AA45" s="2">
        <v>315925.78134398413</v>
      </c>
    </row>
    <row r="46" spans="1:27" x14ac:dyDescent="0.4">
      <c r="A46" s="1">
        <v>45915</v>
      </c>
      <c r="B46">
        <v>2962.6154000000001</v>
      </c>
      <c r="C46">
        <v>4533.0556999999999</v>
      </c>
      <c r="D46">
        <v>7137.3626999999997</v>
      </c>
      <c r="E46">
        <v>7415.5711000000001</v>
      </c>
      <c r="G46">
        <v>0</v>
      </c>
      <c r="H46">
        <v>0</v>
      </c>
      <c r="I46">
        <f>SUM(Y46+X46+S46+R46)</f>
        <v>897463.15018468373</v>
      </c>
      <c r="J46">
        <f>SUM(M46:Q46)+SUM(T46:W46)+SUM(Z46:AA46)</f>
        <v>714227.34437319695</v>
      </c>
      <c r="L46" s="2">
        <f>SUM(M46:AW46)</f>
        <v>1611690.4945578808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>
        <v>93682.312967253238</v>
      </c>
      <c r="X46" s="2">
        <v>444068.72930607398</v>
      </c>
      <c r="Y46" s="2">
        <v>453394.42087860982</v>
      </c>
      <c r="Z46" s="2">
        <v>303627.44440800318</v>
      </c>
      <c r="AA46" s="2">
        <v>316917.5869979405</v>
      </c>
    </row>
    <row r="47" spans="1:27" x14ac:dyDescent="0.4">
      <c r="A47" s="1">
        <v>45916</v>
      </c>
      <c r="B47">
        <v>2947.8222000000001</v>
      </c>
      <c r="C47">
        <v>4523.3366999999998</v>
      </c>
      <c r="D47">
        <v>7190.9928</v>
      </c>
      <c r="E47">
        <v>7483.6282000000001</v>
      </c>
      <c r="G47">
        <v>0</v>
      </c>
      <c r="H47">
        <v>0</v>
      </c>
      <c r="I47">
        <f>SUM(Y47+X47+S47+R47)</f>
        <v>902534.60522557143</v>
      </c>
      <c r="J47">
        <f>SUM(M47:Q47)+SUM(T47:W47)+SUM(Z47:AA47)</f>
        <v>746952.75963612285</v>
      </c>
      <c r="L47" s="2">
        <f>SUM(M47:AW47)</f>
        <v>1649487.3648616944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>
        <v>122339.54562541343</v>
      </c>
      <c r="X47" s="2">
        <v>447301.5971015793</v>
      </c>
      <c r="Y47" s="2">
        <v>455233.00812399213</v>
      </c>
      <c r="Z47" s="2">
        <v>306505.72542778752</v>
      </c>
      <c r="AA47" s="2">
        <v>318107.48858292197</v>
      </c>
    </row>
    <row r="48" spans="1:27" x14ac:dyDescent="0.4">
      <c r="A48" s="1">
        <v>45917</v>
      </c>
      <c r="B48">
        <v>2952.7777999999998</v>
      </c>
      <c r="C48">
        <v>4551.0230000000001</v>
      </c>
      <c r="D48">
        <v>7260.0352999999996</v>
      </c>
      <c r="E48">
        <v>7554.8125</v>
      </c>
      <c r="G48">
        <v>0</v>
      </c>
      <c r="H48">
        <v>0</v>
      </c>
      <c r="I48">
        <f>SUM(Y48+X48+S48+R48)</f>
        <v>906738.49372486537</v>
      </c>
      <c r="J48">
        <f>SUM(M48:Q48)+SUM(T48:W48)+SUM(Z48:AA48)</f>
        <v>774937.64302042359</v>
      </c>
      <c r="L48" s="2">
        <f>SUM(M48:AW48)</f>
        <v>1681676.136745289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>
        <v>147143.23689462154</v>
      </c>
      <c r="X48" s="2">
        <v>449994.17426120408</v>
      </c>
      <c r="Y48" s="2">
        <v>456744.31946366123</v>
      </c>
      <c r="Z48" s="2">
        <v>308654.28409705148</v>
      </c>
      <c r="AA48" s="2">
        <v>319140.12202875054</v>
      </c>
    </row>
    <row r="49" spans="1:27" x14ac:dyDescent="0.4">
      <c r="A49" s="1">
        <v>45918</v>
      </c>
      <c r="B49">
        <v>2912.8256000000001</v>
      </c>
      <c r="C49">
        <v>4498.1090000000004</v>
      </c>
      <c r="D49">
        <v>7199.8828000000003</v>
      </c>
      <c r="E49">
        <v>7476.402</v>
      </c>
      <c r="G49">
        <v>0</v>
      </c>
      <c r="H49">
        <v>0</v>
      </c>
      <c r="I49">
        <f>SUM(Y49+X49+S49+R49)</f>
        <v>907612.27776377171</v>
      </c>
      <c r="J49">
        <f>SUM(M49:Q49)+SUM(T49:W49)+SUM(Z49:AA49)</f>
        <v>755682.64648207091</v>
      </c>
      <c r="L49" s="2">
        <f>SUM(M49:AW49)</f>
        <v>1663294.9242458425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>
        <v>126775.60293457843</v>
      </c>
      <c r="X49" s="2">
        <v>450154.53187285998</v>
      </c>
      <c r="Y49" s="2">
        <v>457457.74589091173</v>
      </c>
      <c r="Z49" s="2">
        <v>308913.94377313764</v>
      </c>
      <c r="AA49" s="2">
        <v>319993.09977435484</v>
      </c>
    </row>
    <row r="50" spans="1:27" x14ac:dyDescent="0.4">
      <c r="A50" s="1">
        <v>45919</v>
      </c>
      <c r="B50">
        <v>2909.7442000000001</v>
      </c>
      <c r="C50">
        <v>4501.9195</v>
      </c>
      <c r="D50">
        <v>7170.3487999999998</v>
      </c>
      <c r="E50">
        <v>7438.1886999999997</v>
      </c>
      <c r="G50">
        <v>0</v>
      </c>
      <c r="H50">
        <v>0</v>
      </c>
      <c r="I50">
        <f>SUM(Y50+X50+S50+R50)</f>
        <v>909135.3134773639</v>
      </c>
      <c r="J50">
        <f>SUM(M50:Q50)+SUM(T50:W50)+SUM(Z50:AA50)</f>
        <v>747449.67664257356</v>
      </c>
      <c r="L50" s="2">
        <f>SUM(M50:AW50)</f>
        <v>1656584.9901199373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>
        <v>116964.60386107882</v>
      </c>
      <c r="X50" s="2">
        <v>450812.61059487128</v>
      </c>
      <c r="Y50" s="2">
        <v>458322.70288249257</v>
      </c>
      <c r="Z50" s="2">
        <v>309599.13543634239</v>
      </c>
      <c r="AA50" s="2">
        <v>320885.93734515231</v>
      </c>
    </row>
    <row r="51" spans="1:27" x14ac:dyDescent="0.4">
      <c r="A51" s="1">
        <v>45922</v>
      </c>
      <c r="B51">
        <v>2922.1795000000002</v>
      </c>
      <c r="C51">
        <v>4522.6080000000002</v>
      </c>
      <c r="D51">
        <v>7225.1280999999999</v>
      </c>
      <c r="E51">
        <v>7489.4784</v>
      </c>
      <c r="G51">
        <v>0</v>
      </c>
      <c r="H51">
        <v>0</v>
      </c>
      <c r="I51">
        <f>SUM(Y51+X51+S51+R51)</f>
        <v>912655.90219981514</v>
      </c>
      <c r="J51">
        <f>SUM(M51:Q51)+SUM(T51:W51)+SUM(Z51:AA51)</f>
        <v>771137.85017370235</v>
      </c>
      <c r="L51" s="2">
        <f>SUM(M51:AW51)</f>
        <v>1683793.7523735177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>
        <v>137823.86432891258</v>
      </c>
      <c r="X51" s="2">
        <v>453041.61044124526</v>
      </c>
      <c r="Y51" s="2">
        <v>459614.29175856989</v>
      </c>
      <c r="Z51" s="2">
        <v>311455.09119704843</v>
      </c>
      <c r="AA51" s="2">
        <v>321858.8946477414</v>
      </c>
    </row>
    <row r="52" spans="1:27" x14ac:dyDescent="0.4">
      <c r="A52" s="1">
        <v>45923</v>
      </c>
      <c r="B52">
        <v>2919.5147999999999</v>
      </c>
      <c r="C52">
        <v>4519.7781000000004</v>
      </c>
      <c r="D52">
        <v>7180.7137000000002</v>
      </c>
      <c r="E52">
        <v>7408.0690999999997</v>
      </c>
      <c r="G52">
        <v>0</v>
      </c>
      <c r="H52">
        <v>0</v>
      </c>
      <c r="I52">
        <f>SUM(Y52+X52+S52+R52)</f>
        <v>914021.92855173</v>
      </c>
      <c r="J52">
        <f>SUM(M52:Q52)+SUM(T52:W52)+SUM(Z52:AA52)</f>
        <v>747279.22437076236</v>
      </c>
      <c r="L52" s="2">
        <f>SUM(M52:AW52)</f>
        <v>1661301.1529224925</v>
      </c>
      <c r="M52" s="2"/>
      <c r="N52" s="2"/>
      <c r="O52" s="2"/>
      <c r="P52" s="2"/>
      <c r="Q52" s="2"/>
      <c r="R52" s="2"/>
      <c r="S52" s="2"/>
      <c r="T52" s="2"/>
      <c r="U52" s="2"/>
      <c r="V52" s="2">
        <v>-98.837647532567033</v>
      </c>
      <c r="W52" s="2">
        <v>112964.03540741466</v>
      </c>
      <c r="X52" s="2">
        <v>453569.7577922676</v>
      </c>
      <c r="Y52" s="2">
        <v>460452.1707594624</v>
      </c>
      <c r="Z52" s="2">
        <v>311686.9603677328</v>
      </c>
      <c r="AA52" s="2">
        <v>322727.06624314748</v>
      </c>
    </row>
    <row r="53" spans="1:27" x14ac:dyDescent="0.4">
      <c r="A53" s="1">
        <v>45924</v>
      </c>
      <c r="B53">
        <v>2939.5077999999999</v>
      </c>
      <c r="C53">
        <v>4566.0708000000004</v>
      </c>
      <c r="D53">
        <v>7323.7093000000004</v>
      </c>
      <c r="E53">
        <v>7534.2223000000004</v>
      </c>
      <c r="G53">
        <v>0</v>
      </c>
      <c r="H53">
        <v>0</v>
      </c>
      <c r="I53">
        <f>SUM(Y53+X53+S53+R53)</f>
        <v>917743.44368912955</v>
      </c>
      <c r="J53">
        <f>SUM(M53:Q53)+SUM(T53:W53)+SUM(Z53:AA53)</f>
        <v>946590.94994472782</v>
      </c>
      <c r="L53" s="2">
        <f>SUM(M53:AW53)</f>
        <v>1864334.3936338574</v>
      </c>
      <c r="M53" s="2"/>
      <c r="N53" s="2"/>
      <c r="O53" s="2"/>
      <c r="P53" s="2"/>
      <c r="Q53" s="2"/>
      <c r="R53" s="2"/>
      <c r="S53" s="2"/>
      <c r="T53" s="2"/>
      <c r="U53" s="2"/>
      <c r="V53" s="2">
        <v>151655.70859207385</v>
      </c>
      <c r="W53" s="2">
        <v>157282.35338255545</v>
      </c>
      <c r="X53" s="2">
        <v>456052.38791676052</v>
      </c>
      <c r="Y53" s="2">
        <v>461691.05577236903</v>
      </c>
      <c r="Z53" s="2">
        <v>313964.53605958121</v>
      </c>
      <c r="AA53" s="2">
        <v>323688.35191051726</v>
      </c>
    </row>
    <row r="54" spans="1:27" x14ac:dyDescent="0.4">
      <c r="A54" s="1">
        <v>45925</v>
      </c>
      <c r="B54">
        <v>2952.7352000000001</v>
      </c>
      <c r="C54">
        <v>4593.4875000000002</v>
      </c>
      <c r="D54">
        <v>7341.3238000000001</v>
      </c>
      <c r="E54">
        <v>7506.5123999999996</v>
      </c>
      <c r="G54">
        <v>0</v>
      </c>
      <c r="H54">
        <v>0</v>
      </c>
      <c r="I54">
        <f>SUM(Y54+X54+S54+R54)</f>
        <v>919745.98486760422</v>
      </c>
      <c r="J54">
        <f>SUM(M54:Q54)+SUM(T54:W54)+SUM(Z54:AA54)</f>
        <v>922415.94919233466</v>
      </c>
      <c r="L54" s="2">
        <f>SUM(M54:AW54)</f>
        <v>1842161.9340599389</v>
      </c>
      <c r="M54" s="2"/>
      <c r="N54" s="2"/>
      <c r="O54" s="2"/>
      <c r="P54" s="2"/>
      <c r="Q54" s="2"/>
      <c r="R54" s="2"/>
      <c r="S54" s="2"/>
      <c r="T54" s="2"/>
      <c r="U54" s="2"/>
      <c r="V54" s="2">
        <v>130086.40661069455</v>
      </c>
      <c r="W54" s="2">
        <v>152868.28345509979</v>
      </c>
      <c r="X54" s="2">
        <v>457122.0136636736</v>
      </c>
      <c r="Y54" s="2">
        <v>462623.97120393056</v>
      </c>
      <c r="Z54" s="2">
        <v>314874.06376073166</v>
      </c>
      <c r="AA54" s="2">
        <v>324587.19536580873</v>
      </c>
    </row>
    <row r="55" spans="1:27" x14ac:dyDescent="0.4">
      <c r="A55" s="1">
        <v>45926</v>
      </c>
      <c r="B55">
        <v>2941.0183999999999</v>
      </c>
      <c r="C55">
        <v>4550.0487000000003</v>
      </c>
      <c r="D55">
        <v>7240.9114</v>
      </c>
      <c r="E55">
        <v>7397.5893999999998</v>
      </c>
      <c r="G55">
        <v>0</v>
      </c>
      <c r="H55">
        <v>0</v>
      </c>
      <c r="I55">
        <f>SUM(Y55+X55+S55+R55)</f>
        <v>921154.49554018327</v>
      </c>
      <c r="J55">
        <f>SUM(M55:Q55)+SUM(T55:W55)+SUM(Z55:AA55)</f>
        <v>772606.67201996921</v>
      </c>
      <c r="L55" s="2">
        <f>SUM(M55:AW55)</f>
        <v>1693761.1675601522</v>
      </c>
      <c r="M55" s="2"/>
      <c r="N55" s="2"/>
      <c r="O55" s="2"/>
      <c r="P55" s="2"/>
      <c r="Q55" s="2"/>
      <c r="R55" s="2"/>
      <c r="S55" s="2"/>
      <c r="T55" s="2"/>
      <c r="U55" s="2"/>
      <c r="V55" s="2">
        <v>11797.671668672059</v>
      </c>
      <c r="W55" s="2">
        <v>120114.86434191455</v>
      </c>
      <c r="X55" s="2">
        <v>457663.82567173493</v>
      </c>
      <c r="Y55" s="2">
        <v>463490.66986844828</v>
      </c>
      <c r="Z55" s="2">
        <v>315220.56535201735</v>
      </c>
      <c r="AA55" s="2">
        <v>325473.57065736526</v>
      </c>
    </row>
    <row r="56" spans="1:27" x14ac:dyDescent="0.4">
      <c r="A56" s="1">
        <v>45929</v>
      </c>
      <c r="B56">
        <v>2973.0417000000002</v>
      </c>
      <c r="C56">
        <v>4620.0528000000004</v>
      </c>
      <c r="D56">
        <v>7350.5599000000002</v>
      </c>
      <c r="E56">
        <v>7497.8307999999997</v>
      </c>
      <c r="G56">
        <v>0</v>
      </c>
      <c r="H56">
        <v>0</v>
      </c>
      <c r="I56">
        <f>SUM(Y56+X56+S56+R56)</f>
        <v>923550.65856250026</v>
      </c>
      <c r="J56">
        <f>SUM(M56:Q56)+SUM(T56:W56)+SUM(Z56:AA56)</f>
        <v>937159.43391479575</v>
      </c>
      <c r="L56" s="2">
        <f>SUM(M56:AW56)</f>
        <v>1860710.0924772962</v>
      </c>
      <c r="M56" s="2"/>
      <c r="N56" s="2"/>
      <c r="O56" s="2"/>
      <c r="P56" s="2"/>
      <c r="Q56" s="2"/>
      <c r="R56" s="2"/>
      <c r="S56" s="2"/>
      <c r="T56" s="2"/>
      <c r="U56" s="2"/>
      <c r="V56" s="2">
        <v>136920.01333963074</v>
      </c>
      <c r="W56" s="2">
        <v>156964.35982187366</v>
      </c>
      <c r="X56" s="2">
        <v>459091.23611885961</v>
      </c>
      <c r="Y56" s="2">
        <v>464459.42244364071</v>
      </c>
      <c r="Z56" s="2">
        <v>316891.67546476185</v>
      </c>
      <c r="AA56" s="2">
        <v>326383.38528852951</v>
      </c>
    </row>
    <row r="57" spans="1:27" x14ac:dyDescent="0.4">
      <c r="A57" s="1">
        <v>45930</v>
      </c>
      <c r="B57">
        <v>2988.9386</v>
      </c>
      <c r="C57">
        <v>4640.6935000000003</v>
      </c>
      <c r="D57">
        <v>7412.3684000000003</v>
      </c>
      <c r="E57">
        <v>7574.9630999999999</v>
      </c>
      <c r="G57">
        <v>0</v>
      </c>
      <c r="H57">
        <v>0</v>
      </c>
      <c r="I57">
        <f>SUM(Y57+X57+S57+R57)</f>
        <v>925488.84246554086</v>
      </c>
      <c r="J57">
        <f>SUM(M57:Q57)+SUM(T57:W57)+SUM(Z57:AA57)</f>
        <v>1049731.10679392</v>
      </c>
      <c r="L57" s="2">
        <f>SUM(M57:AW57)</f>
        <v>1975219.9492594607</v>
      </c>
      <c r="M57" s="2"/>
      <c r="N57" s="2"/>
      <c r="O57" s="2"/>
      <c r="P57" s="2"/>
      <c r="Q57" s="2"/>
      <c r="R57" s="2"/>
      <c r="S57" s="2"/>
      <c r="T57" s="2"/>
      <c r="U57" s="2"/>
      <c r="V57" s="2">
        <v>225181.46565062139</v>
      </c>
      <c r="W57" s="2">
        <v>179252.00425554891</v>
      </c>
      <c r="X57" s="2">
        <v>460114.21755749517</v>
      </c>
      <c r="Y57" s="2">
        <v>465374.62490804569</v>
      </c>
      <c r="Z57" s="2">
        <v>318015.74602297787</v>
      </c>
      <c r="AA57" s="2">
        <v>327281.89086477185</v>
      </c>
    </row>
    <row r="58" spans="1:27" x14ac:dyDescent="0.4">
      <c r="A58" s="1">
        <v>45939</v>
      </c>
      <c r="B58">
        <v>3020.5963999999999</v>
      </c>
      <c r="C58">
        <v>4709.482</v>
      </c>
      <c r="D58">
        <v>7548.9225999999999</v>
      </c>
      <c r="E58">
        <v>7648.0523000000003</v>
      </c>
      <c r="G58">
        <v>0</v>
      </c>
      <c r="H58">
        <v>0</v>
      </c>
      <c r="I58">
        <f>SUM(Y58+X58+S58+R58)</f>
        <v>927366.38040005486</v>
      </c>
      <c r="J58">
        <f>SUM(M58:Q58)+SUM(T58:W58)+SUM(Z58:AA58)</f>
        <v>1144039.4417780768</v>
      </c>
      <c r="L58" s="2">
        <f>SUM(M58:AW58)</f>
        <v>2071405.8221781319</v>
      </c>
      <c r="M58" s="2"/>
      <c r="N58" s="2"/>
      <c r="O58" s="2"/>
      <c r="P58" s="2"/>
      <c r="Q58" s="2"/>
      <c r="R58" s="2"/>
      <c r="S58" s="2"/>
      <c r="T58" s="2"/>
      <c r="U58" s="2"/>
      <c r="V58" s="2">
        <v>301141.90132096037</v>
      </c>
      <c r="W58" s="2">
        <v>195735.890595303</v>
      </c>
      <c r="X58" s="2">
        <v>461082.06782834709</v>
      </c>
      <c r="Y58" s="2">
        <v>466284.31257170776</v>
      </c>
      <c r="Z58" s="2">
        <v>318984.65230548364</v>
      </c>
      <c r="AA58" s="2">
        <v>328176.99755632982</v>
      </c>
    </row>
    <row r="59" spans="1:27" x14ac:dyDescent="0.4">
      <c r="A59" s="1">
        <v>45940</v>
      </c>
      <c r="B59">
        <v>2974.8535000000002</v>
      </c>
      <c r="C59">
        <v>4616.8341</v>
      </c>
      <c r="D59">
        <v>7398.2241000000004</v>
      </c>
      <c r="E59">
        <v>7533.8200999999999</v>
      </c>
      <c r="G59">
        <v>0</v>
      </c>
      <c r="H59">
        <v>0</v>
      </c>
      <c r="I59">
        <f>SUM(Y59+X59+S59+R59)</f>
        <v>929151.93255970278</v>
      </c>
      <c r="J59">
        <f>SUM(M59:Q59)+SUM(T59:W59)+SUM(Z59:AA59)</f>
        <v>1024716.0274278163</v>
      </c>
      <c r="L59" s="2">
        <f>SUM(M59:AW59)</f>
        <v>1953867.9599875191</v>
      </c>
      <c r="M59" s="2"/>
      <c r="N59" s="2"/>
      <c r="O59" s="2"/>
      <c r="P59" s="2"/>
      <c r="Q59" s="2"/>
      <c r="R59" s="2"/>
      <c r="S59" s="2"/>
      <c r="T59" s="2"/>
      <c r="U59" s="2"/>
      <c r="V59" s="2">
        <v>199868.35405928659</v>
      </c>
      <c r="W59" s="2">
        <v>175927.56487048429</v>
      </c>
      <c r="X59" s="2">
        <v>461959.80142312456</v>
      </c>
      <c r="Y59" s="2">
        <v>467192.13113657827</v>
      </c>
      <c r="Z59" s="2">
        <v>319845.64062061254</v>
      </c>
      <c r="AA59" s="2">
        <v>329074.46787743294</v>
      </c>
    </row>
    <row r="60" spans="1:27" x14ac:dyDescent="0.4">
      <c r="A60" s="1">
        <v>45943</v>
      </c>
      <c r="B60">
        <v>2967.2060000000001</v>
      </c>
      <c r="C60">
        <v>4593.9785000000002</v>
      </c>
      <c r="D60">
        <v>7376.5636000000004</v>
      </c>
      <c r="E60">
        <v>7519.7636000000002</v>
      </c>
      <c r="G60">
        <v>0</v>
      </c>
      <c r="H60">
        <v>0</v>
      </c>
      <c r="I60">
        <f>SUM(Y60+X60+S60+R60)</f>
        <v>930973.1765475031</v>
      </c>
      <c r="J60">
        <f>SUM(M60:Q60)+SUM(T60:W60)+SUM(Z60:AA60)</f>
        <v>826321.80016918748</v>
      </c>
      <c r="L60" s="2">
        <f>SUM(M60:AW60)</f>
        <v>1757294.9767166905</v>
      </c>
      <c r="M60" s="2"/>
      <c r="N60" s="2"/>
      <c r="O60" s="2"/>
      <c r="P60" s="2"/>
      <c r="Q60" s="2"/>
      <c r="R60" s="2"/>
      <c r="S60" s="2"/>
      <c r="T60" s="2"/>
      <c r="U60" s="2"/>
      <c r="V60" s="2">
        <v>-98.837647532567033</v>
      </c>
      <c r="W60" s="2">
        <v>175689.99846046083</v>
      </c>
      <c r="X60" s="2">
        <v>462871.54339469492</v>
      </c>
      <c r="Y60" s="2">
        <v>468101.63315280812</v>
      </c>
      <c r="Z60" s="2">
        <v>320760.72473880084</v>
      </c>
      <c r="AA60" s="2">
        <v>329969.91461745836</v>
      </c>
    </row>
    <row r="61" spans="1:27" x14ac:dyDescent="0.4">
      <c r="A61" s="1">
        <v>45944</v>
      </c>
      <c r="B61">
        <v>2961.1010000000001</v>
      </c>
      <c r="C61">
        <v>4539.0644000000002</v>
      </c>
      <c r="D61">
        <v>7194.8509000000004</v>
      </c>
      <c r="E61">
        <v>7373.1522000000004</v>
      </c>
      <c r="G61">
        <v>0</v>
      </c>
      <c r="H61">
        <v>0</v>
      </c>
      <c r="I61">
        <f>SUM(Y61+X61+S61+R61)</f>
        <v>932592.02152881725</v>
      </c>
      <c r="J61">
        <f>SUM(M61:Q61)+SUM(T61:W61)+SUM(Z61:AA61)</f>
        <v>818097.55792998895</v>
      </c>
      <c r="L61" s="2">
        <f>SUM(M61:AW61)</f>
        <v>1750689.5794588062</v>
      </c>
      <c r="M61" s="2"/>
      <c r="N61" s="2"/>
      <c r="O61" s="2"/>
      <c r="P61" s="2"/>
      <c r="Q61" s="2"/>
      <c r="R61" s="2"/>
      <c r="S61" s="2"/>
      <c r="T61" s="2"/>
      <c r="U61" s="2"/>
      <c r="V61" s="2">
        <v>32053.186448480621</v>
      </c>
      <c r="W61" s="2">
        <v>133635.74212697698</v>
      </c>
      <c r="X61" s="2">
        <v>463586.79975563375</v>
      </c>
      <c r="Y61" s="2">
        <v>469005.22177318344</v>
      </c>
      <c r="Z61" s="2">
        <v>321542.57729605329</v>
      </c>
      <c r="AA61" s="2">
        <v>330866.05205847818</v>
      </c>
    </row>
    <row r="62" spans="1:27" x14ac:dyDescent="0.4">
      <c r="A62" s="1">
        <v>45945</v>
      </c>
      <c r="B62">
        <v>3001.3489</v>
      </c>
      <c r="C62">
        <v>4606.2879000000003</v>
      </c>
      <c r="D62">
        <v>7294.0014000000001</v>
      </c>
      <c r="E62">
        <v>7483.4489999999996</v>
      </c>
      <c r="G62">
        <v>0</v>
      </c>
      <c r="H62">
        <v>0</v>
      </c>
      <c r="I62">
        <f>SUM(Y62+X62+S62+R62)</f>
        <v>934597.12674248265</v>
      </c>
      <c r="J62">
        <f>SUM(M62:Q62)+SUM(T62:W62)+SUM(Z62:AA62)</f>
        <v>998365.92489508865</v>
      </c>
      <c r="L62" s="2">
        <f>SUM(M62:AW62)</f>
        <v>1932963.0516375713</v>
      </c>
      <c r="M62" s="2"/>
      <c r="N62" s="2"/>
      <c r="O62" s="2"/>
      <c r="P62" s="2"/>
      <c r="Q62" s="2"/>
      <c r="R62" s="2"/>
      <c r="S62" s="2"/>
      <c r="T62" s="2"/>
      <c r="U62" s="2"/>
      <c r="V62" s="2">
        <v>171125.05979062471</v>
      </c>
      <c r="W62" s="2">
        <v>172900.14132081345</v>
      </c>
      <c r="X62" s="2">
        <v>464679.47733668506</v>
      </c>
      <c r="Y62" s="2">
        <v>469917.64940579754</v>
      </c>
      <c r="Z62" s="2">
        <v>322577.86804257252</v>
      </c>
      <c r="AA62" s="2">
        <v>331762.85574107792</v>
      </c>
    </row>
    <row r="63" spans="1:27" x14ac:dyDescent="0.4">
      <c r="A63" s="1">
        <v>45946</v>
      </c>
      <c r="B63">
        <v>3019.1966000000002</v>
      </c>
      <c r="C63">
        <v>4618.4218000000001</v>
      </c>
      <c r="D63">
        <v>7231.5335999999998</v>
      </c>
      <c r="E63">
        <v>7401.8374999999996</v>
      </c>
      <c r="G63">
        <v>0</v>
      </c>
      <c r="H63">
        <v>0</v>
      </c>
      <c r="I63">
        <f>SUM(Y63+X63+S63+R63)</f>
        <v>936394.3156415429</v>
      </c>
      <c r="J63">
        <f>SUM(M63:Q63)+SUM(T63:W63)+SUM(Z63:AA63)</f>
        <v>892814.18908460229</v>
      </c>
      <c r="L63" s="2">
        <f>SUM(M63:AW63)</f>
        <v>1829208.5047261452</v>
      </c>
      <c r="M63" s="2"/>
      <c r="N63" s="2"/>
      <c r="O63" s="2"/>
      <c r="P63" s="2"/>
      <c r="Q63" s="2"/>
      <c r="R63" s="2"/>
      <c r="S63" s="2"/>
      <c r="T63" s="2"/>
      <c r="U63" s="2"/>
      <c r="V63" s="2">
        <v>85018.536576549421</v>
      </c>
      <c r="W63" s="2">
        <v>151670.68099563572</v>
      </c>
      <c r="X63" s="2">
        <v>465567.09939265542</v>
      </c>
      <c r="Y63" s="2">
        <v>470827.21624888753</v>
      </c>
      <c r="Z63" s="2">
        <v>323465.67830564053</v>
      </c>
      <c r="AA63" s="2">
        <v>332659.29320677649</v>
      </c>
    </row>
    <row r="64" spans="1:27" x14ac:dyDescent="0.4">
      <c r="A64" s="1">
        <v>45947</v>
      </c>
      <c r="B64">
        <v>2967.7748000000001</v>
      </c>
      <c r="C64">
        <v>4514.2344999999996</v>
      </c>
      <c r="D64">
        <v>7016.0661</v>
      </c>
      <c r="E64">
        <v>7185.4781000000003</v>
      </c>
      <c r="G64">
        <v>0</v>
      </c>
      <c r="H64">
        <v>0</v>
      </c>
      <c r="I64">
        <f>SUM(Y64+X64+S64+R64)</f>
        <v>937548.99780926271</v>
      </c>
      <c r="J64">
        <f>SUM(M64:Q64)+SUM(T64:W64)+SUM(Z64:AA64)</f>
        <v>506789.22663590469</v>
      </c>
      <c r="L64" s="2">
        <f>SUM(M64:AW64)</f>
        <v>1444338.2244451672</v>
      </c>
      <c r="M64" s="2"/>
      <c r="N64" s="2"/>
      <c r="O64" s="2"/>
      <c r="P64" s="2"/>
      <c r="Q64" s="2"/>
      <c r="R64" s="2"/>
      <c r="S64" s="2"/>
      <c r="T64" s="2"/>
      <c r="U64" s="2"/>
      <c r="V64" s="2">
        <v>-205111.59350670359</v>
      </c>
      <c r="W64" s="2">
        <v>54280.467920202791</v>
      </c>
      <c r="X64" s="2">
        <v>465823.56004801544</v>
      </c>
      <c r="Y64" s="2">
        <v>471725.43776124727</v>
      </c>
      <c r="Z64" s="2">
        <v>324064.11105679569</v>
      </c>
      <c r="AA64" s="2">
        <v>333556.2411656098</v>
      </c>
    </row>
    <row r="65" spans="1:27" x14ac:dyDescent="0.4">
      <c r="A65" s="1">
        <v>45950</v>
      </c>
      <c r="B65">
        <v>2974.8647999999998</v>
      </c>
      <c r="C65">
        <v>4538.2200999999995</v>
      </c>
      <c r="D65">
        <v>7069.6412</v>
      </c>
      <c r="E65">
        <v>7239.1845000000003</v>
      </c>
      <c r="G65">
        <v>0</v>
      </c>
      <c r="H65">
        <v>0</v>
      </c>
      <c r="I65">
        <f>SUM(Y65+X65+S65+R65)</f>
        <v>939845.78663351329</v>
      </c>
      <c r="J65">
        <f>SUM(M65:Q65)+SUM(T65:W65)+SUM(Z65:AA65)</f>
        <v>633425.49730763887</v>
      </c>
      <c r="L65" s="2">
        <f>SUM(M65:AW65)</f>
        <v>1573271.2839411523</v>
      </c>
      <c r="M65" s="2"/>
      <c r="N65" s="2"/>
      <c r="O65" s="2"/>
      <c r="P65" s="2"/>
      <c r="Q65" s="2"/>
      <c r="R65" s="2"/>
      <c r="S65" s="2"/>
      <c r="T65" s="2"/>
      <c r="U65" s="2"/>
      <c r="V65" s="2">
        <v>-115777.65469150041</v>
      </c>
      <c r="W65" s="2">
        <v>89516.727059090117</v>
      </c>
      <c r="X65" s="2">
        <v>467201.46139400033</v>
      </c>
      <c r="Y65" s="2">
        <v>472644.32523951295</v>
      </c>
      <c r="Z65" s="2">
        <v>325227.45462842577</v>
      </c>
      <c r="AA65" s="2">
        <v>334458.97031162347</v>
      </c>
    </row>
    <row r="66" spans="1:27" x14ac:dyDescent="0.4">
      <c r="A66" s="1">
        <v>45951</v>
      </c>
      <c r="B66">
        <v>3007.2633999999998</v>
      </c>
      <c r="C66">
        <v>4607.8715000000002</v>
      </c>
      <c r="D66">
        <v>7185.6239999999998</v>
      </c>
      <c r="E66">
        <v>7344.0468000000001</v>
      </c>
      <c r="G66">
        <v>0</v>
      </c>
      <c r="H66">
        <v>0</v>
      </c>
      <c r="I66">
        <f>SUM(Y66+X66+S66+R66)</f>
        <v>941884.48784667684</v>
      </c>
      <c r="J66">
        <f>SUM(M66:Q66)+SUM(T66:W66)+SUM(Z66:AA66)</f>
        <v>841186.60057920963</v>
      </c>
      <c r="L66" s="2">
        <f>SUM(M66:AW66)</f>
        <v>1783071.0884258868</v>
      </c>
      <c r="M66" s="2"/>
      <c r="N66" s="2"/>
      <c r="O66" s="2"/>
      <c r="P66" s="2"/>
      <c r="Q66" s="2"/>
      <c r="R66" s="2"/>
      <c r="S66" s="2"/>
      <c r="T66" s="2"/>
      <c r="U66" s="2"/>
      <c r="V66" s="2">
        <v>38350.388895732096</v>
      </c>
      <c r="W66" s="2">
        <v>142202.28100437933</v>
      </c>
      <c r="X66" s="2">
        <v>468330.84111033328</v>
      </c>
      <c r="Y66" s="2">
        <v>473553.64673634357</v>
      </c>
      <c r="Z66" s="2">
        <v>326174.96036747482</v>
      </c>
      <c r="AA66" s="2">
        <v>334458.97031162347</v>
      </c>
    </row>
    <row r="67" spans="1:27" x14ac:dyDescent="0.4">
      <c r="A67" s="1">
        <v>45952</v>
      </c>
      <c r="B67">
        <v>3010.0951</v>
      </c>
      <c r="C67">
        <v>4592.57</v>
      </c>
      <c r="D67">
        <v>7128.4776000000002</v>
      </c>
      <c r="E67">
        <v>7312.21</v>
      </c>
      <c r="G67">
        <v>0</v>
      </c>
      <c r="H67">
        <v>0</v>
      </c>
      <c r="I67">
        <f>SUM(Y67+X67+S67+R67)</f>
        <v>943691.44089144247</v>
      </c>
      <c r="J67">
        <f>SUM(M67:Q67)+SUM(T67:W67)+SUM(Z67:AA67)</f>
        <v>794690.65643850609</v>
      </c>
      <c r="L67" s="2">
        <f>SUM(M67:AW67)</f>
        <v>1738382.0973299486</v>
      </c>
      <c r="M67" s="2"/>
      <c r="N67" s="2"/>
      <c r="O67" s="2"/>
      <c r="P67" s="2"/>
      <c r="Q67" s="2"/>
      <c r="R67" s="2"/>
      <c r="S67" s="2"/>
      <c r="T67" s="2"/>
      <c r="U67" s="2"/>
      <c r="V67" s="2">
        <v>-98.837647532567033</v>
      </c>
      <c r="W67" s="2">
        <v>133258.59574796879</v>
      </c>
      <c r="X67" s="2">
        <v>469229.69858271949</v>
      </c>
      <c r="Y67" s="2">
        <v>474461.74230872298</v>
      </c>
      <c r="Z67" s="2">
        <v>327071.92802644643</v>
      </c>
      <c r="AA67" s="2">
        <v>334458.97031162347</v>
      </c>
    </row>
    <row r="68" spans="1:27" x14ac:dyDescent="0.4">
      <c r="A68" s="1">
        <v>45953</v>
      </c>
      <c r="B68">
        <v>3026.9043999999999</v>
      </c>
      <c r="C68">
        <v>4606.3446999999996</v>
      </c>
      <c r="D68">
        <v>7142.9535999999998</v>
      </c>
      <c r="E68">
        <v>7308.0991999999997</v>
      </c>
      <c r="G68">
        <v>0</v>
      </c>
      <c r="H68">
        <v>0</v>
      </c>
      <c r="I68">
        <f>SUM(Y68+X68+S68+R68)</f>
        <v>945530.45264722768</v>
      </c>
      <c r="J68">
        <f>SUM(M68:Q68)+SUM(T68:W68)+SUM(Z68:AA68)</f>
        <v>908620.15320328809</v>
      </c>
      <c r="L68" s="2">
        <f>SUM(M68:AW68)</f>
        <v>1854150.6058505159</v>
      </c>
      <c r="M68" s="2"/>
      <c r="N68" s="2"/>
      <c r="O68" s="2"/>
      <c r="P68" s="2"/>
      <c r="Q68" s="2"/>
      <c r="R68" s="2"/>
      <c r="S68" s="2"/>
      <c r="T68" s="2"/>
      <c r="U68" s="2">
        <v>110559.53021537112</v>
      </c>
      <c r="V68" s="2">
        <v>-98.837647532567033</v>
      </c>
      <c r="W68" s="2">
        <v>135732.0664519167</v>
      </c>
      <c r="X68" s="2">
        <v>470159.70130141306</v>
      </c>
      <c r="Y68" s="2">
        <v>475370.75134581461</v>
      </c>
      <c r="Z68" s="2">
        <v>327968.42387190938</v>
      </c>
      <c r="AA68" s="2">
        <v>334458.97031162347</v>
      </c>
    </row>
    <row r="69" spans="1:27" x14ac:dyDescent="0.4">
      <c r="A69" s="1">
        <v>45954</v>
      </c>
      <c r="B69">
        <v>3045.8161</v>
      </c>
      <c r="C69">
        <v>4660.6835000000001</v>
      </c>
      <c r="D69">
        <v>7258.5343000000003</v>
      </c>
      <c r="E69">
        <v>7419.2352000000001</v>
      </c>
      <c r="G69">
        <v>0</v>
      </c>
      <c r="H69">
        <v>0</v>
      </c>
      <c r="I69">
        <f>SUM(Y69+X69+S69+R69)</f>
        <v>947361.78854941251</v>
      </c>
      <c r="J69">
        <f>SUM(M69:Q69)+SUM(T69:W69)+SUM(Z69:AA69)</f>
        <v>1230452.9230455789</v>
      </c>
      <c r="L69" s="2">
        <f>SUM(M69:AW69)</f>
        <v>2177814.7115949914</v>
      </c>
      <c r="M69" s="2"/>
      <c r="N69" s="2"/>
      <c r="O69" s="2"/>
      <c r="P69" s="2"/>
      <c r="Q69" s="2"/>
      <c r="R69" s="2"/>
      <c r="S69" s="2"/>
      <c r="T69" s="2"/>
      <c r="U69" s="2">
        <v>228872.94335982698</v>
      </c>
      <c r="V69" s="2">
        <v>158763.48643140349</v>
      </c>
      <c r="W69" s="2">
        <v>179491.97129303089</v>
      </c>
      <c r="X69" s="2">
        <v>471081.79418951634</v>
      </c>
      <c r="Y69" s="2">
        <v>476279.99435989611</v>
      </c>
      <c r="Z69" s="2">
        <v>328865.55164969398</v>
      </c>
      <c r="AA69" s="2">
        <v>334458.97031162347</v>
      </c>
    </row>
    <row r="70" spans="1:27" x14ac:dyDescent="0.4">
      <c r="A70" s="1">
        <v>45957</v>
      </c>
      <c r="B70">
        <v>3069.5293000000001</v>
      </c>
      <c r="C70">
        <v>4716.0186000000003</v>
      </c>
      <c r="D70">
        <v>7379.3941000000004</v>
      </c>
      <c r="E70">
        <v>7495.3831</v>
      </c>
      <c r="G70">
        <v>0</v>
      </c>
      <c r="H70">
        <v>0</v>
      </c>
      <c r="I70">
        <f>SUM(Y70+X70+S70+R70)</f>
        <v>949178.96997992601</v>
      </c>
      <c r="J70">
        <f>SUM(M70:Q70)+SUM(T70:W70)+SUM(Z70:AA70)</f>
        <v>1421627.5741857477</v>
      </c>
      <c r="L70" s="2">
        <f>SUM(M70:AW70)</f>
        <v>2370806.5441656737</v>
      </c>
      <c r="M70" s="2"/>
      <c r="N70" s="2"/>
      <c r="O70" s="2"/>
      <c r="P70" s="2"/>
      <c r="Q70" s="2"/>
      <c r="R70" s="2"/>
      <c r="S70" s="2"/>
      <c r="T70" s="2"/>
      <c r="U70" s="2">
        <v>302310.91359084763</v>
      </c>
      <c r="V70" s="2">
        <v>253093.48002863739</v>
      </c>
      <c r="W70" s="2">
        <v>201997.08696696744</v>
      </c>
      <c r="X70" s="2">
        <v>471989.87902163406</v>
      </c>
      <c r="Y70" s="2">
        <v>477189.09095829196</v>
      </c>
      <c r="Z70" s="2">
        <v>329767.12328767165</v>
      </c>
      <c r="AA70" s="2">
        <v>334458.97031162347</v>
      </c>
    </row>
    <row r="71" spans="1:27" x14ac:dyDescent="0.4">
      <c r="A71" s="1">
        <v>45958</v>
      </c>
      <c r="B71">
        <v>3050.4162000000001</v>
      </c>
      <c r="C71">
        <v>4691.973</v>
      </c>
      <c r="D71">
        <v>7341.0303999999996</v>
      </c>
      <c r="E71">
        <v>7479.2209999999995</v>
      </c>
      <c r="G71">
        <v>0</v>
      </c>
      <c r="H71">
        <v>0</v>
      </c>
      <c r="I71">
        <f>SUM(Y71+X71+S71+R71)</f>
        <v>950998.98992484086</v>
      </c>
      <c r="J71">
        <f>SUM(M71:Q71)+SUM(T71:W71)+SUM(Z71:AA71)</f>
        <v>1406626.099591983</v>
      </c>
      <c r="L71" s="2">
        <f>SUM(M71:AW71)</f>
        <v>2357625.0895168236</v>
      </c>
      <c r="M71" s="2"/>
      <c r="N71" s="2"/>
      <c r="O71" s="2"/>
      <c r="P71" s="2"/>
      <c r="Q71" s="2"/>
      <c r="R71" s="2"/>
      <c r="S71" s="2"/>
      <c r="T71" s="2"/>
      <c r="U71" s="2">
        <v>295966.00045325886</v>
      </c>
      <c r="V71" s="2">
        <v>244652.57801815731</v>
      </c>
      <c r="W71" s="2">
        <v>201781.42752127157</v>
      </c>
      <c r="X71" s="2">
        <v>472899.68900925573</v>
      </c>
      <c r="Y71" s="2">
        <v>478099.30091558507</v>
      </c>
      <c r="Z71" s="2">
        <v>329767.12328767165</v>
      </c>
      <c r="AA71" s="2">
        <v>334458.97031162347</v>
      </c>
    </row>
    <row r="72" spans="1:27" x14ac:dyDescent="0.4">
      <c r="A72" s="1">
        <v>45959</v>
      </c>
      <c r="B72">
        <v>3063.0210000000002</v>
      </c>
      <c r="C72">
        <v>4747.8378000000002</v>
      </c>
      <c r="D72">
        <v>7480.9665999999997</v>
      </c>
      <c r="E72">
        <v>7569.1170000000002</v>
      </c>
      <c r="G72">
        <v>0</v>
      </c>
      <c r="H72">
        <v>0</v>
      </c>
      <c r="I72">
        <f>SUM(Y72+X72+S72+R72)</f>
        <v>952822.06075164722</v>
      </c>
      <c r="J72">
        <f>SUM(M72:Q72)+SUM(T72:W72)+SUM(Z72:AA72)</f>
        <v>1601683.5905407667</v>
      </c>
      <c r="L72" s="2">
        <f>SUM(M72:AW72)</f>
        <v>2554505.6512924139</v>
      </c>
      <c r="M72" s="2"/>
      <c r="N72" s="2"/>
      <c r="O72" s="2"/>
      <c r="P72" s="2"/>
      <c r="Q72" s="2"/>
      <c r="R72" s="2"/>
      <c r="S72" s="2"/>
      <c r="T72" s="2"/>
      <c r="U72" s="2">
        <v>372712.96254267439</v>
      </c>
      <c r="V72" s="2">
        <v>343973.78836844035</v>
      </c>
      <c r="W72" s="2">
        <v>220770.74603035703</v>
      </c>
      <c r="X72" s="2">
        <v>473808.3621215095</v>
      </c>
      <c r="Y72" s="2">
        <v>479013.69863013766</v>
      </c>
      <c r="Z72" s="2">
        <v>329767.12328767165</v>
      </c>
      <c r="AA72" s="2">
        <v>334458.97031162347</v>
      </c>
    </row>
    <row r="73" spans="1:27" x14ac:dyDescent="0.4">
      <c r="A73" s="1">
        <v>45960</v>
      </c>
      <c r="B73">
        <v>3046.6107999999999</v>
      </c>
      <c r="C73">
        <v>4709.9110000000001</v>
      </c>
      <c r="D73">
        <v>7385.7109</v>
      </c>
      <c r="E73">
        <v>7485.0847999999996</v>
      </c>
      <c r="G73">
        <v>0</v>
      </c>
      <c r="H73">
        <v>0</v>
      </c>
      <c r="I73">
        <f>SUM(Y73+X73+S73+R73)</f>
        <v>953731.04195167683</v>
      </c>
      <c r="J73">
        <f>SUM(M73:Q73)+SUM(T73:W73)+SUM(Z73:AA73)</f>
        <v>1368784.2901252494</v>
      </c>
      <c r="L73" s="2">
        <f>SUM(M73:AW73)</f>
        <v>2322515.3320769263</v>
      </c>
      <c r="M73" s="2"/>
      <c r="N73" s="2"/>
      <c r="O73" s="2"/>
      <c r="P73" s="2"/>
      <c r="Q73" s="2"/>
      <c r="R73" s="2"/>
      <c r="S73" s="2"/>
      <c r="T73" s="2">
        <v>-88882.624459381623</v>
      </c>
      <c r="U73" s="2">
        <v>314997.32925598015</v>
      </c>
      <c r="V73" s="2">
        <v>268862.12084229628</v>
      </c>
      <c r="W73" s="2">
        <v>209581.37088705954</v>
      </c>
      <c r="X73" s="2">
        <v>474717.34332153917</v>
      </c>
      <c r="Y73" s="2">
        <v>479013.69863013766</v>
      </c>
      <c r="Z73" s="2">
        <v>329767.12328767165</v>
      </c>
      <c r="AA73" s="2">
        <v>334458.97031162347</v>
      </c>
    </row>
    <row r="74" spans="1:27" x14ac:dyDescent="0.4">
      <c r="A74" s="1">
        <v>45961</v>
      </c>
      <c r="B74">
        <v>3011.5547000000001</v>
      </c>
      <c r="C74">
        <v>4640.6675999999998</v>
      </c>
      <c r="D74">
        <v>7331.0030999999999</v>
      </c>
      <c r="E74">
        <v>7506.6746000000003</v>
      </c>
      <c r="G74">
        <v>0</v>
      </c>
      <c r="H74">
        <v>0</v>
      </c>
      <c r="I74">
        <f>SUM(Y74+X74+S74+R74)</f>
        <v>954639.07684497209</v>
      </c>
      <c r="J74">
        <f>SUM(M74:Q74)+SUM(T74:W74)+SUM(Z74:AA74)</f>
        <v>1471150.8090693508</v>
      </c>
      <c r="L74" s="2">
        <f>SUM(M74:AW74)</f>
        <v>2425789.8859143225</v>
      </c>
      <c r="M74" s="2"/>
      <c r="N74" s="2"/>
      <c r="O74" s="2"/>
      <c r="P74" s="2"/>
      <c r="Q74" s="2"/>
      <c r="R74" s="2"/>
      <c r="S74" s="2"/>
      <c r="T74" s="2">
        <v>-49768.047104361001</v>
      </c>
      <c r="U74" s="2">
        <v>339413.37740401318</v>
      </c>
      <c r="V74" s="2">
        <v>300453.88891702989</v>
      </c>
      <c r="W74" s="2">
        <v>216825.49625337357</v>
      </c>
      <c r="X74" s="2">
        <v>475625.37821483437</v>
      </c>
      <c r="Y74" s="2">
        <v>479013.69863013766</v>
      </c>
      <c r="Z74" s="2">
        <v>329767.12328767165</v>
      </c>
      <c r="AA74" s="2">
        <v>334458.97031162347</v>
      </c>
    </row>
    <row r="75" spans="1:27" x14ac:dyDescent="0.4">
      <c r="A75" s="1">
        <v>45964</v>
      </c>
      <c r="B75">
        <v>3016.3507</v>
      </c>
      <c r="C75">
        <v>4653.4027999999998</v>
      </c>
      <c r="D75">
        <v>7333.6013000000003</v>
      </c>
      <c r="E75">
        <v>7538.1178</v>
      </c>
      <c r="G75">
        <v>0</v>
      </c>
      <c r="H75">
        <v>0</v>
      </c>
      <c r="I75">
        <f>SUM(Y75+X75+S75+R75)</f>
        <v>1073885.7715613479</v>
      </c>
      <c r="J75">
        <f>SUM(M75:Q75)+SUM(T75:W75)+SUM(Z75:AA75)</f>
        <v>1602242.7965354095</v>
      </c>
      <c r="L75" s="2">
        <f>SUM(M75:AW75)</f>
        <v>2676128.5680967574</v>
      </c>
      <c r="M75" s="2"/>
      <c r="N75" s="2"/>
      <c r="O75" s="2"/>
      <c r="P75" s="2"/>
      <c r="Q75" s="2"/>
      <c r="R75" s="2"/>
      <c r="S75" s="2">
        <v>118337.41962342734</v>
      </c>
      <c r="T75" s="2">
        <v>2016.4686202906255</v>
      </c>
      <c r="U75" s="2">
        <v>370424.37195178267</v>
      </c>
      <c r="V75" s="2">
        <v>340789.95656117232</v>
      </c>
      <c r="W75" s="2">
        <v>224785.9058028686</v>
      </c>
      <c r="X75" s="2">
        <v>476534.65330778289</v>
      </c>
      <c r="Y75" s="2">
        <v>479013.69863013766</v>
      </c>
      <c r="Z75" s="2">
        <v>329767.12328767165</v>
      </c>
      <c r="AA75" s="2">
        <v>334458.97031162347</v>
      </c>
    </row>
    <row r="76" spans="1:27" x14ac:dyDescent="0.4">
      <c r="A76" s="1">
        <v>45965</v>
      </c>
      <c r="B76">
        <v>3012.9690999999998</v>
      </c>
      <c r="C76">
        <v>4618.6989999999996</v>
      </c>
      <c r="D76">
        <v>7210.8253000000004</v>
      </c>
      <c r="E76">
        <v>7435.7308000000003</v>
      </c>
      <c r="G76">
        <v>0</v>
      </c>
      <c r="H76">
        <v>0</v>
      </c>
      <c r="I76">
        <f>SUM(Y76+X76+S76+R76)</f>
        <v>907493.18934003904</v>
      </c>
      <c r="J76">
        <f>SUM(M76:Q76)+SUM(T76:W76)+SUM(Z76:AA76)</f>
        <v>1278498.9412082885</v>
      </c>
      <c r="L76" s="2">
        <f>SUM(M76:AW76)</f>
        <v>2185992.1305483277</v>
      </c>
      <c r="M76" s="2"/>
      <c r="N76" s="2"/>
      <c r="O76" s="2"/>
      <c r="P76" s="2"/>
      <c r="Q76" s="2"/>
      <c r="R76" s="2"/>
      <c r="S76" s="2">
        <v>-48964.294989672824</v>
      </c>
      <c r="T76" s="2">
        <v>-131854.74210998786</v>
      </c>
      <c r="U76" s="2">
        <v>294915.33614118717</v>
      </c>
      <c r="V76" s="2">
        <v>241906.46140667031</v>
      </c>
      <c r="W76" s="2">
        <v>209305.7921711239</v>
      </c>
      <c r="X76" s="2">
        <v>477443.78569957428</v>
      </c>
      <c r="Y76" s="2">
        <v>479013.69863013766</v>
      </c>
      <c r="Z76" s="2">
        <v>329767.12328767165</v>
      </c>
      <c r="AA76" s="2">
        <v>334458.97031162347</v>
      </c>
    </row>
    <row r="77" spans="1:27" x14ac:dyDescent="0.4">
      <c r="A77" s="1">
        <v>45966</v>
      </c>
      <c r="B77">
        <v>3007.97</v>
      </c>
      <c r="C77">
        <v>4627.2569999999996</v>
      </c>
      <c r="D77">
        <v>7229.3410000000003</v>
      </c>
      <c r="E77">
        <v>7464.8631999999998</v>
      </c>
      <c r="G77">
        <v>0</v>
      </c>
      <c r="H77">
        <v>0</v>
      </c>
      <c r="I77">
        <f>SUM(Y77+X77+S77+R77)</f>
        <v>944192.38995982567</v>
      </c>
      <c r="J77">
        <f>SUM(M77:Q77)+SUM(T77:W77)+SUM(Z77:AA77)</f>
        <v>1413433.7899804586</v>
      </c>
      <c r="L77" s="2">
        <f>SUM(M77:AW77)</f>
        <v>2357626.1799402842</v>
      </c>
      <c r="M77" s="2"/>
      <c r="N77" s="2"/>
      <c r="O77" s="2"/>
      <c r="P77" s="2"/>
      <c r="Q77" s="2"/>
      <c r="R77" s="2"/>
      <c r="S77" s="2">
        <v>-13174.375182695134</v>
      </c>
      <c r="T77" s="2">
        <v>-80475.626231257702</v>
      </c>
      <c r="U77" s="2">
        <v>327029.22504197579</v>
      </c>
      <c r="V77" s="2">
        <v>283716.93037181598</v>
      </c>
      <c r="W77" s="2">
        <v>218937.16719862953</v>
      </c>
      <c r="X77" s="2">
        <v>478353.06651238311</v>
      </c>
      <c r="Y77" s="2">
        <v>479013.69863013766</v>
      </c>
      <c r="Z77" s="2">
        <v>329767.12328767165</v>
      </c>
      <c r="AA77" s="2">
        <v>334458.97031162347</v>
      </c>
    </row>
    <row r="78" spans="1:27" x14ac:dyDescent="0.4">
      <c r="A78" s="1">
        <v>45967</v>
      </c>
      <c r="B78">
        <v>3044.7415999999998</v>
      </c>
      <c r="C78">
        <v>4693.4031999999997</v>
      </c>
      <c r="D78">
        <v>7345.723</v>
      </c>
      <c r="E78">
        <v>7551.8298999999997</v>
      </c>
      <c r="G78">
        <v>0</v>
      </c>
      <c r="H78">
        <v>0</v>
      </c>
      <c r="I78">
        <f>SUM(Y78+X78+S78+R78)</f>
        <v>1116605.7965144913</v>
      </c>
      <c r="J78">
        <f>SUM(M78:Q78)+SUM(T78:W78)+SUM(Z78:AA78)</f>
        <v>1728846.3990989858</v>
      </c>
      <c r="L78" s="2">
        <f>SUM(M78:AW78)</f>
        <v>2845452.1956134774</v>
      </c>
      <c r="M78" s="2"/>
      <c r="N78" s="2"/>
      <c r="O78" s="2"/>
      <c r="P78" s="2"/>
      <c r="Q78" s="2"/>
      <c r="R78" s="2"/>
      <c r="S78" s="2">
        <v>158323.6047336701</v>
      </c>
      <c r="T78" s="2">
        <v>48060.27375129873</v>
      </c>
      <c r="U78" s="2">
        <v>400968.80134418677</v>
      </c>
      <c r="V78" s="2">
        <v>380747.95221574296</v>
      </c>
      <c r="W78" s="2">
        <v>234843.27818846231</v>
      </c>
      <c r="X78" s="2">
        <v>479268.49315068347</v>
      </c>
      <c r="Y78" s="2">
        <v>479013.69863013766</v>
      </c>
      <c r="Z78" s="2">
        <v>329767.12328767165</v>
      </c>
      <c r="AA78" s="2">
        <v>334458.97031162347</v>
      </c>
    </row>
    <row r="79" spans="1:27" x14ac:dyDescent="0.4">
      <c r="A79" s="1">
        <v>45968</v>
      </c>
      <c r="B79">
        <v>3038.3454999999999</v>
      </c>
      <c r="C79">
        <v>4678.7943999999998</v>
      </c>
      <c r="D79">
        <v>7327.9107999999997</v>
      </c>
      <c r="E79">
        <v>7541.8779999999997</v>
      </c>
      <c r="G79">
        <v>0</v>
      </c>
      <c r="H79">
        <v>0</v>
      </c>
      <c r="I79">
        <f>SUM(Y79+X79+S79+R79)</f>
        <v>1101005.3295358981</v>
      </c>
      <c r="J79">
        <f>SUM(M79:Q79)+SUM(T79:W79)+SUM(Z79:AA79)</f>
        <v>1726270.0447344766</v>
      </c>
      <c r="L79" s="2">
        <f>SUM(M79:AW79)</f>
        <v>2827275.3742703749</v>
      </c>
      <c r="M79" s="2"/>
      <c r="N79" s="2"/>
      <c r="O79" s="2"/>
      <c r="P79" s="2"/>
      <c r="Q79" s="2"/>
      <c r="R79" s="2"/>
      <c r="S79" s="2">
        <v>142723.1377550769</v>
      </c>
      <c r="T79" s="2">
        <v>44324.874670327474</v>
      </c>
      <c r="U79" s="2">
        <v>400754.63890791091</v>
      </c>
      <c r="V79" s="2">
        <v>380488.05861371843</v>
      </c>
      <c r="W79" s="2">
        <v>236476.37894322476</v>
      </c>
      <c r="X79" s="2">
        <v>479268.49315068347</v>
      </c>
      <c r="Y79" s="2">
        <v>479013.69863013766</v>
      </c>
      <c r="Z79" s="2">
        <v>329767.12328767165</v>
      </c>
      <c r="AA79" s="2">
        <v>334458.97031162347</v>
      </c>
    </row>
    <row r="80" spans="1:27" x14ac:dyDescent="0.4">
      <c r="A80" s="1">
        <v>45971</v>
      </c>
      <c r="B80">
        <v>3053.857</v>
      </c>
      <c r="C80">
        <v>4695.0506999999998</v>
      </c>
      <c r="D80">
        <v>7343.8017</v>
      </c>
      <c r="E80">
        <v>7563.2534999999998</v>
      </c>
      <c r="G80">
        <v>0</v>
      </c>
      <c r="H80">
        <v>0</v>
      </c>
      <c r="I80">
        <f>SUM(Y80+X80+S80+R80)</f>
        <v>1130252.5981540047</v>
      </c>
      <c r="J80">
        <f>SUM(M80:Q80)+SUM(T80:W80)+SUM(Z80:AA80)</f>
        <v>1819071.821780588</v>
      </c>
      <c r="L80" s="2">
        <f>SUM(M80:AW80)</f>
        <v>2949324.4199345931</v>
      </c>
      <c r="M80" s="2"/>
      <c r="N80" s="2"/>
      <c r="O80" s="2"/>
      <c r="P80" s="2"/>
      <c r="Q80" s="2"/>
      <c r="R80" s="2"/>
      <c r="S80" s="2">
        <v>171970.40637318359</v>
      </c>
      <c r="T80" s="2">
        <v>81792.209917330794</v>
      </c>
      <c r="U80" s="2">
        <v>422597.80462716939</v>
      </c>
      <c r="V80" s="2">
        <v>409322.56211832963</v>
      </c>
      <c r="W80" s="2">
        <v>241133.15151846322</v>
      </c>
      <c r="X80" s="2">
        <v>479268.49315068347</v>
      </c>
      <c r="Y80" s="2">
        <v>479013.69863013766</v>
      </c>
      <c r="Z80" s="2">
        <v>329767.12328767165</v>
      </c>
      <c r="AA80" s="2">
        <v>334458.97031162347</v>
      </c>
    </row>
    <row r="81" spans="1:27" x14ac:dyDescent="0.4">
      <c r="A81" s="1">
        <v>45972</v>
      </c>
      <c r="B81">
        <v>3034.6329000000001</v>
      </c>
      <c r="C81">
        <v>4652.1655000000001</v>
      </c>
      <c r="D81">
        <v>7291.6084000000001</v>
      </c>
      <c r="E81">
        <v>7540.7910000000002</v>
      </c>
      <c r="G81">
        <v>0</v>
      </c>
      <c r="H81">
        <v>0</v>
      </c>
      <c r="I81">
        <f>SUM(Y81+X81+S81+R81)</f>
        <v>1067517.683970771</v>
      </c>
      <c r="J81">
        <f>SUM(M81:Q81)+SUM(T81:W81)+SUM(Z81:AA81)</f>
        <v>1779555.2321875528</v>
      </c>
      <c r="L81" s="2">
        <f>SUM(M81:AW81)</f>
        <v>2847072.9161583241</v>
      </c>
      <c r="M81" s="2"/>
      <c r="N81" s="2"/>
      <c r="O81" s="2"/>
      <c r="P81" s="2"/>
      <c r="Q81" s="2"/>
      <c r="R81" s="2"/>
      <c r="S81" s="2">
        <v>109235.4921899499</v>
      </c>
      <c r="T81" s="2">
        <v>61826.52268549188</v>
      </c>
      <c r="U81" s="2">
        <v>413850.48710392386</v>
      </c>
      <c r="V81" s="2">
        <v>397892.89860795281</v>
      </c>
      <c r="W81" s="2">
        <v>241759.23019088927</v>
      </c>
      <c r="X81" s="2">
        <v>479268.49315068347</v>
      </c>
      <c r="Y81" s="2">
        <v>479013.69863013766</v>
      </c>
      <c r="Z81" s="2">
        <v>329767.12328767165</v>
      </c>
      <c r="AA81" s="2">
        <v>334458.97031162347</v>
      </c>
    </row>
    <row r="82" spans="1:27" x14ac:dyDescent="0.4">
      <c r="A82" s="1">
        <v>45973</v>
      </c>
      <c r="B82">
        <v>3044.3011000000001</v>
      </c>
      <c r="C82">
        <v>4645.9079000000002</v>
      </c>
      <c r="D82">
        <v>7243.2483000000002</v>
      </c>
      <c r="E82">
        <v>7486.3765999999996</v>
      </c>
      <c r="G82">
        <v>0</v>
      </c>
      <c r="H82">
        <v>0</v>
      </c>
      <c r="I82">
        <f>SUM(Y82+X82+S82+R82)</f>
        <v>1006177.5377370341</v>
      </c>
      <c r="J82">
        <f>SUM(M82:Q82)+SUM(T82:W82)+SUM(Z82:AA82)</f>
        <v>1634890.2454070095</v>
      </c>
      <c r="L82" s="2">
        <f>SUM(M82:AW82)</f>
        <v>2641067.7831440433</v>
      </c>
      <c r="M82" s="2"/>
      <c r="N82" s="2"/>
      <c r="O82" s="2"/>
      <c r="P82" s="2"/>
      <c r="Q82" s="2"/>
      <c r="R82" s="2"/>
      <c r="S82" s="2">
        <v>47895.345956212906</v>
      </c>
      <c r="T82" s="2">
        <v>-2746.2050428104876</v>
      </c>
      <c r="U82" s="2">
        <v>380621.70601267694</v>
      </c>
      <c r="V82" s="2">
        <v>353886.39754995145</v>
      </c>
      <c r="W82" s="2">
        <v>238902.25328789646</v>
      </c>
      <c r="X82" s="2">
        <v>479268.49315068347</v>
      </c>
      <c r="Y82" s="2">
        <v>479013.69863013766</v>
      </c>
      <c r="Z82" s="2">
        <v>329767.12328767165</v>
      </c>
      <c r="AA82" s="2">
        <v>334458.97031162347</v>
      </c>
    </row>
    <row r="83" spans="1:27" x14ac:dyDescent="0.4">
      <c r="A83" s="1">
        <v>45974</v>
      </c>
      <c r="B83">
        <v>3073.6655999999998</v>
      </c>
      <c r="C83">
        <v>4702.0738000000001</v>
      </c>
      <c r="D83">
        <v>7355.2911000000004</v>
      </c>
      <c r="E83">
        <v>7590.5762999999997</v>
      </c>
      <c r="G83">
        <v>0</v>
      </c>
      <c r="H83">
        <v>0</v>
      </c>
      <c r="I83">
        <f>SUM(Y83+X83+S83+R83)</f>
        <v>1169880.6916616689</v>
      </c>
      <c r="J83">
        <f>SUM(M83:Q83)+SUM(T83:W83)+SUM(Z83:AA83)</f>
        <v>1519804.2183784046</v>
      </c>
      <c r="L83" s="2">
        <f>SUM(M83:AW83)</f>
        <v>2689684.9100400731</v>
      </c>
      <c r="M83" s="2"/>
      <c r="N83" s="2"/>
      <c r="O83" s="2"/>
      <c r="P83" s="2"/>
      <c r="Q83" s="2"/>
      <c r="R83" s="2"/>
      <c r="S83" s="2">
        <v>211598.49988084784</v>
      </c>
      <c r="T83" s="2">
        <v>145224.27922374627</v>
      </c>
      <c r="U83" s="2">
        <v>460847.61332234513</v>
      </c>
      <c r="V83" s="2">
        <v>-98.837647532567033</v>
      </c>
      <c r="W83" s="2">
        <v>249605.06988055052</v>
      </c>
      <c r="X83" s="2">
        <v>479268.49315068347</v>
      </c>
      <c r="Y83" s="2">
        <v>479013.69863013766</v>
      </c>
      <c r="Z83" s="2">
        <v>329767.12328767165</v>
      </c>
      <c r="AA83" s="2">
        <v>334458.97031162347</v>
      </c>
    </row>
    <row r="84" spans="1:27" x14ac:dyDescent="0.4">
      <c r="A84" s="1">
        <v>45975</v>
      </c>
      <c r="B84">
        <v>3038.4254999999998</v>
      </c>
      <c r="C84">
        <v>4628.1397999999999</v>
      </c>
      <c r="D84">
        <v>7235.4616999999998</v>
      </c>
      <c r="E84">
        <v>7502.7566999999999</v>
      </c>
      <c r="G84">
        <v>0</v>
      </c>
      <c r="H84">
        <v>0</v>
      </c>
      <c r="I84">
        <f>SUM(Y84+X84+S84+R84)</f>
        <v>1011024.6779613377</v>
      </c>
      <c r="J84">
        <f>SUM(M84:Q84)+SUM(T84:W84)+SUM(Z84:AA84)</f>
        <v>1747548.2684586979</v>
      </c>
      <c r="L84" s="2">
        <f>SUM(M84:AW84)</f>
        <v>2758572.9464200353</v>
      </c>
      <c r="M84" s="2"/>
      <c r="N84" s="2"/>
      <c r="O84" s="2"/>
      <c r="P84" s="2"/>
      <c r="Q84" s="2"/>
      <c r="R84" s="2">
        <v>-114.84025317527755</v>
      </c>
      <c r="S84" s="2">
        <v>52857.326433691764</v>
      </c>
      <c r="T84" s="2">
        <v>39262.40621323404</v>
      </c>
      <c r="U84" s="2">
        <v>407530.92535756045</v>
      </c>
      <c r="V84" s="2">
        <v>389777.65114116727</v>
      </c>
      <c r="W84" s="2">
        <v>246751.19214744109</v>
      </c>
      <c r="X84" s="2">
        <v>479268.49315068347</v>
      </c>
      <c r="Y84" s="2">
        <v>479013.69863013766</v>
      </c>
      <c r="Z84" s="2">
        <v>329767.12328767165</v>
      </c>
      <c r="AA84" s="2">
        <v>334458.97031162347</v>
      </c>
    </row>
    <row r="85" spans="1:27" x14ac:dyDescent="0.4">
      <c r="A85" s="1">
        <v>45978</v>
      </c>
      <c r="B85">
        <v>3012.0713999999998</v>
      </c>
      <c r="C85">
        <v>4598.0524999999998</v>
      </c>
      <c r="D85">
        <v>7235.3512000000001</v>
      </c>
      <c r="E85">
        <v>7523.0757999999996</v>
      </c>
      <c r="G85">
        <v>0</v>
      </c>
      <c r="H85">
        <v>0</v>
      </c>
      <c r="I85">
        <f>SUM(Y85+X85+S85+R85)</f>
        <v>1027158.2204262496</v>
      </c>
      <c r="J85">
        <f>SUM(M85:Q85)+SUM(T85:W85)+SUM(Z85:AA85)</f>
        <v>1840381.1894902214</v>
      </c>
      <c r="L85" s="2">
        <f>SUM(M85:AW85)</f>
        <v>2867539.4099164712</v>
      </c>
      <c r="M85" s="2"/>
      <c r="N85" s="2"/>
      <c r="O85" s="2"/>
      <c r="P85" s="2"/>
      <c r="Q85" s="2"/>
      <c r="R85" s="2">
        <v>7863.1804551117166</v>
      </c>
      <c r="S85" s="2">
        <v>61012.848190316705</v>
      </c>
      <c r="T85" s="2">
        <v>76679.118196727097</v>
      </c>
      <c r="U85" s="2">
        <v>429450.47179843654</v>
      </c>
      <c r="V85" s="2">
        <v>419146.18721511221</v>
      </c>
      <c r="W85" s="2">
        <v>250879.31868065026</v>
      </c>
      <c r="X85" s="2">
        <v>479268.49315068347</v>
      </c>
      <c r="Y85" s="2">
        <v>479013.69863013766</v>
      </c>
      <c r="Z85" s="2">
        <v>329767.12328767165</v>
      </c>
      <c r="AA85" s="2">
        <v>334458.97031162347</v>
      </c>
    </row>
    <row r="86" spans="1:27" x14ac:dyDescent="0.4">
      <c r="A86" s="1">
        <v>45979</v>
      </c>
      <c r="B86">
        <v>3003.0174999999999</v>
      </c>
      <c r="C86">
        <v>4568.1927999999998</v>
      </c>
      <c r="D86">
        <v>7151.0176000000001</v>
      </c>
      <c r="E86">
        <v>7448.1007</v>
      </c>
      <c r="G86">
        <v>0</v>
      </c>
      <c r="H86">
        <v>0</v>
      </c>
      <c r="I86">
        <f>SUM(Y86+X86+S86+R86)</f>
        <v>773117.35477169754</v>
      </c>
      <c r="J86">
        <f>SUM(M86:Q86)+SUM(T86:W86)+SUM(Z86:AA86)</f>
        <v>1626624.9594421131</v>
      </c>
      <c r="L86" s="2">
        <f>SUM(M86:AW86)</f>
        <v>2399742.3142138105</v>
      </c>
      <c r="M86" s="2"/>
      <c r="N86" s="2"/>
      <c r="O86" s="2"/>
      <c r="P86" s="2"/>
      <c r="Q86" s="2"/>
      <c r="R86" s="2">
        <v>-122821.56191767834</v>
      </c>
      <c r="S86" s="2">
        <v>-62343.275091445306</v>
      </c>
      <c r="T86" s="2">
        <v>-18549.411711082757</v>
      </c>
      <c r="U86" s="2">
        <v>379949.81513261184</v>
      </c>
      <c r="V86" s="2">
        <v>352807.23641771381</v>
      </c>
      <c r="W86" s="2">
        <v>248191.22600357514</v>
      </c>
      <c r="X86" s="2">
        <v>479268.49315068347</v>
      </c>
      <c r="Y86" s="2">
        <v>479013.69863013766</v>
      </c>
      <c r="Z86" s="2">
        <v>329767.12328767165</v>
      </c>
      <c r="AA86" s="2">
        <v>334458.97031162347</v>
      </c>
    </row>
    <row r="87" spans="1:27" x14ac:dyDescent="0.4">
      <c r="A87" s="1">
        <v>45980</v>
      </c>
      <c r="B87">
        <v>3020.3487</v>
      </c>
      <c r="C87">
        <v>4588.2921999999999</v>
      </c>
      <c r="D87">
        <v>7122.7465000000002</v>
      </c>
      <c r="E87">
        <v>7387.2084000000004</v>
      </c>
      <c r="G87">
        <v>0</v>
      </c>
      <c r="H87">
        <v>0</v>
      </c>
      <c r="I87">
        <f>SUM(Y87+X87+S87+R87)</f>
        <v>693713.35844966338</v>
      </c>
      <c r="J87">
        <f>SUM(M87:Q87)+SUM(T87:W87)+SUM(Z87:AA87)</f>
        <v>1437594.2613233053</v>
      </c>
      <c r="L87" s="2">
        <f>SUM(M87:AW87)</f>
        <v>2131307.6197729688</v>
      </c>
      <c r="M87" s="2"/>
      <c r="N87" s="2"/>
      <c r="O87" s="2"/>
      <c r="P87" s="2"/>
      <c r="Q87" s="2"/>
      <c r="R87" s="2">
        <v>-163759.72915516872</v>
      </c>
      <c r="S87" s="2">
        <v>-100809.10417598904</v>
      </c>
      <c r="T87" s="2">
        <v>-99788.281405347778</v>
      </c>
      <c r="U87" s="2">
        <v>335823.15937531588</v>
      </c>
      <c r="V87" s="2">
        <v>293076.51277706306</v>
      </c>
      <c r="W87" s="2">
        <v>244256.77697697916</v>
      </c>
      <c r="X87" s="2">
        <v>479268.49315068347</v>
      </c>
      <c r="Y87" s="2">
        <v>479013.69863013766</v>
      </c>
      <c r="Z87" s="2">
        <v>329767.12328767165</v>
      </c>
      <c r="AA87" s="2">
        <v>334458.97031162347</v>
      </c>
    </row>
    <row r="88" spans="1:27" x14ac:dyDescent="0.4">
      <c r="A88" s="1">
        <v>45981</v>
      </c>
      <c r="B88">
        <v>3008.2903999999999</v>
      </c>
      <c r="C88">
        <v>4564.9483</v>
      </c>
      <c r="D88">
        <v>7061.9497000000001</v>
      </c>
      <c r="E88">
        <v>7340.4117999999999</v>
      </c>
      <c r="G88">
        <v>0</v>
      </c>
      <c r="H88">
        <v>0</v>
      </c>
      <c r="I88">
        <f>SUM(Y88+X88+S88+R88)</f>
        <v>495807.44501185138</v>
      </c>
      <c r="J88">
        <f>SUM(M88:Q88)+SUM(T88:W88)+SUM(Z88:AA88)</f>
        <v>1285751.0372018516</v>
      </c>
      <c r="L88" s="2">
        <f>SUM(M88:AW88)</f>
        <v>1781558.482213703</v>
      </c>
      <c r="M88" s="2"/>
      <c r="N88" s="2"/>
      <c r="O88" s="2"/>
      <c r="P88" s="2"/>
      <c r="Q88" s="2"/>
      <c r="R88" s="2">
        <v>-265057.90280760324</v>
      </c>
      <c r="S88" s="2">
        <v>-197416.84396136657</v>
      </c>
      <c r="T88" s="2">
        <v>-163451.34253321923</v>
      </c>
      <c r="U88" s="2">
        <v>300327.43463948852</v>
      </c>
      <c r="V88" s="2">
        <v>244640.99919596867</v>
      </c>
      <c r="W88" s="2">
        <v>240007.85230031842</v>
      </c>
      <c r="X88" s="2">
        <v>479268.49315068347</v>
      </c>
      <c r="Y88" s="2">
        <v>479013.69863013766</v>
      </c>
      <c r="Z88" s="2">
        <v>329767.12328767165</v>
      </c>
      <c r="AA88" s="2">
        <v>334458.97031162347</v>
      </c>
    </row>
    <row r="89" spans="1:27" x14ac:dyDescent="0.4">
      <c r="A89" s="1">
        <v>45982</v>
      </c>
      <c r="B89">
        <v>2955.8541</v>
      </c>
      <c r="C89">
        <v>4453.6076000000003</v>
      </c>
      <c r="D89">
        <v>6817.4102999999996</v>
      </c>
      <c r="E89">
        <v>7067.7030000000004</v>
      </c>
      <c r="G89">
        <v>0</v>
      </c>
      <c r="H89">
        <v>0</v>
      </c>
      <c r="I89">
        <f>SUM(Y89+X89+S89+R89)</f>
        <v>-445809.437296747</v>
      </c>
      <c r="J89">
        <f>SUM(M89:Q89)+SUM(T89:W89)+SUM(Z89:AA89)</f>
        <v>-59302.91194640426</v>
      </c>
      <c r="L89" s="2">
        <f>SUM(M89:AW89)</f>
        <v>-505112.34924315132</v>
      </c>
      <c r="M89" s="2"/>
      <c r="N89" s="2"/>
      <c r="O89" s="2"/>
      <c r="P89" s="2"/>
      <c r="Q89" s="2"/>
      <c r="R89" s="2">
        <v>-742550.67081850744</v>
      </c>
      <c r="S89" s="2">
        <v>-661540.95825906075</v>
      </c>
      <c r="T89" s="2">
        <v>-636650.46297531528</v>
      </c>
      <c r="U89" s="2">
        <v>-14629.507066432496</v>
      </c>
      <c r="V89" s="2">
        <v>-173210.53532536965</v>
      </c>
      <c r="W89" s="2">
        <v>100961.49982141811</v>
      </c>
      <c r="X89" s="2">
        <v>479268.49315068347</v>
      </c>
      <c r="Y89" s="2">
        <v>479013.69863013766</v>
      </c>
      <c r="Z89" s="2">
        <v>329767.12328767165</v>
      </c>
      <c r="AA89" s="2">
        <v>334458.97031162347</v>
      </c>
    </row>
    <row r="90" spans="1:27" x14ac:dyDescent="0.4">
      <c r="A90" s="1">
        <v>45985</v>
      </c>
      <c r="B90">
        <v>2950.5619999999999</v>
      </c>
      <c r="C90">
        <v>4448.0478000000003</v>
      </c>
      <c r="D90">
        <v>6868.9664000000002</v>
      </c>
      <c r="E90">
        <v>7156.4084999999995</v>
      </c>
      <c r="G90">
        <v>0</v>
      </c>
      <c r="H90">
        <v>0</v>
      </c>
      <c r="I90">
        <f>SUM(Y90+X90+S90+R90)</f>
        <v>-219362.88590398256</v>
      </c>
      <c r="J90">
        <f>SUM(M90:Q90)+SUM(T90:W90)+SUM(Z90:AA90)</f>
        <v>472140.85408595076</v>
      </c>
      <c r="L90" s="2">
        <f>SUM(M90:AW90)</f>
        <v>252777.96818196803</v>
      </c>
      <c r="M90" s="2"/>
      <c r="N90" s="2"/>
      <c r="O90" s="2"/>
      <c r="P90" s="2"/>
      <c r="Q90" s="2"/>
      <c r="R90" s="2">
        <v>-628336.12552599073</v>
      </c>
      <c r="S90" s="2">
        <v>-549308.95215881302</v>
      </c>
      <c r="T90" s="2">
        <v>-461072.44119896158</v>
      </c>
      <c r="U90" s="2">
        <v>112704.90548579083</v>
      </c>
      <c r="V90" s="2">
        <v>-8908.1786246327119</v>
      </c>
      <c r="W90" s="2">
        <v>165190.47482445912</v>
      </c>
      <c r="X90" s="2">
        <v>479268.49315068347</v>
      </c>
      <c r="Y90" s="2">
        <v>479013.69863013766</v>
      </c>
      <c r="Z90" s="2">
        <v>329767.12328767165</v>
      </c>
      <c r="AA90" s="2">
        <v>334458.97031162347</v>
      </c>
    </row>
    <row r="91" spans="1:27" x14ac:dyDescent="0.4">
      <c r="A91" s="1">
        <v>45986</v>
      </c>
      <c r="B91">
        <v>2968.2022999999999</v>
      </c>
      <c r="C91">
        <v>4490.4047</v>
      </c>
      <c r="D91">
        <v>6954.6034</v>
      </c>
      <c r="E91">
        <v>7249.9471000000003</v>
      </c>
      <c r="G91">
        <v>0</v>
      </c>
      <c r="H91">
        <v>0</v>
      </c>
      <c r="I91">
        <f>SUM(Y91+X91+S91+R91)</f>
        <v>138053.44492789009</v>
      </c>
      <c r="J91">
        <f>SUM(M91:Q91)+SUM(T91:W91)+SUM(Z91:AA91)</f>
        <v>980290.94648938824</v>
      </c>
      <c r="L91" s="2">
        <f>SUM(M91:AW91)</f>
        <v>1118344.3914172782</v>
      </c>
      <c r="M91" s="2"/>
      <c r="N91" s="2"/>
      <c r="O91" s="2"/>
      <c r="P91" s="2"/>
      <c r="Q91" s="2"/>
      <c r="R91" s="2">
        <v>-447617.69294677419</v>
      </c>
      <c r="S91" s="2">
        <v>-372611.05390615691</v>
      </c>
      <c r="T91" s="2">
        <v>-284906.18135787308</v>
      </c>
      <c r="U91" s="2">
        <v>232053.81226581399</v>
      </c>
      <c r="V91" s="2">
        <v>149725.22689642987</v>
      </c>
      <c r="W91" s="2">
        <v>219191.9950857223</v>
      </c>
      <c r="X91" s="2">
        <v>479268.49315068347</v>
      </c>
      <c r="Y91" s="2">
        <v>479013.69863013766</v>
      </c>
      <c r="Z91" s="2">
        <v>329767.12328767165</v>
      </c>
      <c r="AA91" s="2">
        <v>334458.97031162347</v>
      </c>
    </row>
    <row r="92" spans="1:27" x14ac:dyDescent="0.4">
      <c r="A92" s="1">
        <v>45987</v>
      </c>
      <c r="B92">
        <v>2971.7984999999999</v>
      </c>
      <c r="C92">
        <v>4517.6255000000001</v>
      </c>
      <c r="D92">
        <v>6965.0452999999998</v>
      </c>
      <c r="E92">
        <v>7248.4489000000003</v>
      </c>
      <c r="G92">
        <v>0</v>
      </c>
      <c r="H92">
        <v>0</v>
      </c>
      <c r="I92">
        <f>SUM(Y92+X92+S92+R92)</f>
        <v>194001.05477223714</v>
      </c>
      <c r="J92">
        <f>SUM(M92:Q92)+SUM(T92:W92)+SUM(Z92:AA92)</f>
        <v>1006624.0057912769</v>
      </c>
      <c r="L92" s="2">
        <f>SUM(M92:AW92)</f>
        <v>1200625.0605635142</v>
      </c>
      <c r="M92" s="2"/>
      <c r="N92" s="2"/>
      <c r="O92" s="2"/>
      <c r="P92" s="2"/>
      <c r="Q92" s="2"/>
      <c r="R92" s="2">
        <v>-419475.88692545675</v>
      </c>
      <c r="S92" s="2">
        <v>-344805.25008312729</v>
      </c>
      <c r="T92" s="2">
        <v>-277810.42885971419</v>
      </c>
      <c r="U92" s="2">
        <v>239021.2905120402</v>
      </c>
      <c r="V92" s="2">
        <v>158187.00625414238</v>
      </c>
      <c r="W92" s="2">
        <v>223000.04428551346</v>
      </c>
      <c r="X92" s="2">
        <v>479268.49315068347</v>
      </c>
      <c r="Y92" s="2">
        <v>479013.69863013766</v>
      </c>
      <c r="Z92" s="2">
        <v>329767.12328767165</v>
      </c>
      <c r="AA92" s="2">
        <v>334458.97031162347</v>
      </c>
    </row>
    <row r="93" spans="1:27" x14ac:dyDescent="0.4">
      <c r="A93" s="1">
        <v>45988</v>
      </c>
      <c r="B93">
        <v>2972.2651000000001</v>
      </c>
      <c r="C93">
        <v>4515.4026999999996</v>
      </c>
      <c r="D93">
        <v>6951.2843999999996</v>
      </c>
      <c r="E93">
        <v>7257.4539999999997</v>
      </c>
      <c r="G93">
        <v>0</v>
      </c>
      <c r="H93">
        <v>0</v>
      </c>
      <c r="I93">
        <f>SUM(Y93+X93+S93+R93)</f>
        <v>155165.3084439105</v>
      </c>
      <c r="J93">
        <f>SUM(M93:Q93)+SUM(T93:W93)+SUM(Z93:AA93)</f>
        <v>1083309.4850288627</v>
      </c>
      <c r="L93" s="2">
        <f>SUM(M93:AW93)</f>
        <v>1238474.7934727734</v>
      </c>
      <c r="M93" s="2"/>
      <c r="N93" s="2"/>
      <c r="O93" s="2"/>
      <c r="P93" s="2"/>
      <c r="Q93" s="2"/>
      <c r="R93" s="2">
        <v>-439390.40208335797</v>
      </c>
      <c r="S93" s="2">
        <v>-363726.48125355266</v>
      </c>
      <c r="T93" s="2">
        <v>-252484.74943296649</v>
      </c>
      <c r="U93" s="2">
        <v>257538.0934438768</v>
      </c>
      <c r="V93" s="2">
        <v>182512.18344776423</v>
      </c>
      <c r="W93" s="2">
        <v>231517.86397089303</v>
      </c>
      <c r="X93" s="2">
        <v>479268.49315068347</v>
      </c>
      <c r="Y93" s="2">
        <v>479013.69863013766</v>
      </c>
      <c r="Z93" s="2">
        <v>329767.12328767165</v>
      </c>
      <c r="AA93" s="2">
        <v>334458.97031162347</v>
      </c>
    </row>
    <row r="94" spans="1:27" x14ac:dyDescent="0.4">
      <c r="A94" s="1">
        <v>45989</v>
      </c>
      <c r="B94">
        <v>2969.6170999999999</v>
      </c>
      <c r="C94">
        <v>4526.6616000000004</v>
      </c>
      <c r="D94">
        <v>7031.5505000000003</v>
      </c>
      <c r="E94">
        <v>7334.2097000000003</v>
      </c>
      <c r="G94">
        <v>0</v>
      </c>
      <c r="H94">
        <v>0</v>
      </c>
      <c r="I94">
        <f>SUM(Y94+X94+S94+R94)</f>
        <v>479879.07964136661</v>
      </c>
      <c r="J94">
        <f>SUM(M94:Q94)+SUM(T94:W94)+SUM(Z94:AA94)</f>
        <v>1461538.4325607875</v>
      </c>
      <c r="L94" s="2">
        <f>SUM(M94:AW94)</f>
        <v>1941417.5122021544</v>
      </c>
      <c r="M94" s="2"/>
      <c r="N94" s="2"/>
      <c r="O94" s="2"/>
      <c r="P94" s="2"/>
      <c r="Q94" s="2"/>
      <c r="R94" s="2">
        <v>-274792.64084380597</v>
      </c>
      <c r="S94" s="2">
        <v>-203610.4712956486</v>
      </c>
      <c r="T94" s="2">
        <v>-113887.26740686862</v>
      </c>
      <c r="U94" s="2">
        <v>344134.61898104119</v>
      </c>
      <c r="V94" s="2">
        <v>301841.8797474177</v>
      </c>
      <c r="W94" s="2">
        <v>265223.10763990233</v>
      </c>
      <c r="X94" s="2">
        <v>479268.49315068347</v>
      </c>
      <c r="Y94" s="2">
        <v>479013.69863013766</v>
      </c>
      <c r="Z94" s="2">
        <v>329767.12328767165</v>
      </c>
      <c r="AA94" s="2">
        <v>334458.97031162347</v>
      </c>
    </row>
    <row r="95" spans="1:27" x14ac:dyDescent="0.4">
      <c r="A95" s="1">
        <v>45992</v>
      </c>
      <c r="B95">
        <v>2993.6761000000001</v>
      </c>
      <c r="C95">
        <v>4576.4856</v>
      </c>
      <c r="D95">
        <v>7101.8323</v>
      </c>
      <c r="E95">
        <v>7386.6810999999998</v>
      </c>
      <c r="G95">
        <v>0</v>
      </c>
      <c r="H95">
        <v>0</v>
      </c>
      <c r="I95">
        <f>SUM(Y95+X95+S95+R95)</f>
        <v>753060.60820542043</v>
      </c>
      <c r="J95">
        <f>SUM(M95:Q95)+SUM(T95:W95)+SUM(Z95:AA95)</f>
        <v>1708000.7474051989</v>
      </c>
      <c r="L95" s="2">
        <f>SUM(M95:AW95)</f>
        <v>2461061.3556106193</v>
      </c>
      <c r="M95" s="2"/>
      <c r="N95" s="2"/>
      <c r="O95" s="2"/>
      <c r="P95" s="2"/>
      <c r="Q95" s="2"/>
      <c r="R95" s="2">
        <v>-135914.07747239771</v>
      </c>
      <c r="S95" s="2">
        <v>-69307.506103003063</v>
      </c>
      <c r="T95" s="2">
        <v>-20322.439282415788</v>
      </c>
      <c r="U95" s="2">
        <v>399779.06309535954</v>
      </c>
      <c r="V95" s="2">
        <v>379679.0024438714</v>
      </c>
      <c r="W95" s="2">
        <v>284639.0275490887</v>
      </c>
      <c r="X95" s="2">
        <v>479268.49315068347</v>
      </c>
      <c r="Y95" s="2">
        <v>479013.69863013766</v>
      </c>
      <c r="Z95" s="2">
        <v>329767.12328767165</v>
      </c>
      <c r="AA95" s="2">
        <v>334458.97031162347</v>
      </c>
    </row>
    <row r="96" spans="1:27" x14ac:dyDescent="0.4">
      <c r="A96" s="1">
        <v>45993</v>
      </c>
      <c r="B96">
        <v>2978.4670999999998</v>
      </c>
      <c r="C96">
        <v>4554.3347000000003</v>
      </c>
      <c r="D96">
        <v>7040.3008</v>
      </c>
      <c r="E96">
        <v>7313.1779999999999</v>
      </c>
      <c r="G96">
        <v>0</v>
      </c>
      <c r="H96">
        <v>0</v>
      </c>
      <c r="I96">
        <f>SUM(Y96+X96+S96+R96)</f>
        <v>545163.05496096518</v>
      </c>
      <c r="J96">
        <f>SUM(M96:Q96)+SUM(T96:W96)+SUM(Z96:AA96)</f>
        <v>1439718.4281803588</v>
      </c>
      <c r="L96" s="2">
        <f>SUM(M96:AW96)</f>
        <v>1984881.4831413243</v>
      </c>
      <c r="M96" s="2"/>
      <c r="N96" s="2"/>
      <c r="O96" s="2"/>
      <c r="P96" s="2"/>
      <c r="Q96" s="2"/>
      <c r="R96" s="2">
        <v>-242162.21859680343</v>
      </c>
      <c r="S96" s="2">
        <v>-170956.91822305255</v>
      </c>
      <c r="T96" s="2">
        <v>-128131.36057593237</v>
      </c>
      <c r="U96" s="2">
        <v>340989.31080674671</v>
      </c>
      <c r="V96" s="2">
        <v>296191.44236464502</v>
      </c>
      <c r="W96" s="2">
        <v>266442.94198560441</v>
      </c>
      <c r="X96" s="2">
        <v>479268.49315068347</v>
      </c>
      <c r="Y96" s="2">
        <v>479013.69863013766</v>
      </c>
      <c r="Z96" s="2">
        <v>329767.12328767165</v>
      </c>
      <c r="AA96" s="2">
        <v>334458.97031162347</v>
      </c>
    </row>
    <row r="97" spans="1:27" x14ac:dyDescent="0.4">
      <c r="A97" s="1">
        <v>45994</v>
      </c>
      <c r="B97">
        <v>2963.0763000000002</v>
      </c>
      <c r="C97">
        <v>4531.0486000000001</v>
      </c>
      <c r="D97">
        <v>6996.3552</v>
      </c>
      <c r="E97">
        <v>7248.2740000000003</v>
      </c>
      <c r="G97">
        <v>0</v>
      </c>
      <c r="H97">
        <v>0</v>
      </c>
      <c r="I97">
        <f>SUM(Y97+X97+S97+R97)</f>
        <v>393786.26775170222</v>
      </c>
      <c r="J97">
        <f>SUM(M97:Q97)+SUM(T97:W97)+SUM(Z97:AA97)</f>
        <v>1177049.8733999729</v>
      </c>
      <c r="L97" s="2">
        <f>SUM(M97:AW97)</f>
        <v>1570836.141151675</v>
      </c>
      <c r="M97" s="2"/>
      <c r="N97" s="2"/>
      <c r="O97" s="2"/>
      <c r="P97" s="2"/>
      <c r="Q97" s="2"/>
      <c r="R97" s="2">
        <v>-319344.30016823008</v>
      </c>
      <c r="S97" s="2">
        <v>-245151.62386088894</v>
      </c>
      <c r="T97" s="2">
        <v>-228849.66667235634</v>
      </c>
      <c r="U97" s="2">
        <v>282867.36552734853</v>
      </c>
      <c r="V97" s="2">
        <v>213047.60868255864</v>
      </c>
      <c r="W97" s="2">
        <v>245758.47226312687</v>
      </c>
      <c r="X97" s="2">
        <v>479268.49315068347</v>
      </c>
      <c r="Y97" s="2">
        <v>479013.69863013766</v>
      </c>
      <c r="Z97" s="2">
        <v>329767.12328767165</v>
      </c>
      <c r="AA97" s="2">
        <v>334458.97031162347</v>
      </c>
    </row>
    <row r="98" spans="1:27" x14ac:dyDescent="0.4">
      <c r="A98" s="1">
        <v>45995</v>
      </c>
      <c r="B98">
        <v>2974.3371000000002</v>
      </c>
      <c r="C98">
        <v>4546.5663999999997</v>
      </c>
      <c r="D98">
        <v>7012.8060999999998</v>
      </c>
      <c r="E98">
        <v>7248.6572999999999</v>
      </c>
      <c r="G98">
        <v>0</v>
      </c>
      <c r="H98">
        <v>0</v>
      </c>
      <c r="I98">
        <f>SUM(Y98+X98+S98+R98)</f>
        <v>473473.91898182023</v>
      </c>
      <c r="J98">
        <f>SUM(M98:Q98)+SUM(T98:W98)+SUM(Z98:AA98)</f>
        <v>1213947.7136140778</v>
      </c>
      <c r="L98" s="2">
        <f>SUM(M98:AW98)</f>
        <v>1687421.6325958981</v>
      </c>
      <c r="M98" s="2"/>
      <c r="N98" s="2"/>
      <c r="O98" s="2"/>
      <c r="P98" s="2"/>
      <c r="Q98" s="2"/>
      <c r="R98" s="2">
        <v>-279159.49076029623</v>
      </c>
      <c r="S98" s="2">
        <v>-205648.78203870475</v>
      </c>
      <c r="T98" s="2">
        <v>-218154.81658071428</v>
      </c>
      <c r="U98" s="2">
        <v>292280.83613352152</v>
      </c>
      <c r="V98" s="2">
        <v>224995.20532398127</v>
      </c>
      <c r="W98" s="2">
        <v>250600.39513799432</v>
      </c>
      <c r="X98" s="2">
        <v>479268.49315068347</v>
      </c>
      <c r="Y98" s="2">
        <v>479013.69863013766</v>
      </c>
      <c r="Z98" s="2">
        <v>329767.12328767165</v>
      </c>
      <c r="AA98" s="2">
        <v>334458.97031162347</v>
      </c>
    </row>
    <row r="99" spans="1:27" x14ac:dyDescent="0.4">
      <c r="A99" s="1">
        <v>45996</v>
      </c>
      <c r="B99">
        <v>3002.0086999999999</v>
      </c>
      <c r="C99">
        <v>4584.5367999999999</v>
      </c>
      <c r="D99">
        <v>7097.8388999999997</v>
      </c>
      <c r="E99">
        <v>7342.4924000000001</v>
      </c>
      <c r="G99">
        <v>0</v>
      </c>
      <c r="H99">
        <v>0</v>
      </c>
      <c r="I99">
        <f>SUM(Y99+X99+S99+R99)</f>
        <v>807150.96847384423</v>
      </c>
      <c r="J99">
        <f>SUM(M99:Q99)+SUM(T99:W99)+SUM(Z99:AA99)</f>
        <v>1669643.3115295675</v>
      </c>
      <c r="L99" s="2">
        <f>SUM(M99:AW99)</f>
        <v>2476794.2800034112</v>
      </c>
      <c r="M99" s="2"/>
      <c r="N99" s="2"/>
      <c r="O99" s="2"/>
      <c r="P99" s="2"/>
      <c r="Q99" s="2"/>
      <c r="R99" s="2">
        <v>-109704.7473920237</v>
      </c>
      <c r="S99" s="2">
        <v>-41426.475914953247</v>
      </c>
      <c r="T99" s="2">
        <v>-48932.887279898037</v>
      </c>
      <c r="U99" s="2">
        <v>394589.37670091056</v>
      </c>
      <c r="V99" s="2">
        <v>371468.24159967201</v>
      </c>
      <c r="W99" s="2">
        <v>288292.48690958758</v>
      </c>
      <c r="X99" s="2">
        <v>479268.49315068347</v>
      </c>
      <c r="Y99" s="2">
        <v>479013.69863013766</v>
      </c>
      <c r="Z99" s="2">
        <v>329767.12328767165</v>
      </c>
      <c r="AA99" s="2">
        <v>334458.97031162347</v>
      </c>
    </row>
    <row r="100" spans="1:27" x14ac:dyDescent="0.4">
      <c r="A100" s="1">
        <v>45999</v>
      </c>
      <c r="B100">
        <v>3019.3620000000001</v>
      </c>
      <c r="C100">
        <v>4621.7545</v>
      </c>
      <c r="D100">
        <v>7172.3671000000004</v>
      </c>
      <c r="E100">
        <v>7423.0461999999998</v>
      </c>
      <c r="G100">
        <v>0</v>
      </c>
      <c r="H100">
        <v>0</v>
      </c>
      <c r="I100">
        <f>SUM(Y100+X100+S100+R100)</f>
        <v>1084127.4530682224</v>
      </c>
      <c r="J100">
        <f>SUM(M100:Q100)+SUM(T100:W100)+SUM(Z100:AA100)</f>
        <v>2015258.2895185258</v>
      </c>
      <c r="L100" s="2">
        <f>SUM(M100:AW100)</f>
        <v>3099385.7425867482</v>
      </c>
      <c r="M100" s="2"/>
      <c r="N100" s="2"/>
      <c r="O100" s="2"/>
      <c r="P100" s="2"/>
      <c r="Q100" s="2"/>
      <c r="R100" s="2">
        <v>31533.358419412867</v>
      </c>
      <c r="S100" s="2">
        <v>94311.90286798829</v>
      </c>
      <c r="T100" s="2">
        <v>87822.581296198114</v>
      </c>
      <c r="U100" s="2">
        <v>470216.20028393972</v>
      </c>
      <c r="V100" s="2">
        <v>482106.03571407002</v>
      </c>
      <c r="W100" s="2">
        <v>310887.3786250226</v>
      </c>
      <c r="X100" s="2">
        <v>479268.49315068347</v>
      </c>
      <c r="Y100" s="2">
        <v>479013.69863013766</v>
      </c>
      <c r="Z100" s="2">
        <v>329767.12328767165</v>
      </c>
      <c r="AA100" s="2">
        <v>334458.97031162347</v>
      </c>
    </row>
    <row r="101" spans="1:27" x14ac:dyDescent="0.4">
      <c r="A101" s="1">
        <v>46000</v>
      </c>
      <c r="B101">
        <v>2997.9603000000002</v>
      </c>
      <c r="C101">
        <v>4598.2232000000004</v>
      </c>
      <c r="D101">
        <v>7121.3256000000001</v>
      </c>
      <c r="E101">
        <v>7380.5834999999997</v>
      </c>
      <c r="G101">
        <v>0</v>
      </c>
      <c r="H101">
        <v>0</v>
      </c>
      <c r="I101">
        <f>SUM(Y101+X101+S101+R101)</f>
        <v>926096.57788379397</v>
      </c>
      <c r="J101">
        <f>SUM(M101:Q101)+SUM(T101:W101)+SUM(Z101:AA101)</f>
        <v>1893726.5759638562</v>
      </c>
      <c r="L101" s="2">
        <f>SUM(M101:AW101)</f>
        <v>2819823.1538476506</v>
      </c>
      <c r="M101" s="2"/>
      <c r="N101" s="2"/>
      <c r="O101" s="2"/>
      <c r="P101" s="2"/>
      <c r="Q101" s="2"/>
      <c r="R101" s="2">
        <v>-49735.282559346721</v>
      </c>
      <c r="S101" s="2">
        <v>17549.668662319491</v>
      </c>
      <c r="T101" s="2">
        <v>33250.39693532118</v>
      </c>
      <c r="U101" s="2">
        <v>444876.51817566995</v>
      </c>
      <c r="V101" s="2">
        <v>445337.58462426765</v>
      </c>
      <c r="W101" s="2">
        <v>306035.98262930248</v>
      </c>
      <c r="X101" s="2">
        <v>479268.49315068347</v>
      </c>
      <c r="Y101" s="2">
        <v>479013.69863013766</v>
      </c>
      <c r="Z101" s="2">
        <v>329767.12328767165</v>
      </c>
      <c r="AA101" s="2">
        <v>334458.97031162347</v>
      </c>
    </row>
    <row r="102" spans="1:27" x14ac:dyDescent="0.4">
      <c r="A102" s="1">
        <v>46001</v>
      </c>
      <c r="B102">
        <v>2988.6374999999998</v>
      </c>
      <c r="C102">
        <v>4591.8272999999999</v>
      </c>
      <c r="D102">
        <v>7155.9943999999996</v>
      </c>
      <c r="E102">
        <v>7408.2440999999999</v>
      </c>
      <c r="G102">
        <v>0</v>
      </c>
      <c r="H102">
        <v>0</v>
      </c>
      <c r="I102">
        <f>SUM(Y102+X102+S102+R102)</f>
        <v>1064882.8373535061</v>
      </c>
      <c r="J102">
        <f>SUM(M102:Q102)+SUM(T102:W102)+SUM(Z102:AA102)</f>
        <v>2033578.3790484648</v>
      </c>
      <c r="L102" s="2">
        <f>SUM(M102:AW102)</f>
        <v>3098461.2164019714</v>
      </c>
      <c r="M102" s="2"/>
      <c r="N102" s="2"/>
      <c r="O102" s="2"/>
      <c r="P102" s="2"/>
      <c r="Q102" s="2"/>
      <c r="R102" s="2">
        <v>20822.721502729153</v>
      </c>
      <c r="S102" s="2">
        <v>85777.924069955814</v>
      </c>
      <c r="T102" s="2">
        <v>86988.483134792041</v>
      </c>
      <c r="U102" s="2">
        <v>475469.8429383834</v>
      </c>
      <c r="V102" s="2">
        <v>491533.16461245128</v>
      </c>
      <c r="W102" s="2">
        <v>315360.79476354283</v>
      </c>
      <c r="X102" s="2">
        <v>479268.49315068347</v>
      </c>
      <c r="Y102" s="2">
        <v>479013.69863013766</v>
      </c>
      <c r="Z102" s="2">
        <v>329767.12328767165</v>
      </c>
      <c r="AA102" s="2">
        <v>334458.97031162347</v>
      </c>
    </row>
    <row r="103" spans="1:27" x14ac:dyDescent="0.4">
      <c r="A103" s="1">
        <v>46002</v>
      </c>
      <c r="B103">
        <v>2977.0319</v>
      </c>
      <c r="C103">
        <v>4552.1848</v>
      </c>
      <c r="D103">
        <v>7082.8932000000004</v>
      </c>
      <c r="E103">
        <v>7311.9952000000003</v>
      </c>
      <c r="G103">
        <v>0</v>
      </c>
      <c r="H103">
        <v>0</v>
      </c>
      <c r="I103">
        <f>SUM(Y103+X103+S103+R103)</f>
        <v>822603.33546873194</v>
      </c>
      <c r="J103">
        <f>SUM(M103:Q103)+SUM(T103:W103)+SUM(Z103:AA103)</f>
        <v>1685606.3670132267</v>
      </c>
      <c r="L103" s="2">
        <f>SUM(M103:AW103)</f>
        <v>2508209.7024819585</v>
      </c>
      <c r="M103" s="2"/>
      <c r="N103" s="2"/>
      <c r="O103" s="2"/>
      <c r="P103" s="2"/>
      <c r="Q103" s="2"/>
      <c r="R103" s="2">
        <v>-103255.5415982415</v>
      </c>
      <c r="S103" s="2">
        <v>-32423.314713847732</v>
      </c>
      <c r="T103" s="2">
        <v>-57128.554675682426</v>
      </c>
      <c r="U103" s="2">
        <v>401878.70191188762</v>
      </c>
      <c r="V103" s="2">
        <v>379744.82221637707</v>
      </c>
      <c r="W103" s="2">
        <v>296885.30396134936</v>
      </c>
      <c r="X103" s="2">
        <v>479268.49315068347</v>
      </c>
      <c r="Y103" s="2">
        <v>479013.69863013766</v>
      </c>
      <c r="Z103" s="2">
        <v>329767.12328767165</v>
      </c>
      <c r="AA103" s="2">
        <v>334458.97031162347</v>
      </c>
    </row>
    <row r="104" spans="1:27" x14ac:dyDescent="0.4">
      <c r="A104" s="1">
        <v>46003</v>
      </c>
      <c r="B104">
        <v>2994.6446000000001</v>
      </c>
      <c r="C104">
        <v>4580.95</v>
      </c>
      <c r="D104">
        <v>7169.7910000000002</v>
      </c>
      <c r="E104">
        <v>7370.9416000000001</v>
      </c>
      <c r="G104">
        <v>0</v>
      </c>
      <c r="H104">
        <v>0</v>
      </c>
      <c r="I104">
        <f>SUM(Y104+X104+S104+R104)</f>
        <v>1148790.9694508298</v>
      </c>
      <c r="J104">
        <f>SUM(M104:Q104)+SUM(T104:W104)+SUM(Z104:AA104)</f>
        <v>1967329.5312900553</v>
      </c>
      <c r="L104" s="2">
        <f>SUM(M104:AW104)</f>
        <v>3116120.5007408853</v>
      </c>
      <c r="M104" s="2"/>
      <c r="N104" s="2"/>
      <c r="O104" s="2"/>
      <c r="P104" s="2"/>
      <c r="Q104" s="2"/>
      <c r="R104" s="2">
        <v>62877.534211632745</v>
      </c>
      <c r="S104" s="2">
        <v>127631.24345837586</v>
      </c>
      <c r="T104" s="2">
        <v>50515.538201896772</v>
      </c>
      <c r="U104" s="2">
        <v>462891.12896500836</v>
      </c>
      <c r="V104" s="2">
        <v>473620.44292652374</v>
      </c>
      <c r="W104" s="2">
        <v>316076.32759733137</v>
      </c>
      <c r="X104" s="2">
        <v>479268.49315068347</v>
      </c>
      <c r="Y104" s="2">
        <v>479013.69863013766</v>
      </c>
      <c r="Z104" s="2">
        <v>329767.12328767165</v>
      </c>
      <c r="AA104" s="2">
        <v>334458.97031162347</v>
      </c>
    </row>
    <row r="105" spans="1:27" x14ac:dyDescent="0.4">
      <c r="A105" s="1">
        <v>46006</v>
      </c>
      <c r="B105">
        <v>2987.0684000000001</v>
      </c>
      <c r="C105">
        <v>4552.0595999999996</v>
      </c>
      <c r="D105">
        <v>7113.9620000000004</v>
      </c>
      <c r="E105">
        <v>7309.0775000000003</v>
      </c>
      <c r="G105">
        <v>0</v>
      </c>
      <c r="H105">
        <v>0</v>
      </c>
      <c r="I105">
        <f>SUM(Y105+X105+S105+R105)</f>
        <v>971854.31487694976</v>
      </c>
      <c r="J105">
        <f>SUM(M105:Q105)+SUM(T105:W105)+SUM(Z105:AA105)</f>
        <v>1748198.8034679224</v>
      </c>
      <c r="L105" s="2">
        <f>SUM(M105:AW105)</f>
        <v>2720053.1183448718</v>
      </c>
      <c r="M105" s="2"/>
      <c r="N105" s="2"/>
      <c r="O105" s="2"/>
      <c r="P105" s="2"/>
      <c r="Q105" s="2"/>
      <c r="R105" s="2">
        <v>-27962.575069534341</v>
      </c>
      <c r="S105" s="2">
        <v>41534.698165662907</v>
      </c>
      <c r="T105" s="2">
        <v>-40557.86988461866</v>
      </c>
      <c r="U105" s="2">
        <v>417492.39269919554</v>
      </c>
      <c r="V105" s="2">
        <v>401512.60971013142</v>
      </c>
      <c r="W105" s="2">
        <v>305525.57734391879</v>
      </c>
      <c r="X105" s="2">
        <v>479268.49315068347</v>
      </c>
      <c r="Y105" s="2">
        <v>479013.69863013766</v>
      </c>
      <c r="Z105" s="2">
        <v>329767.12328767165</v>
      </c>
      <c r="AA105" s="2">
        <v>334458.97031162347</v>
      </c>
    </row>
    <row r="106" spans="1:27" x14ac:dyDescent="0.4">
      <c r="A106" s="1">
        <v>46007</v>
      </c>
      <c r="B106">
        <v>2954.7872000000002</v>
      </c>
      <c r="C106">
        <v>4497.5545000000002</v>
      </c>
      <c r="D106">
        <v>7001.3188</v>
      </c>
      <c r="E106">
        <v>7181.62</v>
      </c>
      <c r="G106">
        <v>0</v>
      </c>
      <c r="H106">
        <v>0</v>
      </c>
      <c r="I106">
        <f>SUM(Y106+X106+S106+R106)</f>
        <v>561247.26626791561</v>
      </c>
      <c r="J106">
        <f>SUM(M106:Q106)+SUM(T106:W106)+SUM(Z106:AA106)</f>
        <v>1159344.2646457411</v>
      </c>
      <c r="L106" s="2">
        <f>SUM(M106:AW106)</f>
        <v>1720591.5309136568</v>
      </c>
      <c r="M106" s="2"/>
      <c r="N106" s="2"/>
      <c r="O106" s="2"/>
      <c r="P106" s="2"/>
      <c r="Q106" s="2"/>
      <c r="R106" s="2">
        <v>-236986.53721805417</v>
      </c>
      <c r="S106" s="2">
        <v>-160048.38829485141</v>
      </c>
      <c r="T106" s="2">
        <v>-259135.36609378181</v>
      </c>
      <c r="U106" s="2">
        <v>291543.08328979026</v>
      </c>
      <c r="V106" s="2">
        <v>202751.64535969414</v>
      </c>
      <c r="W106" s="2">
        <v>259958.80849074339</v>
      </c>
      <c r="X106" s="2">
        <v>479268.49315068347</v>
      </c>
      <c r="Y106" s="2">
        <v>479013.69863013766</v>
      </c>
      <c r="Z106" s="2">
        <v>329767.12328767165</v>
      </c>
      <c r="AA106" s="2">
        <v>334458.97031162347</v>
      </c>
    </row>
    <row r="107" spans="1:27" x14ac:dyDescent="0.4">
      <c r="A107" s="1">
        <v>46008</v>
      </c>
      <c r="B107">
        <v>2991.6777000000002</v>
      </c>
      <c r="C107">
        <v>4579.875</v>
      </c>
      <c r="D107">
        <v>7137.8338999999996</v>
      </c>
      <c r="E107">
        <v>7288.7384000000002</v>
      </c>
      <c r="G107">
        <v>0</v>
      </c>
      <c r="H107">
        <v>0</v>
      </c>
      <c r="I107">
        <f>SUM(Y107+X107+S107+R107)</f>
        <v>1094253.8908901443</v>
      </c>
      <c r="J107">
        <f>SUM(M107:Q107)+SUM(T107:W107)+SUM(Z107:AA107)</f>
        <v>1732986.9459635783</v>
      </c>
      <c r="L107" s="2">
        <f>SUM(M107:AW107)</f>
        <v>2827240.8368537226</v>
      </c>
      <c r="M107" s="2"/>
      <c r="N107" s="2"/>
      <c r="O107" s="2"/>
      <c r="P107" s="2"/>
      <c r="Q107" s="2"/>
      <c r="R107" s="2">
        <v>33612.110558983099</v>
      </c>
      <c r="S107" s="2">
        <v>102359.58855034001</v>
      </c>
      <c r="T107" s="2">
        <v>-53805.363936183094</v>
      </c>
      <c r="U107" s="2">
        <v>416955.67808492592</v>
      </c>
      <c r="V107" s="2">
        <v>395713.42326929886</v>
      </c>
      <c r="W107" s="2">
        <v>309897.11494624137</v>
      </c>
      <c r="X107" s="2">
        <v>479268.49315068347</v>
      </c>
      <c r="Y107" s="2">
        <v>479013.69863013766</v>
      </c>
      <c r="Z107" s="2">
        <v>329767.12328767165</v>
      </c>
      <c r="AA107" s="2">
        <v>334458.97031162347</v>
      </c>
    </row>
    <row r="108" spans="1:27" x14ac:dyDescent="0.4">
      <c r="A108" s="1">
        <v>46009</v>
      </c>
      <c r="B108">
        <v>2998.5169999999998</v>
      </c>
      <c r="C108">
        <v>4552.7925999999998</v>
      </c>
      <c r="D108">
        <v>7100.8359</v>
      </c>
      <c r="E108">
        <v>7272.4023999999999</v>
      </c>
      <c r="G108">
        <v>0</v>
      </c>
      <c r="H108">
        <v>0</v>
      </c>
      <c r="I108">
        <f>SUM(Y108+X108+S108+R108)</f>
        <v>979284.39620427694</v>
      </c>
      <c r="J108">
        <f>SUM(M108:Q108)+SUM(T108:W108)+SUM(Z108:AA108)</f>
        <v>1693887.0225503268</v>
      </c>
      <c r="L108" s="2">
        <f>SUM(M108:AW108)</f>
        <v>2673171.4187546037</v>
      </c>
      <c r="M108" s="2"/>
      <c r="N108" s="2"/>
      <c r="O108" s="2"/>
      <c r="P108" s="2"/>
      <c r="Q108" s="2"/>
      <c r="R108" s="2">
        <v>-25481.541400472346</v>
      </c>
      <c r="S108" s="2">
        <v>46483.745823928119</v>
      </c>
      <c r="T108" s="2">
        <v>-71581.600572105104</v>
      </c>
      <c r="U108" s="2">
        <v>410609.36132370483</v>
      </c>
      <c r="V108" s="2">
        <v>380272.57039412373</v>
      </c>
      <c r="W108" s="2">
        <v>310360.59780530829</v>
      </c>
      <c r="X108" s="2">
        <v>479268.49315068347</v>
      </c>
      <c r="Y108" s="2">
        <v>479013.69863013766</v>
      </c>
      <c r="Z108" s="2">
        <v>329767.12328767165</v>
      </c>
      <c r="AA108" s="2">
        <v>334458.97031162347</v>
      </c>
    </row>
    <row r="109" spans="1:27" x14ac:dyDescent="0.4">
      <c r="A109" s="1">
        <v>46010</v>
      </c>
      <c r="B109">
        <v>3004.3400999999999</v>
      </c>
      <c r="C109">
        <v>4568.1781000000001</v>
      </c>
      <c r="D109">
        <v>7169.5510999999997</v>
      </c>
      <c r="E109">
        <v>7329.8056999999999</v>
      </c>
      <c r="G109">
        <v>0</v>
      </c>
      <c r="H109">
        <v>0</v>
      </c>
      <c r="I109">
        <f>SUM(Y109+X109+S109+R109)</f>
        <v>1243177.7494949142</v>
      </c>
      <c r="J109">
        <f>SUM(M109:Q109)+SUM(T109:W109)+SUM(Z109:AA109)</f>
        <v>1995367.3477268927</v>
      </c>
      <c r="L109" s="2">
        <f>SUM(M109:AW109)</f>
        <v>3238545.0972218071</v>
      </c>
      <c r="M109" s="2"/>
      <c r="N109" s="2"/>
      <c r="O109" s="2"/>
      <c r="P109" s="2"/>
      <c r="Q109" s="2"/>
      <c r="R109" s="2">
        <v>108780.42493801497</v>
      </c>
      <c r="S109" s="2">
        <v>176115.13277607798</v>
      </c>
      <c r="T109" s="2">
        <v>38722.014487967739</v>
      </c>
      <c r="U109" s="2">
        <v>473718.29093475745</v>
      </c>
      <c r="V109" s="2">
        <v>485933.87847087067</v>
      </c>
      <c r="W109" s="2">
        <v>332767.07023400191</v>
      </c>
      <c r="X109" s="2">
        <v>479268.49315068347</v>
      </c>
      <c r="Y109" s="2">
        <v>479013.69863013766</v>
      </c>
      <c r="Z109" s="2">
        <v>329767.12328767165</v>
      </c>
      <c r="AA109" s="2">
        <v>334458.97031162347</v>
      </c>
    </row>
    <row r="110" spans="1:27" x14ac:dyDescent="0.4">
      <c r="A110" s="1">
        <v>46013</v>
      </c>
      <c r="B110">
        <v>3020.2285000000002</v>
      </c>
      <c r="C110">
        <v>4611.6234999999997</v>
      </c>
      <c r="D110">
        <v>7255.6607000000004</v>
      </c>
      <c r="E110">
        <v>7408.3487999999998</v>
      </c>
      <c r="G110">
        <v>0</v>
      </c>
      <c r="H110">
        <v>0</v>
      </c>
      <c r="I110">
        <f>SUM(Y110+X110+S110+R110)</f>
        <v>1543734.967576554</v>
      </c>
      <c r="J110">
        <f>SUM(M110:Q110)+SUM(T110:W110)+SUM(Z110:AA110)</f>
        <v>2358360.4742696858</v>
      </c>
      <c r="L110" s="2">
        <f>SUM(M110:AW110)</f>
        <v>3902095.4418462403</v>
      </c>
      <c r="M110" s="2"/>
      <c r="N110" s="2"/>
      <c r="O110" s="2"/>
      <c r="P110" s="2"/>
      <c r="Q110" s="2"/>
      <c r="R110" s="2">
        <v>262657.85619001702</v>
      </c>
      <c r="S110" s="2">
        <v>322794.91960571602</v>
      </c>
      <c r="T110" s="2">
        <v>177265.18193412366</v>
      </c>
      <c r="U110" s="2">
        <v>544473.88165830413</v>
      </c>
      <c r="V110" s="2">
        <v>628395.31707796233</v>
      </c>
      <c r="W110" s="2">
        <v>344000.00000000041</v>
      </c>
      <c r="X110" s="2">
        <v>479268.49315068347</v>
      </c>
      <c r="Y110" s="2">
        <v>479013.69863013766</v>
      </c>
      <c r="Z110" s="2">
        <v>329767.12328767165</v>
      </c>
      <c r="AA110" s="2">
        <v>334458.97031162347</v>
      </c>
    </row>
    <row r="111" spans="1:27" x14ac:dyDescent="0.4">
      <c r="A111" s="1">
        <v>46014</v>
      </c>
      <c r="B111">
        <v>3027.5194999999999</v>
      </c>
      <c r="C111">
        <v>4620.7340999999997</v>
      </c>
      <c r="D111">
        <v>7256.7864</v>
      </c>
      <c r="E111">
        <v>7392.4204</v>
      </c>
      <c r="G111">
        <v>0</v>
      </c>
      <c r="H111">
        <v>0</v>
      </c>
      <c r="I111">
        <f>SUM(Y111+X111+S111+R111)</f>
        <v>1567603.5070551019</v>
      </c>
      <c r="J111">
        <f>SUM(M111:Q111)+SUM(T111:W111)+SUM(Z111:AA111)</f>
        <v>2286565.8010148327</v>
      </c>
      <c r="L111" s="2">
        <f>SUM(M111:AW111)</f>
        <v>3854169.3080699351</v>
      </c>
      <c r="M111" s="2"/>
      <c r="N111" s="2"/>
      <c r="O111" s="2"/>
      <c r="P111" s="2"/>
      <c r="Q111" s="2"/>
      <c r="R111" s="2">
        <v>274326.5917554106</v>
      </c>
      <c r="S111" s="2">
        <v>334994.72351887007</v>
      </c>
      <c r="T111" s="2">
        <v>164051.52888978642</v>
      </c>
      <c r="U111" s="2">
        <v>542133.63620767626</v>
      </c>
      <c r="V111" s="2">
        <v>572154.5423180745</v>
      </c>
      <c r="W111" s="2">
        <v>344000.00000000041</v>
      </c>
      <c r="X111" s="2">
        <v>479268.49315068347</v>
      </c>
      <c r="Y111" s="2">
        <v>479013.69863013766</v>
      </c>
      <c r="Z111" s="2">
        <v>329767.12328767165</v>
      </c>
      <c r="AA111" s="2">
        <v>334458.97031162347</v>
      </c>
    </row>
    <row r="112" spans="1:27" x14ac:dyDescent="0.4">
      <c r="A112" s="1">
        <v>46015</v>
      </c>
      <c r="B112">
        <v>3025.1839</v>
      </c>
      <c r="C112">
        <v>4634.0586000000003</v>
      </c>
      <c r="D112">
        <v>7352.0396000000001</v>
      </c>
      <c r="E112">
        <v>7506.3814000000002</v>
      </c>
      <c r="G112">
        <v>0</v>
      </c>
      <c r="H112">
        <v>0</v>
      </c>
      <c r="I112">
        <f>SUM(Y112+X112+S112+R112)</f>
        <v>1860579.9178994726</v>
      </c>
      <c r="J112">
        <f>SUM(M112:Q112)+SUM(T112:W112)+SUM(Z112:AA112)</f>
        <v>2686019.8323306791</v>
      </c>
      <c r="L112" s="2">
        <f>SUM(M112:AW112)</f>
        <v>4546599.7502301512</v>
      </c>
      <c r="M112" s="2"/>
      <c r="N112" s="2"/>
      <c r="O112" s="2"/>
      <c r="P112" s="2"/>
      <c r="Q112" s="2"/>
      <c r="R112" s="2">
        <v>425798.90537029173</v>
      </c>
      <c r="S112" s="2">
        <v>476498.82074835978</v>
      </c>
      <c r="T112" s="2">
        <v>343906.05270861037</v>
      </c>
      <c r="U112" s="2">
        <v>619691.76655435399</v>
      </c>
      <c r="V112" s="2">
        <v>714195.91946841893</v>
      </c>
      <c r="W112" s="2">
        <v>344000.00000000041</v>
      </c>
      <c r="X112" s="2">
        <v>479268.49315068347</v>
      </c>
      <c r="Y112" s="2">
        <v>479013.69863013766</v>
      </c>
      <c r="Z112" s="2">
        <v>329767.12328767165</v>
      </c>
      <c r="AA112" s="2">
        <v>334458.97031162347</v>
      </c>
    </row>
    <row r="113" spans="1:27" x14ac:dyDescent="0.4">
      <c r="A113" s="1">
        <v>46016</v>
      </c>
      <c r="B113">
        <v>3032.8413999999998</v>
      </c>
      <c r="C113">
        <v>4642.5357000000004</v>
      </c>
      <c r="D113">
        <v>7410.7119000000002</v>
      </c>
      <c r="E113">
        <v>7579.3791000000001</v>
      </c>
      <c r="G113">
        <v>0</v>
      </c>
      <c r="H113">
        <v>0</v>
      </c>
      <c r="I113">
        <f>SUM(Y113+X113+S113+R113)</f>
        <v>2027709.1068556365</v>
      </c>
      <c r="J113">
        <f>SUM(M113:Q113)+SUM(T113:W113)+SUM(Z113:AA113)</f>
        <v>2908266.4590771352</v>
      </c>
      <c r="L113" s="2">
        <f>SUM(M113:AW113)</f>
        <v>4935975.5659327712</v>
      </c>
      <c r="M113" s="2"/>
      <c r="N113" s="2"/>
      <c r="O113" s="2"/>
      <c r="P113" s="2"/>
      <c r="Q113" s="2">
        <v>-36.003980459414059</v>
      </c>
      <c r="R113" s="2">
        <v>512845.289019736</v>
      </c>
      <c r="S113" s="2">
        <v>556581.62605507916</v>
      </c>
      <c r="T113" s="2">
        <v>449997.39125508565</v>
      </c>
      <c r="U113" s="2">
        <v>658349.70601845381</v>
      </c>
      <c r="V113" s="2">
        <v>791729.27218475984</v>
      </c>
      <c r="W113" s="2">
        <v>344000.00000000041</v>
      </c>
      <c r="X113" s="2">
        <v>479268.49315068347</v>
      </c>
      <c r="Y113" s="2">
        <v>479013.69863013766</v>
      </c>
      <c r="Z113" s="2">
        <v>329767.12328767165</v>
      </c>
      <c r="AA113" s="2">
        <v>334458.97031162347</v>
      </c>
    </row>
    <row r="114" spans="1:27" x14ac:dyDescent="0.4">
      <c r="A114" s="1">
        <v>46017</v>
      </c>
      <c r="B114">
        <v>3045.4036000000001</v>
      </c>
      <c r="C114">
        <v>4657.24</v>
      </c>
      <c r="D114">
        <v>7458.8386</v>
      </c>
      <c r="E114">
        <v>7605.5299000000005</v>
      </c>
      <c r="G114">
        <v>0</v>
      </c>
      <c r="H114">
        <v>0</v>
      </c>
      <c r="I114">
        <f>SUM(Y114+X114+S114+R114)</f>
        <v>2155726.9663421973</v>
      </c>
      <c r="J114">
        <f>SUM(M114:Q114)+SUM(T114:W114)+SUM(Z114:AA114)</f>
        <v>3034831.4573756051</v>
      </c>
      <c r="L114" s="2">
        <f>SUM(M114:AW114)</f>
        <v>5190558.4237178015</v>
      </c>
      <c r="M114" s="2"/>
      <c r="N114" s="2"/>
      <c r="O114" s="2"/>
      <c r="P114" s="2"/>
      <c r="Q114" s="2">
        <v>36898.790063064036</v>
      </c>
      <c r="R114" s="2">
        <v>579951.47283859004</v>
      </c>
      <c r="S114" s="2">
        <v>617493.30172278616</v>
      </c>
      <c r="T114" s="2">
        <v>493034.93828145589</v>
      </c>
      <c r="U114" s="2">
        <v>673762.13396409305</v>
      </c>
      <c r="V114" s="2">
        <v>822909.50146769651</v>
      </c>
      <c r="W114" s="2">
        <v>344000.00000000041</v>
      </c>
      <c r="X114" s="2">
        <v>479268.49315068347</v>
      </c>
      <c r="Y114" s="2">
        <v>479013.69863013766</v>
      </c>
      <c r="Z114" s="2">
        <v>329767.12328767165</v>
      </c>
      <c r="AA114" s="2">
        <v>334458.97031162347</v>
      </c>
    </row>
    <row r="115" spans="1:27" x14ac:dyDescent="0.4">
      <c r="A115" s="1">
        <v>46020</v>
      </c>
      <c r="B115">
        <v>3034.6347000000001</v>
      </c>
      <c r="C115">
        <v>4639.3720999999996</v>
      </c>
      <c r="D115">
        <v>7430.6147000000001</v>
      </c>
      <c r="E115">
        <v>7594.1575000000003</v>
      </c>
      <c r="G115">
        <v>0</v>
      </c>
      <c r="H115">
        <v>0</v>
      </c>
      <c r="I115">
        <f>SUM(Y115+X115+S115+R115)</f>
        <v>2114884.9235213301</v>
      </c>
      <c r="J115">
        <f>SUM(M115:Q115)+SUM(T115:W115)+SUM(Z115:AA115)</f>
        <v>3035622.0218479387</v>
      </c>
      <c r="L115" s="2">
        <f>SUM(M115:AW115)</f>
        <v>5150506.9453692678</v>
      </c>
      <c r="M115" s="2"/>
      <c r="N115" s="2"/>
      <c r="O115" s="2"/>
      <c r="P115" s="2"/>
      <c r="Q115" s="2">
        <v>33662.966179017232</v>
      </c>
      <c r="R115" s="2">
        <v>557236.89765193965</v>
      </c>
      <c r="S115" s="2">
        <v>599365.83408856927</v>
      </c>
      <c r="T115" s="2">
        <v>492054.56434413162</v>
      </c>
      <c r="U115" s="2">
        <v>676510.67270312237</v>
      </c>
      <c r="V115" s="2">
        <v>825167.72502237163</v>
      </c>
      <c r="W115" s="2">
        <v>344000.00000000041</v>
      </c>
      <c r="X115" s="2">
        <v>479268.49315068347</v>
      </c>
      <c r="Y115" s="2">
        <v>479013.69863013766</v>
      </c>
      <c r="Z115" s="2">
        <v>329767.12328767165</v>
      </c>
      <c r="AA115" s="2">
        <v>334458.97031162347</v>
      </c>
    </row>
    <row r="116" spans="1:27" x14ac:dyDescent="0.4">
      <c r="A116" s="1">
        <v>46021</v>
      </c>
      <c r="B116">
        <v>3036.5522999999998</v>
      </c>
      <c r="C116">
        <v>4651.2817999999997</v>
      </c>
      <c r="D116">
        <v>7458.9359999999997</v>
      </c>
      <c r="E116">
        <v>7597.299</v>
      </c>
      <c r="G116">
        <v>0</v>
      </c>
      <c r="H116">
        <v>0</v>
      </c>
      <c r="I116">
        <f>SUM(Y116+X116+S116+R116)</f>
        <v>2196914.6662244713</v>
      </c>
      <c r="J116">
        <f>SUM(M116:Q116)+SUM(T116:W116)+SUM(Z116:AA116)</f>
        <v>3084576.9356663311</v>
      </c>
      <c r="L116" s="2">
        <f>SUM(M116:AW116)</f>
        <v>5281491.6018908015</v>
      </c>
      <c r="M116" s="2"/>
      <c r="N116" s="2"/>
      <c r="O116" s="2"/>
      <c r="P116" s="2">
        <v>-29.526894045256054</v>
      </c>
      <c r="Q116" s="2">
        <v>45937.718906868904</v>
      </c>
      <c r="R116" s="2">
        <v>600064.67600895429</v>
      </c>
      <c r="S116" s="2">
        <v>638567.79843469604</v>
      </c>
      <c r="T116" s="2">
        <v>508142.37163741025</v>
      </c>
      <c r="U116" s="2">
        <v>683796.39158036979</v>
      </c>
      <c r="V116" s="2">
        <v>838503.88683643192</v>
      </c>
      <c r="W116" s="2">
        <v>344000.00000000041</v>
      </c>
      <c r="X116" s="2">
        <v>479268.49315068347</v>
      </c>
      <c r="Y116" s="2">
        <v>479013.69863013766</v>
      </c>
      <c r="Z116" s="2">
        <v>329767.12328767165</v>
      </c>
      <c r="AA116" s="2">
        <v>334458.97031162347</v>
      </c>
    </row>
    <row r="117" spans="1:27" x14ac:dyDescent="0.4">
      <c r="A117" s="1">
        <v>46022</v>
      </c>
      <c r="B117">
        <v>3031.1257999999998</v>
      </c>
      <c r="C117">
        <v>4629.9395000000004</v>
      </c>
      <c r="D117">
        <v>7465.5742</v>
      </c>
      <c r="E117">
        <v>7595.2844999999998</v>
      </c>
      <c r="G117">
        <v>0</v>
      </c>
      <c r="H117">
        <v>0</v>
      </c>
      <c r="I117">
        <f>SUM(Y117+X117+S117+R117)</f>
        <v>2231405.8832955281</v>
      </c>
      <c r="J117">
        <f>SUM(M117:Q117)+SUM(T117:W117)+SUM(Z117:AA117)</f>
        <v>3128669.1345850392</v>
      </c>
      <c r="L117" s="2">
        <f>SUM(M117:AW117)</f>
        <v>5360075.0178805664</v>
      </c>
      <c r="M117" s="2"/>
      <c r="N117" s="2"/>
      <c r="O117" s="2"/>
      <c r="P117" s="2">
        <v>11649.542202540857</v>
      </c>
      <c r="Q117" s="2">
        <v>52769.98160500353</v>
      </c>
      <c r="R117" s="2">
        <v>617557.9960200506</v>
      </c>
      <c r="S117" s="2">
        <v>655565.69549465633</v>
      </c>
      <c r="T117" s="2">
        <v>518413.36438275897</v>
      </c>
      <c r="U117" s="2">
        <v>689473.95890797721</v>
      </c>
      <c r="V117" s="2">
        <v>848136.19388746296</v>
      </c>
      <c r="W117" s="2">
        <v>344000.00000000041</v>
      </c>
      <c r="X117" s="2">
        <v>479268.49315068347</v>
      </c>
      <c r="Y117" s="2">
        <v>479013.69863013766</v>
      </c>
      <c r="Z117" s="2">
        <v>329767.12328767165</v>
      </c>
      <c r="AA117" s="2">
        <v>334458.97031162347</v>
      </c>
    </row>
    <row r="118" spans="1:27" x14ac:dyDescent="0.4">
      <c r="A118" s="1">
        <v>46027</v>
      </c>
      <c r="B118">
        <v>3099.7462</v>
      </c>
      <c r="C118">
        <v>4717.7457000000004</v>
      </c>
      <c r="D118">
        <v>7651.1980999999996</v>
      </c>
      <c r="E118">
        <v>7753.88</v>
      </c>
      <c r="G118">
        <v>0</v>
      </c>
      <c r="H118">
        <v>0</v>
      </c>
      <c r="I118">
        <f>SUM(Y118+X118+S118+R118)</f>
        <v>2546332.7052188637</v>
      </c>
      <c r="J118">
        <f>SUM(M118:Q118)+SUM(T118:W118)+SUM(Z118:AA118)</f>
        <v>3939396.4526152182</v>
      </c>
      <c r="L118" s="2">
        <f>SUM(M118:AW118)</f>
        <v>6485729.1578340791</v>
      </c>
      <c r="M118" s="2"/>
      <c r="N118" s="2"/>
      <c r="O118" s="2"/>
      <c r="P118" s="2">
        <v>367171.31571474008</v>
      </c>
      <c r="Q118" s="2">
        <v>211309.36456613839</v>
      </c>
      <c r="R118" s="2">
        <v>790385.83038445725</v>
      </c>
      <c r="S118" s="2">
        <v>797664.68305358535</v>
      </c>
      <c r="T118" s="2">
        <v>686574.01216898486</v>
      </c>
      <c r="U118" s="2">
        <v>723449.71530364163</v>
      </c>
      <c r="V118" s="2">
        <v>942665.95126241702</v>
      </c>
      <c r="W118" s="2">
        <v>344000.00000000041</v>
      </c>
      <c r="X118" s="2">
        <v>479268.49315068347</v>
      </c>
      <c r="Y118" s="2">
        <v>479013.69863013766</v>
      </c>
      <c r="Z118" s="2">
        <v>329767.12328767165</v>
      </c>
      <c r="AA118" s="2">
        <v>334458.97031162347</v>
      </c>
    </row>
    <row r="119" spans="1:27" x14ac:dyDescent="0.4">
      <c r="A119" s="1">
        <v>46028</v>
      </c>
      <c r="B119">
        <v>3158.7631999999999</v>
      </c>
      <c r="C119">
        <v>4790.6938</v>
      </c>
      <c r="D119">
        <v>7814.1355999999996</v>
      </c>
      <c r="E119">
        <v>7864.9034000000001</v>
      </c>
      <c r="G119">
        <v>0</v>
      </c>
      <c r="H119">
        <v>0</v>
      </c>
      <c r="I119">
        <f>SUM(Y119+X119+S119+R119)</f>
        <v>2704922.7668110225</v>
      </c>
      <c r="J119">
        <f>SUM(M119:Q119)+SUM(T119:W119)+SUM(Z119:AA119)</f>
        <v>4380504.2018227717</v>
      </c>
      <c r="L119" s="2">
        <f>SUM(M119:AW119)</f>
        <v>7085426.9686337924</v>
      </c>
      <c r="M119" s="2"/>
      <c r="N119" s="2"/>
      <c r="O119" s="2"/>
      <c r="P119" s="2">
        <v>583649.77990605147</v>
      </c>
      <c r="Q119" s="2">
        <v>301319.33722272364</v>
      </c>
      <c r="R119" s="2">
        <v>883033.20647649141</v>
      </c>
      <c r="S119" s="2">
        <v>863607.36855371017</v>
      </c>
      <c r="T119" s="2">
        <v>773795.22876477416</v>
      </c>
      <c r="U119" s="2">
        <v>734102.49434740609</v>
      </c>
      <c r="V119" s="2">
        <v>979411.26798252086</v>
      </c>
      <c r="W119" s="2">
        <v>344000.00000000041</v>
      </c>
      <c r="X119" s="2">
        <v>479268.49315068347</v>
      </c>
      <c r="Y119" s="2">
        <v>479013.69863013766</v>
      </c>
      <c r="Z119" s="2">
        <v>329767.12328767165</v>
      </c>
      <c r="AA119" s="2">
        <v>334458.97031162347</v>
      </c>
    </row>
    <row r="120" spans="1:27" x14ac:dyDescent="0.4">
      <c r="A120" s="1">
        <v>46029</v>
      </c>
      <c r="B120">
        <v>3145.1197000000002</v>
      </c>
      <c r="C120">
        <v>4776.6657999999998</v>
      </c>
      <c r="D120">
        <v>7875.0821999999998</v>
      </c>
      <c r="E120">
        <v>7906.4197000000004</v>
      </c>
      <c r="G120">
        <v>0</v>
      </c>
      <c r="H120">
        <v>0</v>
      </c>
      <c r="I120">
        <f>SUM(Y120+X120+S120+R120)</f>
        <v>2748495.4322090792</v>
      </c>
      <c r="J120">
        <f>SUM(M120:Q120)+SUM(T120:W120)+SUM(Z120:AA120)</f>
        <v>4543049.3114291858</v>
      </c>
      <c r="L120" s="2">
        <f>SUM(M120:AW120)</f>
        <v>7291544.7436382631</v>
      </c>
      <c r="M120" s="2"/>
      <c r="N120" s="2"/>
      <c r="O120" s="2"/>
      <c r="P120" s="2">
        <v>666178.83991675708</v>
      </c>
      <c r="Q120" s="2">
        <v>334940.8184785801</v>
      </c>
      <c r="R120" s="2">
        <v>909535.45555380813</v>
      </c>
      <c r="S120" s="2">
        <v>880677.7848744496</v>
      </c>
      <c r="T120" s="2">
        <v>805441.17420893814</v>
      </c>
      <c r="U120" s="2">
        <v>737415.35623041773</v>
      </c>
      <c r="V120" s="2">
        <v>990847.02899519738</v>
      </c>
      <c r="W120" s="2">
        <v>344000.00000000041</v>
      </c>
      <c r="X120" s="2">
        <v>479268.49315068347</v>
      </c>
      <c r="Y120" s="2">
        <v>479013.69863013766</v>
      </c>
      <c r="Z120" s="2">
        <v>329767.12328767165</v>
      </c>
      <c r="AA120" s="2">
        <v>334458.97031162347</v>
      </c>
    </row>
    <row r="121" spans="1:27" x14ac:dyDescent="0.4">
      <c r="A121" s="1">
        <v>46030</v>
      </c>
      <c r="B121">
        <v>3122.0626999999999</v>
      </c>
      <c r="C121">
        <v>4737.6535999999996</v>
      </c>
      <c r="D121">
        <v>7894.5447000000004</v>
      </c>
      <c r="E121">
        <v>7971.5887000000002</v>
      </c>
      <c r="G121">
        <v>0</v>
      </c>
      <c r="H121">
        <v>0</v>
      </c>
      <c r="I121">
        <f>SUM(Y121+X121+S121+R121)</f>
        <v>2766142.2885965663</v>
      </c>
      <c r="J121">
        <f>SUM(M121:Q121)+SUM(T121:W121)+SUM(Z121:AA121)</f>
        <v>4746320.0476731351</v>
      </c>
      <c r="L121" s="2">
        <f>SUM(M121:AW121)</f>
        <v>7512462.3362697</v>
      </c>
      <c r="M121" s="2"/>
      <c r="N121" s="2"/>
      <c r="O121" s="2"/>
      <c r="P121" s="2">
        <v>778094.65487794299</v>
      </c>
      <c r="Q121" s="2">
        <v>377620.17276597937</v>
      </c>
      <c r="R121" s="2">
        <v>920172.99489580339</v>
      </c>
      <c r="S121" s="2">
        <v>887687.10191994195</v>
      </c>
      <c r="T121" s="2">
        <v>841659.70051801263</v>
      </c>
      <c r="U121" s="2">
        <v>739974.49047521909</v>
      </c>
      <c r="V121" s="2">
        <v>1000744.9354366857</v>
      </c>
      <c r="W121" s="2">
        <v>344000.00000000041</v>
      </c>
      <c r="X121" s="2">
        <v>479268.49315068347</v>
      </c>
      <c r="Y121" s="2">
        <v>479013.69863013766</v>
      </c>
      <c r="Z121" s="2">
        <v>329767.12328767165</v>
      </c>
      <c r="AA121" s="2">
        <v>334458.97031162347</v>
      </c>
    </row>
    <row r="122" spans="1:27" x14ac:dyDescent="0.4">
      <c r="A122" s="1">
        <v>46031</v>
      </c>
      <c r="B122">
        <v>3134.3245000000002</v>
      </c>
      <c r="C122">
        <v>4758.9220999999998</v>
      </c>
      <c r="D122">
        <v>8056.6858000000002</v>
      </c>
      <c r="E122">
        <v>8129.1831000000002</v>
      </c>
      <c r="G122">
        <v>0</v>
      </c>
      <c r="H122">
        <v>0</v>
      </c>
      <c r="I122">
        <f>SUM(Y122+X122+S122+R122)</f>
        <v>2815166.7629707311</v>
      </c>
      <c r="J122">
        <f>SUM(M122:Q122)+SUM(T122:W122)+SUM(Z122:AA122)</f>
        <v>5216928.5267395172</v>
      </c>
      <c r="L122" s="2">
        <f>SUM(M122:AW122)</f>
        <v>8032095.289710247</v>
      </c>
      <c r="M122" s="2"/>
      <c r="N122" s="2"/>
      <c r="O122" s="2">
        <v>137388.54488096651</v>
      </c>
      <c r="P122" s="2">
        <v>986482.93784537714</v>
      </c>
      <c r="Q122" s="2">
        <v>446676.69455958705</v>
      </c>
      <c r="R122" s="2">
        <v>953282.83190394996</v>
      </c>
      <c r="S122" s="2">
        <v>903601.73928595986</v>
      </c>
      <c r="T122" s="2">
        <v>888338.6971510282</v>
      </c>
      <c r="U122" s="2">
        <v>741726.05839648517</v>
      </c>
      <c r="V122" s="2">
        <v>1008089.5003067781</v>
      </c>
      <c r="W122" s="2">
        <v>344000.00000000041</v>
      </c>
      <c r="X122" s="2">
        <v>479268.49315068347</v>
      </c>
      <c r="Y122" s="2">
        <v>479013.69863013766</v>
      </c>
      <c r="Z122" s="2">
        <v>329767.12328767165</v>
      </c>
      <c r="AA122" s="2">
        <v>334458.97031162347</v>
      </c>
    </row>
    <row r="123" spans="1:27" x14ac:dyDescent="0.4">
      <c r="A123" s="1">
        <v>46034</v>
      </c>
      <c r="B123">
        <v>3143.7370999999998</v>
      </c>
      <c r="C123">
        <v>4789.9155000000001</v>
      </c>
      <c r="D123">
        <v>8249.1275000000005</v>
      </c>
      <c r="E123">
        <v>8357.0107000000007</v>
      </c>
      <c r="G123">
        <v>0</v>
      </c>
      <c r="H123">
        <v>0</v>
      </c>
      <c r="I123">
        <f>SUM(Y123+X123+S123+R123)</f>
        <v>2836094.7344624395</v>
      </c>
      <c r="J123">
        <f>SUM(M123:Q123)+SUM(T123:W123)+SUM(Z123:AA123)</f>
        <v>6078586.9037067648</v>
      </c>
      <c r="L123" s="2">
        <f>SUM(M123:AW123)</f>
        <v>8914681.638169203</v>
      </c>
      <c r="M123" s="2"/>
      <c r="N123" s="2"/>
      <c r="O123" s="2">
        <v>713606.35122084839</v>
      </c>
      <c r="P123" s="2">
        <v>1192530.4577015841</v>
      </c>
      <c r="Q123" s="2">
        <v>499513.41914719186</v>
      </c>
      <c r="R123" s="2">
        <v>968810.81093315489</v>
      </c>
      <c r="S123" s="2">
        <v>909001.73174846324</v>
      </c>
      <c r="T123" s="2">
        <v>911903.62662545126</v>
      </c>
      <c r="U123" s="2">
        <v>742733.9642956208</v>
      </c>
      <c r="V123" s="2">
        <v>1010072.9911167729</v>
      </c>
      <c r="W123" s="2">
        <v>344000.00000000041</v>
      </c>
      <c r="X123" s="2">
        <v>479268.49315068347</v>
      </c>
      <c r="Y123" s="2">
        <v>479013.69863013766</v>
      </c>
      <c r="Z123" s="2">
        <v>329767.12328767165</v>
      </c>
      <c r="AA123" s="2">
        <v>334458.97031162347</v>
      </c>
    </row>
    <row r="124" spans="1:27" x14ac:dyDescent="0.4">
      <c r="A124" s="1">
        <v>46035</v>
      </c>
      <c r="B124">
        <v>3132.9328</v>
      </c>
      <c r="C124">
        <v>4761.0324000000001</v>
      </c>
      <c r="D124">
        <v>8143.28</v>
      </c>
      <c r="E124">
        <v>8203.1327000000001</v>
      </c>
      <c r="G124">
        <v>0</v>
      </c>
      <c r="H124">
        <v>0</v>
      </c>
      <c r="I124">
        <f>SUM(Y124+X124+S124+R124)</f>
        <v>2833530.9097987493</v>
      </c>
      <c r="J124">
        <f>SUM(M124:Q124)+SUM(T124:W124)+SUM(Z124:AA124)</f>
        <v>5529124.1406635251</v>
      </c>
      <c r="K124" s="2"/>
      <c r="L124" s="2">
        <f>SUM(M124:AW124)</f>
        <v>8362655.0504622711</v>
      </c>
      <c r="M124" s="2"/>
      <c r="N124">
        <v>-80276.048798922784</v>
      </c>
      <c r="O124" s="2">
        <v>379446.3914573717</v>
      </c>
      <c r="P124" s="2">
        <v>1084320.4329988889</v>
      </c>
      <c r="Q124" s="2">
        <v>476844.54308999295</v>
      </c>
      <c r="R124" s="2">
        <v>966000.65685730835</v>
      </c>
      <c r="S124" s="2">
        <v>909248.06116061984</v>
      </c>
      <c r="T124" s="2">
        <v>905956.25043810613</v>
      </c>
      <c r="U124" s="2">
        <v>743663.12243954104</v>
      </c>
      <c r="V124" s="2">
        <v>1010943.3554392507</v>
      </c>
      <c r="W124" s="2">
        <v>344000.00000000041</v>
      </c>
      <c r="X124" s="2">
        <v>479268.49315068347</v>
      </c>
      <c r="Y124" s="2">
        <v>479013.69863013766</v>
      </c>
      <c r="Z124" s="2">
        <v>329767.12328767165</v>
      </c>
      <c r="AA124" s="2">
        <v>334458.97031162347</v>
      </c>
    </row>
    <row r="125" spans="1:27" x14ac:dyDescent="0.4">
      <c r="A125" s="1">
        <v>46036</v>
      </c>
      <c r="B125">
        <v>3112.0745000000002</v>
      </c>
      <c r="C125">
        <v>4741.9305999999997</v>
      </c>
      <c r="D125">
        <v>8227.6970000000001</v>
      </c>
      <c r="E125">
        <v>8257.1715999999997</v>
      </c>
      <c r="G125">
        <v>0</v>
      </c>
      <c r="H125">
        <v>0</v>
      </c>
      <c r="I125">
        <f>SUM(Y125+X125+S125+R125)</f>
        <v>2841135.0203006868</v>
      </c>
      <c r="J125">
        <f>SUM(M125:Q125)+SUM(T125:W125)+SUM(Z125:AA125)</f>
        <v>5824977.8113404866</v>
      </c>
      <c r="K125" s="2"/>
      <c r="L125" s="2">
        <f>SUM(M125:AW125)</f>
        <v>8666112.831641173</v>
      </c>
      <c r="M125" s="2"/>
      <c r="N125">
        <v>-21081.84504311837</v>
      </c>
      <c r="O125" s="2">
        <v>534673.58055205992</v>
      </c>
      <c r="P125" s="2">
        <v>1141887.7352807943</v>
      </c>
      <c r="Q125" s="2">
        <v>492118.0554852013</v>
      </c>
      <c r="R125" s="2">
        <v>971646.11372928624</v>
      </c>
      <c r="S125" s="2">
        <v>911206.7147905794</v>
      </c>
      <c r="T125" s="2">
        <v>912560.08576224104</v>
      </c>
      <c r="U125" s="2">
        <v>744599.67278024741</v>
      </c>
      <c r="V125" s="2">
        <v>1011994.4329237654</v>
      </c>
      <c r="W125" s="2">
        <v>344000.00000000041</v>
      </c>
      <c r="X125" s="2">
        <v>479268.49315068347</v>
      </c>
      <c r="Y125" s="2">
        <v>479013.69863013766</v>
      </c>
      <c r="Z125" s="2">
        <v>329767.12328767165</v>
      </c>
      <c r="AA125" s="2">
        <v>334458.97031162347</v>
      </c>
    </row>
    <row r="126" spans="1:27" x14ac:dyDescent="0.4">
      <c r="A126" s="1">
        <v>46037</v>
      </c>
      <c r="B126">
        <v>3105.5751</v>
      </c>
      <c r="C126">
        <v>4751.4292999999998</v>
      </c>
      <c r="D126">
        <v>8223.2682999999997</v>
      </c>
      <c r="E126">
        <v>8240.7751000000007</v>
      </c>
      <c r="G126">
        <v>0</v>
      </c>
      <c r="H126">
        <v>0</v>
      </c>
      <c r="I126">
        <f>SUM(Y126+X126+S126+R126)</f>
        <v>2843796.8365584798</v>
      </c>
      <c r="J126">
        <f>SUM(M126:Q126)+SUM(T126:W126)+SUM(Z126:AA126)</f>
        <v>5804071.3552090656</v>
      </c>
      <c r="K126" s="2"/>
      <c r="L126" s="2">
        <f>SUM(M126:AW126)</f>
        <v>8647868.1917675436</v>
      </c>
      <c r="M126" s="2"/>
      <c r="N126">
        <v>-29262.904481698719</v>
      </c>
      <c r="O126" s="2">
        <v>518299.9386074107</v>
      </c>
      <c r="P126" s="2">
        <v>1140324.7906300109</v>
      </c>
      <c r="Q126" s="2">
        <v>493558.51969073061</v>
      </c>
      <c r="R126" s="2">
        <v>973220.30779116449</v>
      </c>
      <c r="S126" s="2">
        <v>912294.3369864939</v>
      </c>
      <c r="T126" s="2">
        <v>914430.43592652224</v>
      </c>
      <c r="U126" s="2">
        <v>745531.82570999477</v>
      </c>
      <c r="V126" s="2">
        <v>1012962.6555267996</v>
      </c>
      <c r="W126" s="2">
        <v>344000.00000000041</v>
      </c>
      <c r="X126" s="2">
        <v>479268.49315068347</v>
      </c>
      <c r="Y126" s="2">
        <v>479013.69863013766</v>
      </c>
      <c r="Z126" s="2">
        <v>329767.12328767165</v>
      </c>
      <c r="AA126" s="2">
        <v>334458.97031162347</v>
      </c>
    </row>
    <row r="127" spans="1:27" x14ac:dyDescent="0.4">
      <c r="A127" s="1">
        <v>46038</v>
      </c>
      <c r="B127">
        <v>3079.7631000000001</v>
      </c>
      <c r="C127">
        <v>4731.8728000000001</v>
      </c>
      <c r="D127">
        <v>8232.6740000000009</v>
      </c>
      <c r="E127">
        <v>8232.7293000000009</v>
      </c>
      <c r="G127">
        <v>0</v>
      </c>
      <c r="H127">
        <v>0</v>
      </c>
      <c r="I127">
        <f>SUM(Y127+X127+S127+R127)</f>
        <v>2846713.8375762971</v>
      </c>
      <c r="J127">
        <f>SUM(M127:Q127)+SUM(T127:W127)+SUM(Z127:AA127)</f>
        <v>5819425.6120101828</v>
      </c>
      <c r="K127" s="2"/>
      <c r="L127" s="2">
        <f>SUM(M127:AW127)</f>
        <v>8666139.449586479</v>
      </c>
      <c r="M127" s="2"/>
      <c r="N127">
        <v>-29592.589264241338</v>
      </c>
      <c r="O127" s="2">
        <v>521806.78465327877</v>
      </c>
      <c r="P127" s="2">
        <v>1145493.7447100973</v>
      </c>
      <c r="Q127" s="2">
        <v>496506.99903954857</v>
      </c>
      <c r="R127" s="2">
        <v>975055.57849261456</v>
      </c>
      <c r="S127" s="2">
        <v>913376.06730286137</v>
      </c>
      <c r="T127" s="2">
        <v>916598.13043705642</v>
      </c>
      <c r="U127" s="2">
        <v>746464.26170615887</v>
      </c>
      <c r="V127" s="2">
        <v>1013922.1871289888</v>
      </c>
      <c r="W127" s="2">
        <v>344000.00000000041</v>
      </c>
      <c r="X127" s="2">
        <v>479268.49315068347</v>
      </c>
      <c r="Y127" s="2">
        <v>479013.69863013766</v>
      </c>
      <c r="Z127" s="2">
        <v>329767.12328767165</v>
      </c>
      <c r="AA127" s="2">
        <v>334458.97031162347</v>
      </c>
    </row>
    <row r="128" spans="1:27" x14ac:dyDescent="0.4">
      <c r="A128" s="1">
        <v>46041</v>
      </c>
      <c r="B128">
        <v>3075.9357</v>
      </c>
      <c r="C128">
        <v>4734.4556000000002</v>
      </c>
      <c r="D128">
        <v>8287.9470000000001</v>
      </c>
      <c r="E128">
        <v>8265.6461999999992</v>
      </c>
      <c r="G128">
        <v>0</v>
      </c>
      <c r="H128">
        <v>0</v>
      </c>
      <c r="I128">
        <f>SUM(Y128+X128+S128+R128)</f>
        <v>2850087.9938613325</v>
      </c>
      <c r="J128">
        <f>SUM(M128:Q128)+SUM(T128:W128)+SUM(Z128:AA128)</f>
        <v>6009785.1680128574</v>
      </c>
      <c r="K128" s="2"/>
      <c r="L128" s="2">
        <f>SUM(M128:AW128)</f>
        <v>8859873.1618741881</v>
      </c>
      <c r="M128" s="2"/>
      <c r="N128">
        <v>8728.6085399187668</v>
      </c>
      <c r="O128" s="2">
        <v>622765.97928819444</v>
      </c>
      <c r="P128" s="2">
        <v>1182474.1096851784</v>
      </c>
      <c r="Q128" s="2">
        <v>505726.5288321462</v>
      </c>
      <c r="R128" s="2">
        <v>977370.07941712497</v>
      </c>
      <c r="S128" s="2">
        <v>914435.72266338638</v>
      </c>
      <c r="T128" s="2">
        <v>919588.22216819727</v>
      </c>
      <c r="U128" s="2">
        <v>747396.63938588242</v>
      </c>
      <c r="V128" s="2">
        <v>1014878.9865140446</v>
      </c>
      <c r="W128" s="2">
        <v>344000.00000000041</v>
      </c>
      <c r="X128" s="2">
        <v>479268.49315068347</v>
      </c>
      <c r="Y128" s="2">
        <v>479013.69863013766</v>
      </c>
      <c r="Z128" s="2">
        <v>329767.12328767165</v>
      </c>
      <c r="AA128" s="2">
        <v>334458.97031162347</v>
      </c>
    </row>
    <row r="129" spans="1:27" x14ac:dyDescent="0.4">
      <c r="A129" s="1">
        <v>46042</v>
      </c>
      <c r="B129">
        <v>3070.6460000000002</v>
      </c>
      <c r="C129">
        <v>4718.8782000000001</v>
      </c>
      <c r="D129">
        <v>8247.8048999999992</v>
      </c>
      <c r="E129">
        <v>8182.7521999999999</v>
      </c>
      <c r="G129">
        <v>0</v>
      </c>
      <c r="H129">
        <v>0</v>
      </c>
      <c r="I129">
        <f>SUM(Y129+X129+S129+R129)</f>
        <v>2851881.2335546063</v>
      </c>
      <c r="J129">
        <f>SUM(M129:Q129)+SUM(T129:W129)+SUM(Z129:AA129)</f>
        <v>5696580.2382181156</v>
      </c>
      <c r="K129" s="2"/>
      <c r="L129" s="2">
        <f>SUM(M129:AW129)</f>
        <v>8548461.471772721</v>
      </c>
      <c r="M129" s="2"/>
      <c r="N129">
        <v>-63619.362120938546</v>
      </c>
      <c r="O129" s="2">
        <v>444043.93308373325</v>
      </c>
      <c r="P129" s="2">
        <v>1127493.481357781</v>
      </c>
      <c r="Q129" s="2">
        <v>496620.03908547241</v>
      </c>
      <c r="R129" s="2">
        <v>978208.27306097141</v>
      </c>
      <c r="S129" s="2">
        <v>915390.76871281362</v>
      </c>
      <c r="T129" s="2">
        <v>919651.63044976862</v>
      </c>
      <c r="U129" s="2">
        <v>748329.30981838133</v>
      </c>
      <c r="V129" s="2">
        <v>1015835.1129446211</v>
      </c>
      <c r="W129" s="2">
        <v>344000.00000000041</v>
      </c>
      <c r="X129" s="2">
        <v>479268.49315068347</v>
      </c>
      <c r="Y129" s="2">
        <v>479013.69863013766</v>
      </c>
      <c r="Z129" s="2">
        <v>329767.12328767165</v>
      </c>
      <c r="AA129" s="2">
        <v>334458.97031162347</v>
      </c>
    </row>
    <row r="130" spans="1:27" x14ac:dyDescent="0.4">
      <c r="A130" s="1">
        <v>46043</v>
      </c>
      <c r="B130">
        <v>3067.1752999999999</v>
      </c>
      <c r="C130">
        <v>4723.0691999999999</v>
      </c>
      <c r="D130">
        <v>8340.1133000000009</v>
      </c>
      <c r="E130">
        <v>8247.6797999999999</v>
      </c>
      <c r="G130">
        <v>0</v>
      </c>
      <c r="H130">
        <v>0</v>
      </c>
      <c r="I130">
        <f>SUM(Y130+X130+S130+R130)</f>
        <v>2854828.6933844574</v>
      </c>
      <c r="J130">
        <f>SUM(M130:Q130)+SUM(T130:W130)+SUM(Z130:AA130)</f>
        <v>6033428.5291604344</v>
      </c>
      <c r="K130" s="2"/>
      <c r="L130" s="2">
        <f>SUM(M130:AW130)</f>
        <v>8888257.2225448899</v>
      </c>
      <c r="M130" s="2"/>
      <c r="N130">
        <v>6763.244385015726</v>
      </c>
      <c r="O130" s="2">
        <v>626824.70479249035</v>
      </c>
      <c r="P130" s="2">
        <v>1191842.2786178871</v>
      </c>
      <c r="Q130" s="2">
        <v>511083.35340818588</v>
      </c>
      <c r="R130" s="2">
        <v>980180.13275176345</v>
      </c>
      <c r="S130" s="2">
        <v>916366.36885187274</v>
      </c>
      <c r="T130" s="2">
        <v>922634.74472992402</v>
      </c>
      <c r="U130" s="2">
        <v>749262.05243910477</v>
      </c>
      <c r="V130" s="2">
        <v>1016792.057188531</v>
      </c>
      <c r="W130" s="2">
        <v>344000.00000000041</v>
      </c>
      <c r="X130" s="2">
        <v>479268.49315068347</v>
      </c>
      <c r="Y130" s="2">
        <v>479013.69863013766</v>
      </c>
      <c r="Z130" s="2">
        <v>329767.12328767165</v>
      </c>
      <c r="AA130" s="2">
        <v>334458.97031162347</v>
      </c>
    </row>
    <row r="131" spans="1:27" x14ac:dyDescent="0.4">
      <c r="A131" s="1">
        <v>46044</v>
      </c>
      <c r="B131">
        <v>3053.1277</v>
      </c>
      <c r="C131">
        <v>4723.7091</v>
      </c>
      <c r="D131">
        <v>8387.5949999999993</v>
      </c>
      <c r="E131">
        <v>8309.3456000000006</v>
      </c>
      <c r="G131">
        <v>0</v>
      </c>
      <c r="H131">
        <v>0</v>
      </c>
      <c r="I131">
        <f>SUM(Y131+X131+S131+R131)</f>
        <v>2857005.0146874851</v>
      </c>
      <c r="J131">
        <f>SUM(M131:Q131)+SUM(T131:W131)+SUM(Z131:AA131)</f>
        <v>6325701.9043257982</v>
      </c>
      <c r="K131" s="2"/>
      <c r="L131" s="2">
        <f>SUM(M131:AW131)</f>
        <v>9182706.9190132823</v>
      </c>
      <c r="M131" s="2"/>
      <c r="N131">
        <v>70333.384555275305</v>
      </c>
      <c r="O131" s="2">
        <v>788792.35967297282</v>
      </c>
      <c r="P131" s="2">
        <v>1245017.152041106</v>
      </c>
      <c r="Q131" s="2">
        <v>521212.49678106938</v>
      </c>
      <c r="R131" s="2">
        <v>981406.76856701542</v>
      </c>
      <c r="S131" s="2">
        <v>917316.05433964834</v>
      </c>
      <c r="T131" s="2">
        <v>924178.48070209567</v>
      </c>
      <c r="U131" s="2">
        <v>750194.87198198761</v>
      </c>
      <c r="V131" s="2">
        <v>1017747.0649919953</v>
      </c>
      <c r="W131" s="2">
        <v>344000.00000000041</v>
      </c>
      <c r="X131" s="2">
        <v>479268.49315068347</v>
      </c>
      <c r="Y131" s="2">
        <v>479013.69863013766</v>
      </c>
      <c r="Z131" s="2">
        <v>329767.12328767165</v>
      </c>
      <c r="AA131" s="2">
        <v>334458.97031162347</v>
      </c>
    </row>
    <row r="132" spans="1:27" x14ac:dyDescent="0.4">
      <c r="A132" s="1">
        <v>46045</v>
      </c>
      <c r="B132">
        <v>3032.1930000000002</v>
      </c>
      <c r="C132">
        <v>4702.4966000000004</v>
      </c>
      <c r="D132">
        <v>8590.1659</v>
      </c>
      <c r="E132">
        <v>8470.7438000000002</v>
      </c>
      <c r="G132">
        <v>0</v>
      </c>
      <c r="H132">
        <v>0</v>
      </c>
      <c r="I132">
        <f>SUM(Y132+X132+S132+R132)</f>
        <v>2859097.6252634497</v>
      </c>
      <c r="J132">
        <f>SUM(M132:Q132)+SUM(T132:W132)+SUM(Z132:AA132)</f>
        <v>6900123.0297060814</v>
      </c>
      <c r="K132" s="2"/>
      <c r="L132" s="2">
        <f>SUM(M132:AW132)</f>
        <v>9759220.6549695302</v>
      </c>
      <c r="M132" s="2"/>
      <c r="N132">
        <v>207853.87443122247</v>
      </c>
      <c r="O132" s="2">
        <v>1120432.2935809956</v>
      </c>
      <c r="P132" s="2">
        <v>1336038.2394826277</v>
      </c>
      <c r="Q132" s="2">
        <v>532476.81371939206</v>
      </c>
      <c r="R132" s="2">
        <v>982552.13523863594</v>
      </c>
      <c r="S132" s="2">
        <v>918263.2982439925</v>
      </c>
      <c r="T132" s="2">
        <v>925251.87927610916</v>
      </c>
      <c r="U132" s="2">
        <v>751134.24657534249</v>
      </c>
      <c r="V132" s="2">
        <v>1018709.5890410959</v>
      </c>
      <c r="W132" s="2">
        <v>344000.00000000041</v>
      </c>
      <c r="X132" s="2">
        <v>479268.49315068347</v>
      </c>
      <c r="Y132" s="2">
        <v>479013.69863013766</v>
      </c>
      <c r="Z132" s="2">
        <v>329767.12328767165</v>
      </c>
      <c r="AA132" s="2">
        <v>334458.97031162347</v>
      </c>
    </row>
    <row r="133" spans="1:27" x14ac:dyDescent="0.4">
      <c r="A133" s="1">
        <v>46048</v>
      </c>
      <c r="B133">
        <v>3049.5871000000002</v>
      </c>
      <c r="C133">
        <v>4706.9639999999999</v>
      </c>
      <c r="D133">
        <v>8506.6931999999997</v>
      </c>
      <c r="E133">
        <v>8365.4344999999994</v>
      </c>
      <c r="G133">
        <v>0</v>
      </c>
      <c r="H133">
        <v>0</v>
      </c>
      <c r="I133">
        <f>SUM(Y133+X133+S133+R133)</f>
        <v>2860991.9496318125</v>
      </c>
      <c r="J133">
        <f>SUM(M133:Q133)+SUM(T133:W133)+SUM(Z133:AA133)</f>
        <v>6614302.9328714786</v>
      </c>
      <c r="K133" s="2"/>
      <c r="L133" s="2">
        <f>SUM(M133:AW133)</f>
        <v>9475294.8825032897</v>
      </c>
      <c r="M133" s="2"/>
      <c r="N133">
        <v>132990.23350547403</v>
      </c>
      <c r="O133" s="2">
        <v>949399.00496536586</v>
      </c>
      <c r="P133" s="2">
        <v>1297162.8747239828</v>
      </c>
      <c r="Q133" s="2">
        <v>530480.94497630058</v>
      </c>
      <c r="R133" s="2">
        <v>983498.80810885224</v>
      </c>
      <c r="S133" s="2">
        <v>919210.9497421392</v>
      </c>
      <c r="T133" s="2">
        <v>926199.94548462145</v>
      </c>
      <c r="U133" s="2">
        <v>751134.24657534249</v>
      </c>
      <c r="V133" s="2">
        <v>1018709.5890410959</v>
      </c>
      <c r="W133" s="2">
        <v>344000.00000000041</v>
      </c>
      <c r="X133" s="2">
        <v>479268.49315068347</v>
      </c>
      <c r="Y133" s="2">
        <v>479013.69863013766</v>
      </c>
      <c r="Z133" s="2">
        <v>329767.12328767165</v>
      </c>
      <c r="AA133" s="2">
        <v>334458.97031162347</v>
      </c>
    </row>
    <row r="134" spans="1:27" x14ac:dyDescent="0.4">
      <c r="A134" s="1">
        <v>46049</v>
      </c>
      <c r="B134">
        <v>3052.3932</v>
      </c>
      <c r="C134">
        <v>4705.6917999999996</v>
      </c>
      <c r="D134">
        <v>8548.9321</v>
      </c>
      <c r="E134">
        <v>8382.1532999999999</v>
      </c>
      <c r="G134">
        <v>0</v>
      </c>
      <c r="H134">
        <v>0</v>
      </c>
      <c r="I134">
        <f>SUM(Y134+X134+S134+R134)</f>
        <v>2862907.7120269691</v>
      </c>
      <c r="J134">
        <f>SUM(M134:Q134)+SUM(T134:W134)+SUM(Z134:AA134)</f>
        <v>6906504.0238405094</v>
      </c>
      <c r="K134" s="2"/>
      <c r="L134" s="2">
        <f>SUM(M134:AW134)</f>
        <v>9769411.735867478</v>
      </c>
      <c r="M134" s="2">
        <v>194979.07517405538</v>
      </c>
      <c r="N134">
        <v>154004.706070229</v>
      </c>
      <c r="O134" s="2">
        <v>1003937.291469543</v>
      </c>
      <c r="P134" s="2">
        <v>1314908.9310949282</v>
      </c>
      <c r="Q134" s="2">
        <v>533454.67024523276</v>
      </c>
      <c r="R134" s="2">
        <v>984466.02408566175</v>
      </c>
      <c r="S134" s="2">
        <v>920159.49616048613</v>
      </c>
      <c r="T134" s="2">
        <v>927149.42057078646</v>
      </c>
      <c r="U134" s="2">
        <v>751134.24657534249</v>
      </c>
      <c r="V134" s="2">
        <v>1018709.5890410959</v>
      </c>
      <c r="W134" s="2">
        <v>344000.00000000041</v>
      </c>
      <c r="X134" s="2">
        <v>479268.49315068347</v>
      </c>
      <c r="Y134" s="2">
        <v>479013.69863013766</v>
      </c>
      <c r="Z134" s="2">
        <v>329767.12328767165</v>
      </c>
      <c r="AA134" s="2">
        <v>334458.97031162347</v>
      </c>
    </row>
    <row r="135" spans="1:27" x14ac:dyDescent="0.4">
      <c r="A135" s="1">
        <v>46050</v>
      </c>
      <c r="B135">
        <v>3060.5569999999998</v>
      </c>
      <c r="C135">
        <v>4717.9913999999999</v>
      </c>
      <c r="D135">
        <v>8601.1643999999997</v>
      </c>
      <c r="E135">
        <v>8399.7937999999995</v>
      </c>
      <c r="G135">
        <v>0</v>
      </c>
      <c r="H135">
        <v>0</v>
      </c>
      <c r="I135">
        <v>2864812.0627161888</v>
      </c>
      <c r="J135">
        <v>7047423.6428404609</v>
      </c>
      <c r="K135" s="2"/>
      <c r="L135">
        <f>I135+J135</f>
        <v>9912235.7055566497</v>
      </c>
      <c r="M135">
        <v>238091.32089216364</v>
      </c>
      <c r="N135">
        <v>175442.50126108181</v>
      </c>
    </row>
    <row r="136" spans="1:27" x14ac:dyDescent="0.4">
      <c r="A136" s="1">
        <v>46051</v>
      </c>
      <c r="B136">
        <v>3110.9135000000001</v>
      </c>
      <c r="C136">
        <v>4753.8697000000002</v>
      </c>
      <c r="D136">
        <v>8517.8428999999996</v>
      </c>
      <c r="E136">
        <v>8332.2067000000006</v>
      </c>
      <c r="G136">
        <v>0</v>
      </c>
      <c r="H136">
        <v>0</v>
      </c>
      <c r="I136">
        <v>2866712.1764588915</v>
      </c>
      <c r="J136">
        <v>6768151.4602693673</v>
      </c>
      <c r="K136" s="2"/>
      <c r="L136">
        <f>I136+J136</f>
        <v>9634863.6367282588</v>
      </c>
      <c r="M136">
        <v>137617.40006790063</v>
      </c>
      <c r="N136">
        <v>127440.52155484306</v>
      </c>
    </row>
    <row r="137" spans="1:27" x14ac:dyDescent="0.4">
      <c r="A137" s="1">
        <v>46052</v>
      </c>
      <c r="B137">
        <v>3066.4962999999998</v>
      </c>
      <c r="C137">
        <v>4706.3401000000003</v>
      </c>
      <c r="D137">
        <v>8370.5203000000001</v>
      </c>
      <c r="E137">
        <v>8254.8603000000003</v>
      </c>
      <c r="G137">
        <v>0</v>
      </c>
      <c r="H137">
        <v>0</v>
      </c>
      <c r="I137">
        <v>2868607.5920774071</v>
      </c>
      <c r="J137">
        <v>6403527.4893668508</v>
      </c>
      <c r="K137" s="2"/>
      <c r="L137">
        <f>I137+J137</f>
        <v>9272135.0814442579</v>
      </c>
      <c r="M137">
        <v>10397.641883204891</v>
      </c>
      <c r="N137">
        <v>66398.75234178071</v>
      </c>
    </row>
    <row r="138" spans="1:27" x14ac:dyDescent="0.4">
      <c r="A138" s="1">
        <v>46055</v>
      </c>
      <c r="B138">
        <v>3003.1372999999999</v>
      </c>
      <c r="C138">
        <v>4605.9799000000003</v>
      </c>
      <c r="D138">
        <v>8037.0456000000004</v>
      </c>
      <c r="E138">
        <v>7975.4282999999996</v>
      </c>
      <c r="G138">
        <v>0</v>
      </c>
      <c r="H138">
        <v>0</v>
      </c>
      <c r="I138">
        <v>2870093.6140617738</v>
      </c>
      <c r="J138">
        <v>4519831.0815527113</v>
      </c>
      <c r="K138" s="2"/>
      <c r="L138">
        <f>I138+J138</f>
        <v>7389924.6956144851</v>
      </c>
      <c r="M138">
        <v>-581716.72893349116</v>
      </c>
      <c r="N138">
        <v>-221416.07674666223</v>
      </c>
    </row>
    <row r="139" spans="1:27" x14ac:dyDescent="0.4">
      <c r="A139" s="1">
        <v>46056</v>
      </c>
      <c r="B139">
        <v>3034.5803000000001</v>
      </c>
      <c r="C139">
        <v>4660.1073999999999</v>
      </c>
      <c r="D139">
        <v>8286.7005000000008</v>
      </c>
      <c r="E139">
        <v>8209.1010000000006</v>
      </c>
      <c r="G139">
        <v>0</v>
      </c>
      <c r="H139">
        <v>0</v>
      </c>
      <c r="I139">
        <v>2872420.4254380474</v>
      </c>
      <c r="J139">
        <v>6253899.3872746322</v>
      </c>
      <c r="K139" s="2"/>
      <c r="L139">
        <f>I139+J139</f>
        <v>9126319.8127126805</v>
      </c>
      <c r="M139">
        <v>-49489.681804458705</v>
      </c>
      <c r="N139">
        <v>38673.771168300016</v>
      </c>
    </row>
    <row r="140" spans="1:27" x14ac:dyDescent="0.4">
      <c r="A140" s="1">
        <v>46057</v>
      </c>
      <c r="B140">
        <v>3069.2431999999999</v>
      </c>
      <c r="C140">
        <v>4698.6832000000004</v>
      </c>
      <c r="D140">
        <v>8299.0573999999997</v>
      </c>
      <c r="E140">
        <v>8207.1203000000005</v>
      </c>
      <c r="G140">
        <v>0</v>
      </c>
      <c r="H140">
        <v>0</v>
      </c>
      <c r="I140">
        <v>2873378.0939057805</v>
      </c>
      <c r="J140">
        <v>6303164.6438412014</v>
      </c>
      <c r="K140" s="2"/>
      <c r="L140">
        <f>I140+J140</f>
        <v>9176542.7377469819</v>
      </c>
      <c r="M140">
        <v>-38704.729624082698</v>
      </c>
      <c r="N140">
        <v>44612.547807807896</v>
      </c>
    </row>
    <row r="141" spans="1:27" x14ac:dyDescent="0.4">
      <c r="A141" s="1">
        <v>46058</v>
      </c>
      <c r="B141">
        <v>3059.0120000000002</v>
      </c>
      <c r="C141">
        <v>4670.4188000000004</v>
      </c>
      <c r="D141">
        <v>8146.1072999999997</v>
      </c>
      <c r="E141">
        <v>8068.0766999999996</v>
      </c>
      <c r="G141">
        <v>0</v>
      </c>
      <c r="H141">
        <v>0</v>
      </c>
      <c r="I141">
        <v>2874328.2591446638</v>
      </c>
      <c r="J141">
        <v>5411790.1013420392</v>
      </c>
      <c r="K141" s="2"/>
      <c r="L141">
        <f>I141+J141</f>
        <v>8286118.360486703</v>
      </c>
      <c r="M141">
        <v>-319981.67442163505</v>
      </c>
      <c r="N141">
        <v>-91570.406564988167</v>
      </c>
    </row>
    <row r="142" spans="1:27" x14ac:dyDescent="0.4">
      <c r="A142" s="1">
        <v>46059</v>
      </c>
      <c r="B142">
        <v>3037.8602000000001</v>
      </c>
      <c r="C142">
        <v>4643.5959000000003</v>
      </c>
      <c r="D142">
        <v>8146.4128000000001</v>
      </c>
      <c r="E142">
        <v>8051.5742</v>
      </c>
      <c r="G142">
        <v>0</v>
      </c>
      <c r="H142">
        <v>0</v>
      </c>
      <c r="I142">
        <v>2875285.6079712654</v>
      </c>
      <c r="J142">
        <v>5391299.6211279407</v>
      </c>
      <c r="K142" s="2"/>
      <c r="L142">
        <f>I142+J142</f>
        <v>8266585.2290992066</v>
      </c>
      <c r="M142">
        <v>-342769.60684661689</v>
      </c>
      <c r="N142">
        <v>-101975.48379898764</v>
      </c>
    </row>
    <row r="143" spans="1:27" x14ac:dyDescent="0.4">
      <c r="A143" s="1">
        <v>46062</v>
      </c>
      <c r="B143">
        <v>3081.7791000000002</v>
      </c>
      <c r="C143">
        <v>4719.0559000000003</v>
      </c>
      <c r="D143">
        <v>8311.2829000000002</v>
      </c>
      <c r="E143">
        <v>8233.7782999999999</v>
      </c>
      <c r="G143">
        <v>0</v>
      </c>
      <c r="H143">
        <v>0</v>
      </c>
      <c r="I143">
        <v>2876240.1583890026</v>
      </c>
      <c r="J143">
        <v>6847262.2198272217</v>
      </c>
      <c r="K143" s="2"/>
      <c r="L143">
        <v>9723502.3782162238</v>
      </c>
      <c r="M143">
        <v>58144.644286026509</v>
      </c>
      <c r="N143">
        <v>93827.047999806222</v>
      </c>
    </row>
    <row r="144" spans="1:27" x14ac:dyDescent="0.4">
      <c r="A144" s="1">
        <v>46063</v>
      </c>
      <c r="B144">
        <v>3087.4050000000002</v>
      </c>
      <c r="C144">
        <v>4724.2956000000004</v>
      </c>
      <c r="D144">
        <v>8306.4447999999993</v>
      </c>
      <c r="E144">
        <v>8250.3001000000004</v>
      </c>
      <c r="G144">
        <v>0</v>
      </c>
      <c r="H144">
        <v>0</v>
      </c>
      <c r="I144">
        <v>2877193.3243276034</v>
      </c>
      <c r="J144">
        <v>7031181.9293690603</v>
      </c>
      <c r="L144">
        <v>9908375.2536966633</v>
      </c>
    </row>
    <row r="145" spans="1:12" x14ac:dyDescent="0.4">
      <c r="A145" s="1">
        <v>46064</v>
      </c>
      <c r="B145">
        <v>3088.4571000000001</v>
      </c>
      <c r="C145">
        <v>4713.8185000000003</v>
      </c>
      <c r="D145">
        <v>8325.8107</v>
      </c>
      <c r="E145">
        <v>8239.5130000000008</v>
      </c>
      <c r="G145">
        <v>0</v>
      </c>
      <c r="H145">
        <v>0</v>
      </c>
      <c r="I145">
        <v>2883901.3010301753</v>
      </c>
      <c r="J145">
        <v>7021988.8016438885</v>
      </c>
      <c r="L145">
        <v>9905890.1026740633</v>
      </c>
    </row>
    <row r="146" spans="1:12" x14ac:dyDescent="0.4">
      <c r="A146" s="1">
        <v>46065</v>
      </c>
      <c r="B146">
        <v>3079.7273</v>
      </c>
      <c r="C146">
        <v>4719.5780000000004</v>
      </c>
      <c r="D146">
        <v>8423.5694999999996</v>
      </c>
      <c r="E146">
        <v>8314.8322000000007</v>
      </c>
      <c r="G146">
        <v>0</v>
      </c>
      <c r="H146">
        <v>0</v>
      </c>
      <c r="I146">
        <v>2879101.4285339955</v>
      </c>
      <c r="J146">
        <v>7247721.3844418544</v>
      </c>
      <c r="L146">
        <v>10126822.81297585</v>
      </c>
    </row>
    <row r="147" spans="1:12" x14ac:dyDescent="0.4">
      <c r="A147" s="1">
        <v>46066</v>
      </c>
      <c r="B147">
        <v>3034.3458999999998</v>
      </c>
      <c r="C147">
        <v>4660.4056</v>
      </c>
      <c r="D147">
        <v>8299.5849999999991</v>
      </c>
      <c r="E147">
        <v>8204.8294000000005</v>
      </c>
      <c r="G147">
        <v>0</v>
      </c>
      <c r="H147">
        <v>0</v>
      </c>
      <c r="I147">
        <v>2880055.7180012581</v>
      </c>
      <c r="J147">
        <v>6943435.8706244361</v>
      </c>
      <c r="L147">
        <v>9823491.5886256937</v>
      </c>
    </row>
    <row r="148" spans="1:12" x14ac:dyDescent="0.4">
      <c r="A148" s="1">
        <v>46077</v>
      </c>
      <c r="B148">
        <v>3041.3242</v>
      </c>
      <c r="C148">
        <v>4707.5439999999999</v>
      </c>
      <c r="D148">
        <v>8392.9097999999994</v>
      </c>
      <c r="E148">
        <v>8299.7705000000005</v>
      </c>
      <c r="G148">
        <v>0</v>
      </c>
      <c r="H148">
        <v>0</v>
      </c>
      <c r="I148">
        <v>2881016.4387671235</v>
      </c>
      <c r="J148">
        <v>7628110.6925855819</v>
      </c>
      <c r="L148">
        <v>10509127.131352706</v>
      </c>
    </row>
    <row r="149" spans="1:12" x14ac:dyDescent="0.4">
      <c r="A149" s="1">
        <v>46078</v>
      </c>
      <c r="B149">
        <v>3054.9247</v>
      </c>
      <c r="C149">
        <v>4735.8858</v>
      </c>
      <c r="D149">
        <v>8527.5593000000008</v>
      </c>
      <c r="E149">
        <v>8426.3313999999991</v>
      </c>
      <c r="G149">
        <v>0</v>
      </c>
      <c r="H149">
        <v>0</v>
      </c>
      <c r="I149">
        <v>2881016.4387671235</v>
      </c>
      <c r="J149">
        <v>8371225.6044650348</v>
      </c>
      <c r="L149">
        <v>11252242.043232158</v>
      </c>
    </row>
    <row r="150" spans="1:12" x14ac:dyDescent="0.4">
      <c r="A150" s="1">
        <v>46079</v>
      </c>
      <c r="B150">
        <v>3035.0707000000002</v>
      </c>
      <c r="C150">
        <v>4726.8738999999996</v>
      </c>
      <c r="D150">
        <v>8557.2160000000003</v>
      </c>
      <c r="E150">
        <v>8490.6172999999999</v>
      </c>
      <c r="G150">
        <v>0</v>
      </c>
      <c r="H150">
        <v>0</v>
      </c>
      <c r="I150">
        <v>2881016.4387671235</v>
      </c>
      <c r="J150">
        <v>8810131.8720134273</v>
      </c>
      <c r="L150">
        <v>11691148.310780551</v>
      </c>
    </row>
    <row r="151" spans="1:12" x14ac:dyDescent="0.4">
      <c r="A151" s="1">
        <v>46080</v>
      </c>
      <c r="B151">
        <v>3039.431</v>
      </c>
      <c r="C151">
        <v>4710.6468999999997</v>
      </c>
      <c r="D151">
        <v>8658.4503000000004</v>
      </c>
      <c r="E151">
        <v>8560.8433000000005</v>
      </c>
      <c r="G151">
        <v>0</v>
      </c>
      <c r="H151">
        <v>0</v>
      </c>
      <c r="I151">
        <v>2881016.4387671235</v>
      </c>
      <c r="J151">
        <v>9287704.2208610997</v>
      </c>
      <c r="L151">
        <v>12168720.659628224</v>
      </c>
    </row>
    <row r="153" spans="1:12" x14ac:dyDescent="0.4">
      <c r="A153" t="s">
        <v>0</v>
      </c>
    </row>
  </sheetData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Shen</dc:creator>
  <cp:lastModifiedBy>Zhi Shen</cp:lastModifiedBy>
  <dcterms:created xsi:type="dcterms:W3CDTF">2026-03-02T10:47:16Z</dcterms:created>
  <dcterms:modified xsi:type="dcterms:W3CDTF">2026-03-02T10:50:52Z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27D6E512-3F59-4030-A7E2-1408EAEB98F6</vt:lpwstr>
  </property>
</Properties>
</file>