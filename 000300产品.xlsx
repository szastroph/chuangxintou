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c1ab6e45c7ae8e/Work/1.场外期权业务/1.交易运营/2023-24运营文件/2023-24产品簿记表/"/>
    </mc:Choice>
  </mc:AlternateContent>
  <xr:revisionPtr revIDLastSave="727" documentId="13_ncr:1_{A7C0C8F0-33A6-4802-BC36-A452E79B0EF6}" xr6:coauthVersionLast="47" xr6:coauthVersionMax="47" xr10:uidLastSave="{6011AB48-FC80-4F9B-9A68-9CC4DB3BAA4C}"/>
  <bookViews>
    <workbookView xWindow="4128" yWindow="288" windowWidth="21888" windowHeight="16272" activeTab="1" xr2:uid="{4146CF34-53E0-4709-90E2-4E4723C21D49}"/>
  </bookViews>
  <sheets>
    <sheet name="产品收盘" sheetId="12" r:id="rId1"/>
    <sheet name="产品汇总" sheetId="5" r:id="rId2"/>
    <sheet name="CJSC240318-1" sheetId="19" r:id="rId3"/>
    <sheet name="CJSC240318-2" sheetId="20" r:id="rId4"/>
    <sheet name="DWZQ240627" sheetId="40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2" l="1"/>
  <c r="B2" i="12"/>
  <c r="K56" i="12" l="1"/>
  <c r="AF12" i="20" l="1"/>
  <c r="Z34" i="19"/>
  <c r="Z35" i="19" s="1"/>
  <c r="L56" i="12" l="1"/>
  <c r="J56" i="12"/>
  <c r="N54" i="12" l="1"/>
  <c r="M54" i="12" l="1" a="1"/>
  <c r="M54" i="12" s="1"/>
  <c r="N53" i="12"/>
  <c r="N52" i="12"/>
  <c r="N51" i="12"/>
  <c r="N47" i="12"/>
  <c r="Y16" i="40" l="1"/>
  <c r="M47" i="12" l="1" a="1"/>
  <c r="M47" i="12" s="1"/>
  <c r="AF11" i="20" l="1"/>
  <c r="N39" i="12" l="1"/>
  <c r="M39" i="12" l="1" a="1"/>
  <c r="M39" i="12" s="1"/>
  <c r="AF10" i="20"/>
  <c r="AF9" i="20" l="1"/>
  <c r="AF8" i="20" l="1"/>
  <c r="AH13" i="20" s="1"/>
  <c r="V189" i="5" l="1"/>
  <c r="V190" i="5"/>
  <c r="V191" i="5"/>
  <c r="V192" i="5"/>
  <c r="V193" i="5"/>
  <c r="V194" i="5"/>
  <c r="V195" i="5"/>
  <c r="V196" i="5"/>
  <c r="V188" i="5"/>
  <c r="O189" i="5"/>
  <c r="O190" i="5"/>
  <c r="O191" i="5"/>
  <c r="O192" i="5"/>
  <c r="O193" i="5"/>
  <c r="O194" i="5"/>
  <c r="O195" i="5"/>
  <c r="O196" i="5"/>
  <c r="O188" i="5"/>
  <c r="Z26" i="20" l="1"/>
  <c r="Z25" i="19"/>
  <c r="Z21" i="20" l="1"/>
  <c r="Z20" i="19"/>
  <c r="B3" i="12" l="1"/>
  <c r="B4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<sst xmlns="http://schemas.openxmlformats.org/spreadsheetml/2006/main" count="697" uniqueCount="214">
  <si>
    <t>日期</t>
    <phoneticPr fontId="1" type="noConversion"/>
  </si>
  <si>
    <t>收盘价</t>
    <phoneticPr fontId="1" type="noConversion"/>
  </si>
  <si>
    <t>TOTAL NPV</t>
    <phoneticPr fontId="1" type="noConversion"/>
  </si>
  <si>
    <t>DELTA AMOUNT</t>
    <phoneticPr fontId="1" type="noConversion"/>
  </si>
  <si>
    <t>DELTA CASH</t>
    <phoneticPr fontId="1" type="noConversion"/>
  </si>
  <si>
    <t>1% GAMMA CASH</t>
    <phoneticPr fontId="1" type="noConversion"/>
  </si>
  <si>
    <t>1% VEGA CASH</t>
    <phoneticPr fontId="1" type="noConversion"/>
  </si>
  <si>
    <t>1 DAY THETA</t>
    <phoneticPr fontId="1" type="noConversion"/>
  </si>
  <si>
    <t>1% RHO CASH</t>
    <phoneticPr fontId="1" type="noConversion"/>
  </si>
  <si>
    <t>NPV</t>
    <phoneticPr fontId="1" type="noConversion"/>
  </si>
  <si>
    <t>DELTA</t>
    <phoneticPr fontId="1" type="noConversion"/>
  </si>
  <si>
    <t>GAMMA</t>
    <phoneticPr fontId="1" type="noConversion"/>
  </si>
  <si>
    <t>VEGA</t>
    <phoneticPr fontId="1" type="noConversion"/>
  </si>
  <si>
    <t>THETA</t>
    <phoneticPr fontId="1" type="noConversion"/>
  </si>
  <si>
    <t>RHO</t>
    <phoneticPr fontId="1" type="noConversion"/>
  </si>
  <si>
    <t>CONTRACT DETAILS</t>
    <phoneticPr fontId="1" type="noConversion"/>
  </si>
  <si>
    <t>HOLIDAY DIRECTORY</t>
    <phoneticPr fontId="1" type="noConversion"/>
  </si>
  <si>
    <t>E:\\quant\\China\\China</t>
    <phoneticPr fontId="1" type="noConversion"/>
  </si>
  <si>
    <t>INITIAL UNDERLYING ASSET PRICE</t>
    <phoneticPr fontId="1" type="noConversion"/>
  </si>
  <si>
    <t>START DATE</t>
    <phoneticPr fontId="1" type="noConversion"/>
  </si>
  <si>
    <t>PREPAID MARGIN</t>
    <phoneticPr fontId="1" type="noConversion"/>
  </si>
  <si>
    <t>NOTIONAL PRINCIPAL</t>
    <phoneticPr fontId="1" type="noConversion"/>
  </si>
  <si>
    <t>NOTIONAL AMOUNT</t>
    <phoneticPr fontId="1" type="noConversion"/>
  </si>
  <si>
    <t>序号</t>
    <phoneticPr fontId="1" type="noConversion"/>
  </si>
  <si>
    <t>产品名称</t>
  </si>
  <si>
    <t>产品代码</t>
  </si>
  <si>
    <t>存续状态</t>
    <phoneticPr fontId="1" type="noConversion"/>
  </si>
  <si>
    <t>产品类型</t>
    <phoneticPr fontId="1" type="noConversion"/>
  </si>
  <si>
    <t>产品结构</t>
    <phoneticPr fontId="1" type="noConversion"/>
  </si>
  <si>
    <t>初始价格</t>
  </si>
  <si>
    <t>开始日期</t>
  </si>
  <si>
    <t>到期日期</t>
  </si>
  <si>
    <t>名义本金</t>
  </si>
  <si>
    <t>TOTAL PV</t>
    <phoneticPr fontId="1" type="noConversion"/>
  </si>
  <si>
    <t>存续</t>
    <phoneticPr fontId="1" type="noConversion"/>
  </si>
  <si>
    <t>收益凭证</t>
    <phoneticPr fontId="1" type="noConversion"/>
  </si>
  <si>
    <t>鲨鱼鳍</t>
    <phoneticPr fontId="1" type="noConversion"/>
  </si>
  <si>
    <t>S2R100</t>
  </si>
  <si>
    <t>S2V520</t>
  </si>
  <si>
    <t>SBE650</t>
  </si>
  <si>
    <t>SBK580</t>
  </si>
  <si>
    <t>元鼎尊享看涨103号</t>
  </si>
  <si>
    <t>元鼎尊享看涨104号</t>
  </si>
  <si>
    <t>元鼎尊享看涨105号</t>
  </si>
  <si>
    <t>元鼎尊享看涨108号</t>
    <phoneticPr fontId="17" type="noConversion"/>
  </si>
  <si>
    <t>结束</t>
    <phoneticPr fontId="1" type="noConversion"/>
  </si>
  <si>
    <t>下一观察日</t>
    <phoneticPr fontId="1" type="noConversion"/>
  </si>
  <si>
    <t>距离敲出</t>
    <phoneticPr fontId="1" type="noConversion"/>
  </si>
  <si>
    <t>SBT170</t>
    <phoneticPr fontId="1" type="noConversion"/>
  </si>
  <si>
    <t>保本雪球</t>
    <phoneticPr fontId="1" type="noConversion"/>
  </si>
  <si>
    <t>当前点位</t>
    <phoneticPr fontId="1" type="noConversion"/>
  </si>
  <si>
    <t>当前日期</t>
    <phoneticPr fontId="1" type="noConversion"/>
  </si>
  <si>
    <t>/</t>
    <phoneticPr fontId="1" type="noConversion"/>
  </si>
  <si>
    <t>观察期</t>
    <phoneticPr fontId="1" type="noConversion"/>
  </si>
  <si>
    <t>涨跌幅</t>
    <phoneticPr fontId="1" type="noConversion"/>
  </si>
  <si>
    <t>MATURITY COUPON</t>
    <phoneticPr fontId="1" type="noConversion"/>
  </si>
  <si>
    <t>KNOCK OUT COUPONS</t>
    <phoneticPr fontId="1" type="noConversion"/>
  </si>
  <si>
    <t>KNOCK OUT BARRIERS</t>
    <phoneticPr fontId="1" type="noConversion"/>
  </si>
  <si>
    <t>OBSERVATION DATES</t>
    <phoneticPr fontId="1" type="noConversion"/>
  </si>
  <si>
    <t>实际波动率</t>
    <phoneticPr fontId="1" type="noConversion"/>
  </si>
  <si>
    <t>RHOQ</t>
    <phoneticPr fontId="1" type="noConversion"/>
  </si>
  <si>
    <t>1% RHOQ CASH</t>
    <phoneticPr fontId="1" type="noConversion"/>
  </si>
  <si>
    <t>存续名义本金</t>
    <phoneticPr fontId="1" type="noConversion"/>
  </si>
  <si>
    <t>存续保证金</t>
    <phoneticPr fontId="1" type="noConversion"/>
  </si>
  <si>
    <t>累计名义本金</t>
    <phoneticPr fontId="1" type="noConversion"/>
  </si>
  <si>
    <t>存续保证金</t>
    <phoneticPr fontId="1" type="noConversion"/>
  </si>
  <si>
    <t>/</t>
    <phoneticPr fontId="1" type="noConversion"/>
  </si>
  <si>
    <t>场外期权</t>
    <phoneticPr fontId="1" type="noConversion"/>
  </si>
  <si>
    <t>早利雪球</t>
    <phoneticPr fontId="1" type="noConversion"/>
  </si>
  <si>
    <t>波动率</t>
  </si>
  <si>
    <t>对冲成本</t>
  </si>
  <si>
    <t>年化贴水</t>
  </si>
  <si>
    <t>股指期货保证金比例</t>
  </si>
  <si>
    <t>无风险利率</t>
    <phoneticPr fontId="1" type="noConversion"/>
  </si>
  <si>
    <t>定价/客户估值参数</t>
    <phoneticPr fontId="1" type="noConversion"/>
  </si>
  <si>
    <t>前端绝对返还</t>
  </si>
  <si>
    <t>绝对后端返息</t>
  </si>
  <si>
    <t>年化后端返息</t>
    <phoneticPr fontId="1" type="noConversion"/>
  </si>
  <si>
    <t>KNOCK IN STRIKE</t>
    <phoneticPr fontId="1" type="noConversion"/>
  </si>
  <si>
    <t>KNOCK IN BARRIER</t>
    <phoneticPr fontId="1" type="noConversion"/>
  </si>
  <si>
    <t>敲入状态</t>
    <phoneticPr fontId="1" type="noConversion"/>
  </si>
  <si>
    <t>是否敲入</t>
    <phoneticPr fontId="1" type="noConversion"/>
  </si>
  <si>
    <t>距离敲入</t>
  </si>
  <si>
    <t>CW20230028C0024</t>
    <phoneticPr fontId="1" type="noConversion"/>
  </si>
  <si>
    <t>GYZQ-CJSC-OPT-20240318-01</t>
    <phoneticPr fontId="1" type="noConversion"/>
  </si>
  <si>
    <t>凤凰</t>
    <phoneticPr fontId="1" type="noConversion"/>
  </si>
  <si>
    <t>经典雪球</t>
    <phoneticPr fontId="1" type="noConversion"/>
  </si>
  <si>
    <t>敲出障碍</t>
    <phoneticPr fontId="1" type="noConversion"/>
  </si>
  <si>
    <t>GYZQ-CJSC-OPT-20240318-02</t>
    <phoneticPr fontId="1" type="noConversion"/>
  </si>
  <si>
    <t>派息日</t>
    <phoneticPr fontId="1" type="noConversion"/>
  </si>
  <si>
    <t>CW20210004C0005</t>
    <phoneticPr fontId="1" type="noConversion"/>
  </si>
  <si>
    <t>CW20230035C0004</t>
    <phoneticPr fontId="1" type="noConversion"/>
  </si>
  <si>
    <t>备注</t>
    <phoneticPr fontId="1" type="noConversion"/>
  </si>
  <si>
    <t>晚一天到钱，含头不含尾</t>
    <phoneticPr fontId="1" type="noConversion"/>
  </si>
  <si>
    <t>GYZQ-CJSC-OPT-20240320-01</t>
    <phoneticPr fontId="1" type="noConversion"/>
  </si>
  <si>
    <t>晚一天到钱，含头不含尾，季度付</t>
    <phoneticPr fontId="1" type="noConversion"/>
  </si>
  <si>
    <t>派息当天估值含派息，派息日后npv=估值+已派息</t>
    <phoneticPr fontId="1" type="noConversion"/>
  </si>
  <si>
    <t>GYZQ-CJSC-OPT-20240321-01</t>
    <phoneticPr fontId="1" type="noConversion"/>
  </si>
  <si>
    <t>限亏雪球</t>
    <phoneticPr fontId="1" type="noConversion"/>
  </si>
  <si>
    <t>CW20240010C0001</t>
    <phoneticPr fontId="1" type="noConversion"/>
  </si>
  <si>
    <t>元鼎尊享117号</t>
    <phoneticPr fontId="17" type="noConversion"/>
  </si>
  <si>
    <t>GYZQ-CJSC-OPT-20240326-01</t>
    <phoneticPr fontId="1" type="noConversion"/>
  </si>
  <si>
    <t>CW20230035C0007</t>
    <phoneticPr fontId="1" type="noConversion"/>
  </si>
  <si>
    <t>敲降经典雪球</t>
    <phoneticPr fontId="1" type="noConversion"/>
  </si>
  <si>
    <t>晚一天打钱</t>
    <phoneticPr fontId="1" type="noConversion"/>
  </si>
  <si>
    <t>含头不含尾，晚一天打钱</t>
    <phoneticPr fontId="1" type="noConversion"/>
  </si>
  <si>
    <t>CW20240010C0004</t>
  </si>
  <si>
    <t>CW20240010C0003</t>
    <phoneticPr fontId="1" type="noConversion"/>
  </si>
  <si>
    <t>CW20240010C0005</t>
  </si>
  <si>
    <t>晚三天打款</t>
    <phoneticPr fontId="1" type="noConversion"/>
  </si>
  <si>
    <t>CW20210005C0002</t>
    <phoneticPr fontId="1" type="noConversion"/>
  </si>
  <si>
    <t>CW20210004C0006</t>
    <phoneticPr fontId="1" type="noConversion"/>
  </si>
  <si>
    <t>CW20230035C0008</t>
    <phoneticPr fontId="1" type="noConversion"/>
  </si>
  <si>
    <t>晚1天打款</t>
    <phoneticPr fontId="1" type="noConversion"/>
  </si>
  <si>
    <t>降敲早利雪球</t>
    <phoneticPr fontId="1" type="noConversion"/>
  </si>
  <si>
    <t>CW20230031C0004</t>
    <phoneticPr fontId="1" type="noConversion"/>
  </si>
  <si>
    <t>CW20230031C0005</t>
  </si>
  <si>
    <t>加粗派息，红色不敲出</t>
    <phoneticPr fontId="1" type="noConversion"/>
  </si>
  <si>
    <t>已派息金额</t>
    <phoneticPr fontId="1" type="noConversion"/>
  </si>
  <si>
    <t>CW20210004C0017</t>
  </si>
  <si>
    <t>已派息</t>
    <phoneticPr fontId="1" type="noConversion"/>
  </si>
  <si>
    <t>敲出观察日</t>
    <phoneticPr fontId="1" type="noConversion"/>
  </si>
  <si>
    <t>派息率</t>
    <phoneticPr fontId="1" type="noConversion"/>
  </si>
  <si>
    <t>票息障碍</t>
  </si>
  <si>
    <t>敲入障碍价格</t>
  </si>
  <si>
    <t>敲入执行价格</t>
    <phoneticPr fontId="1" type="noConversion"/>
  </si>
  <si>
    <t>CW20230028C0022</t>
    <phoneticPr fontId="1" type="noConversion"/>
  </si>
  <si>
    <t>CW20230028C0023</t>
    <phoneticPr fontId="1" type="noConversion"/>
  </si>
  <si>
    <t>CW20240010C0002</t>
    <phoneticPr fontId="1" type="noConversion"/>
  </si>
  <si>
    <t>敲出障碍价格</t>
    <phoneticPr fontId="1" type="noConversion"/>
  </si>
  <si>
    <t>到期日</t>
    <phoneticPr fontId="1" type="noConversion"/>
  </si>
  <si>
    <t>敲出收益率</t>
    <phoneticPr fontId="1" type="noConversion"/>
  </si>
  <si>
    <t>年化后端付费</t>
    <phoneticPr fontId="1" type="noConversion"/>
  </si>
  <si>
    <t>障碍类型</t>
    <phoneticPr fontId="1" type="noConversion"/>
  </si>
  <si>
    <t>UP_OUT</t>
    <phoneticPr fontId="1" type="noConversion"/>
  </si>
  <si>
    <t>是否双含</t>
    <phoneticPr fontId="1" type="noConversion"/>
  </si>
  <si>
    <t>销售佣金</t>
    <phoneticPr fontId="1" type="noConversion"/>
  </si>
  <si>
    <t>股指期货保证金比例</t>
    <phoneticPr fontId="1" type="noConversion"/>
  </si>
  <si>
    <t>年化贴水</t>
    <phoneticPr fontId="1" type="noConversion"/>
  </si>
  <si>
    <t>对冲成本</t>
    <phoneticPr fontId="1" type="noConversion"/>
  </si>
  <si>
    <t>波动率</t>
    <phoneticPr fontId="1" type="noConversion"/>
  </si>
  <si>
    <t>GYZQ-DFCF-OPT-20240614-02</t>
    <phoneticPr fontId="1" type="noConversion"/>
  </si>
  <si>
    <t>CW20230031C0014</t>
    <phoneticPr fontId="1" type="noConversion"/>
  </si>
  <si>
    <t>MAX LOSS</t>
    <phoneticPr fontId="1" type="noConversion"/>
  </si>
  <si>
    <t>是否每日观察</t>
    <phoneticPr fontId="1" type="noConversion"/>
  </si>
  <si>
    <t>绝对后端返息</t>
    <phoneticPr fontId="1" type="noConversion"/>
  </si>
  <si>
    <t>年化后端返息</t>
    <phoneticPr fontId="1" type="noConversion"/>
  </si>
  <si>
    <t>GYZQ-DWZQ-OPT-20240627-01</t>
    <phoneticPr fontId="1" type="noConversion"/>
  </si>
  <si>
    <t>CW20230030C0005</t>
    <phoneticPr fontId="1" type="noConversion"/>
  </si>
  <si>
    <t>SRKX98</t>
    <phoneticPr fontId="1" type="noConversion"/>
  </si>
  <si>
    <t>SRKX96</t>
    <phoneticPr fontId="1" type="noConversion"/>
  </si>
  <si>
    <t>GYZQ-ZSZQ-OPT-20240222-01</t>
  </si>
  <si>
    <t>GYZQ-ZSZQ-OPT-20240222-02</t>
  </si>
  <si>
    <t>GYZQ-ZSZQ-OPT-20240223-01</t>
  </si>
  <si>
    <t>GYZQ-YBTZ-OPT-20240325-01</t>
  </si>
  <si>
    <t>GYZQ-YBTZ-OPT-20240325-02</t>
  </si>
  <si>
    <t>GYZQ-YBTZ-OPT-20240327-01</t>
  </si>
  <si>
    <t>GYZQ-YBTZ-OPT-20240327-02</t>
  </si>
  <si>
    <t>GYZQ-YBTZ-OPT-20240327-03</t>
  </si>
  <si>
    <t>GYZQ-GXZQ-OPT-20240328-01</t>
  </si>
  <si>
    <t>GYZQ-CTZQ-OPT-20240328-01</t>
  </si>
  <si>
    <t>GYZQ-CTZQ-OPT-20240329-01</t>
  </si>
  <si>
    <t>GYZQ-CTZQ-OPT-20240329-02</t>
  </si>
  <si>
    <t>GYZQ-CTZQ-OPT-20240329-03</t>
  </si>
  <si>
    <t>GYZQ-CTZQ-OPT-20240401-01</t>
  </si>
  <si>
    <t>GYZQ-CTZQ-OPT-20240401-02</t>
  </si>
  <si>
    <t>GYZQ-CTZQ-OPT-20240401-03</t>
  </si>
  <si>
    <t>GYZQ-DFCF-OPT-20240403-01</t>
  </si>
  <si>
    <t>GYZQ-DFCF-OPT-20240403-02</t>
  </si>
  <si>
    <t>GYZQ-DFCF-OPT-20240411-03</t>
  </si>
  <si>
    <t>GYZQ-DWZQ-OPT-20240627-01</t>
  </si>
  <si>
    <t>CW20230031C0015</t>
    <phoneticPr fontId="1" type="noConversion"/>
  </si>
  <si>
    <t>CW20230031C0017</t>
    <phoneticPr fontId="1" type="noConversion"/>
  </si>
  <si>
    <t>GYZQ-DFCF-OPT-20240709-01</t>
    <phoneticPr fontId="1" type="noConversion"/>
  </si>
  <si>
    <t>GYZQ-CTZQ-OPT-20240723-01</t>
    <phoneticPr fontId="1" type="noConversion"/>
  </si>
  <si>
    <t>CW20210004C0019</t>
    <phoneticPr fontId="1" type="noConversion"/>
  </si>
  <si>
    <t>command failed, is_knock_in Conversion to Bool</t>
  </si>
  <si>
    <t>GYZQ-CMB-OPT-20240813-01</t>
  </si>
  <si>
    <t>CW20210017C0013</t>
    <phoneticPr fontId="1" type="noConversion"/>
  </si>
  <si>
    <t>GYZQ-CMB-OPT-20240827-01</t>
  </si>
  <si>
    <t>香草期权</t>
    <phoneticPr fontId="1" type="noConversion"/>
  </si>
  <si>
    <t>GYZQ-ZSZQ-OPT-20240828-01</t>
    <phoneticPr fontId="1" type="noConversion"/>
  </si>
  <si>
    <t>GYZQ-ZSZQ-OPT-20240828-02</t>
  </si>
  <si>
    <t>GYZQ-ZSZQ-OPT-20240828-03</t>
  </si>
  <si>
    <t>CW20210017C0014</t>
  </si>
  <si>
    <t>CW20230028C0049</t>
    <phoneticPr fontId="1" type="noConversion"/>
  </si>
  <si>
    <t>GYZQ-DFCF-OPT-20240906-01</t>
    <phoneticPr fontId="1" type="noConversion"/>
  </si>
  <si>
    <t>GYZQ-DFCF-OPT-20240906-02</t>
  </si>
  <si>
    <t>CW20230031C0025</t>
  </si>
  <si>
    <t>CW20230031C0026</t>
  </si>
  <si>
    <t>GYZQ-DFCF-OPT-20240909-01</t>
    <phoneticPr fontId="1" type="noConversion"/>
  </si>
  <si>
    <t>GYZQ-CJSC-OPT-20240328-02</t>
    <phoneticPr fontId="1" type="noConversion"/>
  </si>
  <si>
    <t>CW20210004C0008</t>
    <phoneticPr fontId="1" type="noConversion"/>
  </si>
  <si>
    <t>CW20210004C0009</t>
    <phoneticPr fontId="1" type="noConversion"/>
  </si>
  <si>
    <t>CW20210004C0010</t>
    <phoneticPr fontId="1" type="noConversion"/>
  </si>
  <si>
    <t>CW20230031C0027</t>
    <phoneticPr fontId="1" type="noConversion"/>
  </si>
  <si>
    <t>GYZQ-CJSC-OPT-20240606-01</t>
    <phoneticPr fontId="1" type="noConversion"/>
  </si>
  <si>
    <t>CW20210004C0011</t>
    <phoneticPr fontId="1" type="noConversion"/>
  </si>
  <si>
    <t>CW20210004C0012</t>
    <phoneticPr fontId="1" type="noConversion"/>
  </si>
  <si>
    <t>CW20210004C0013</t>
    <phoneticPr fontId="1" type="noConversion"/>
  </si>
  <si>
    <t>CW20230035C0009</t>
    <phoneticPr fontId="1" type="noConversion"/>
  </si>
  <si>
    <t>元鼎尊享133号</t>
    <phoneticPr fontId="1" type="noConversion"/>
  </si>
  <si>
    <t>GYZQ-DFCF-OPT-20240704-01</t>
    <phoneticPr fontId="1" type="noConversion"/>
  </si>
  <si>
    <t>GYZQ-DFCF-OPT-20240704-03</t>
    <phoneticPr fontId="1" type="noConversion"/>
  </si>
  <si>
    <t>元鼎尊享131号</t>
    <phoneticPr fontId="1" type="noConversion"/>
  </si>
  <si>
    <t>CW20230031C0020</t>
    <phoneticPr fontId="1" type="noConversion"/>
  </si>
  <si>
    <t>收益凭证</t>
  </si>
  <si>
    <t xml:space="preserve">SRRE38 </t>
  </si>
  <si>
    <t>元鼎尊享138号</t>
    <phoneticPr fontId="1" type="noConversion"/>
  </si>
  <si>
    <t>CW20230035C0005</t>
    <phoneticPr fontId="1" type="noConversion"/>
  </si>
  <si>
    <t>CW20230035C0006</t>
    <phoneticPr fontId="1" type="noConversion"/>
  </si>
  <si>
    <t>CW20230028C0050</t>
    <phoneticPr fontId="1" type="noConversion"/>
  </si>
  <si>
    <t>CW20230028C0051</t>
    <phoneticPr fontId="1" type="noConversion"/>
  </si>
  <si>
    <t>结束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</si>
</sst>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0.00_ "/>
    <numFmt numFmtId="177" formatCode="0.00000000_ "/>
    <numFmt numFmtId="178" formatCode="yyyy/m/d\ h:mm;@"/>
    <numFmt numFmtId="179" formatCode="#,##0.00_ "/>
    <numFmt numFmtId="180" formatCode="0.000%"/>
    <numFmt numFmtId="181" formatCode="#,##0.0000_ "/>
    <numFmt numFmtId="182" formatCode="0.0000_);[Red]\(0.0000\)"/>
    <numFmt numFmtId="183" formatCode="#,##0.0000"/>
    <numFmt numFmtId="184" formatCode="0.000000_ "/>
    <numFmt numFmtId="185" formatCode="0.0000%"/>
    <numFmt numFmtId="186" formatCode="0.0000_ "/>
    <numFmt numFmtId="187" formatCode="0_);[Red]\(0\)"/>
    <numFmt numFmtId="188" formatCode="0.00_);[Red]\(0.00\)"/>
    <numFmt numFmtId="189" formatCode="#,##0.00000000000_ "/>
    <numFmt numFmtId="190" formatCode="#,##0_);[Red]\(#,##0\)"/>
    <numFmt numFmtId="191" formatCode="0.00000_ "/>
  </numFmts>
  <fonts count="3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仿宋"/>
      <family val="3"/>
      <charset val="134"/>
    </font>
    <font>
      <b/>
      <sz val="11"/>
      <color theme="1" tint="0.499984740745262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theme="1" tint="0.249977111117893"/>
      <name val="Times New Roman"/>
      <family val="1"/>
    </font>
    <font>
      <sz val="11"/>
      <color theme="1" tint="0.499984740745262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 tint="0.499984740745262"/>
      <name val="等线"/>
      <family val="2"/>
      <charset val="134"/>
      <scheme val="minor"/>
    </font>
    <font>
      <b/>
      <sz val="11"/>
      <color theme="0"/>
      <name val="仿宋"/>
      <family val="3"/>
      <charset val="134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color theme="2" tint="-0.249977111117893"/>
      <name val="仿宋"/>
      <family val="3"/>
      <charset val="134"/>
    </font>
    <font>
      <sz val="11"/>
      <name val="仿宋"/>
      <family val="3"/>
      <charset val="134"/>
    </font>
    <font>
      <sz val="11"/>
      <color theme="2" tint="-0.249977111117893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仿宋"/>
      <family val="3"/>
      <charset val="134"/>
    </font>
    <font>
      <sz val="12"/>
      <color theme="1"/>
      <name val="仿宋"/>
      <family val="3"/>
      <charset val="134"/>
    </font>
    <font>
      <b/>
      <sz val="11"/>
      <color rgb="FFC00000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4" tint="0.39997558519241921"/>
      <name val="等线"/>
      <family val="2"/>
      <charset val="134"/>
      <scheme val="minor"/>
    </font>
    <font>
      <sz val="11"/>
      <color theme="4" tint="0.39997558519241921"/>
      <name val="等线"/>
      <family val="3"/>
      <charset val="134"/>
      <scheme val="minor"/>
    </font>
    <font>
      <sz val="11"/>
      <color rgb="FFFF0000"/>
      <name val="仿宋"/>
      <family val="3"/>
      <charset val="134"/>
    </font>
    <font>
      <i/>
      <sz val="11"/>
      <color rgb="FF7F7F7F"/>
      <name val="等线"/>
      <family val="2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BEF"/>
        <bgColor indexed="64"/>
      </patternFill>
    </fill>
    <fill>
      <patternFill patternType="solid">
        <fgColor theme="6" tint="0.79998168889431442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6" fillId="0" borderId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173">
    <xf numFmtId="0" fontId="0" fillId="0" borderId="0" xfId="0">
      <alignment vertical="center"/>
    </xf>
    <xf numFmtId="176" fontId="3" fillId="3" borderId="1" xfId="1" applyNumberFormat="1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right" vertical="center"/>
    </xf>
    <xf numFmtId="0" fontId="2" fillId="2" borderId="0" xfId="1">
      <alignment vertical="center"/>
    </xf>
    <xf numFmtId="0" fontId="8" fillId="3" borderId="6" xfId="1" applyFont="1" applyFill="1" applyBorder="1">
      <alignment vertical="center"/>
    </xf>
    <xf numFmtId="0" fontId="8" fillId="3" borderId="7" xfId="1" applyFont="1" applyFill="1" applyBorder="1">
      <alignment vertical="center"/>
    </xf>
    <xf numFmtId="0" fontId="8" fillId="3" borderId="7" xfId="1" applyFont="1" applyFill="1" applyBorder="1" applyAlignment="1">
      <alignment horizontal="right" vertical="center"/>
    </xf>
    <xf numFmtId="0" fontId="8" fillId="3" borderId="8" xfId="1" applyFont="1" applyFill="1" applyBorder="1">
      <alignment vertical="center"/>
    </xf>
    <xf numFmtId="0" fontId="8" fillId="3" borderId="9" xfId="1" applyFont="1" applyFill="1" applyBorder="1">
      <alignment vertical="center"/>
    </xf>
    <xf numFmtId="0" fontId="12" fillId="3" borderId="0" xfId="1" applyFont="1" applyFill="1" applyBorder="1" applyAlignment="1">
      <alignment horizontal="left" vertical="center"/>
    </xf>
    <xf numFmtId="0" fontId="13" fillId="3" borderId="0" xfId="1" applyFont="1" applyFill="1" applyBorder="1">
      <alignment vertical="center"/>
    </xf>
    <xf numFmtId="0" fontId="13" fillId="3" borderId="10" xfId="1" applyFont="1" applyFill="1" applyBorder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right" vertical="center"/>
    </xf>
    <xf numFmtId="0" fontId="10" fillId="3" borderId="3" xfId="3" applyFill="1">
      <alignment vertical="center"/>
    </xf>
    <xf numFmtId="0" fontId="8" fillId="3" borderId="0" xfId="1" applyFont="1" applyFill="1" applyBorder="1" applyAlignment="1">
      <alignment horizontal="left" vertical="center"/>
    </xf>
    <xf numFmtId="14" fontId="2" fillId="2" borderId="0" xfId="1" applyNumberFormat="1">
      <alignment vertical="center"/>
    </xf>
    <xf numFmtId="9" fontId="2" fillId="2" borderId="0" xfId="1" applyNumberFormat="1">
      <alignment vertical="center"/>
    </xf>
    <xf numFmtId="0" fontId="13" fillId="3" borderId="0" xfId="1" applyFont="1" applyFill="1" applyBorder="1" applyAlignment="1">
      <alignment vertical="center"/>
    </xf>
    <xf numFmtId="0" fontId="0" fillId="0" borderId="9" xfId="0" applyBorder="1">
      <alignment vertical="center"/>
    </xf>
    <xf numFmtId="0" fontId="8" fillId="3" borderId="11" xfId="1" applyFont="1" applyFill="1" applyBorder="1">
      <alignment vertical="center"/>
    </xf>
    <xf numFmtId="14" fontId="13" fillId="3" borderId="5" xfId="1" applyNumberFormat="1" applyFont="1" applyFill="1" applyBorder="1">
      <alignment vertical="center"/>
    </xf>
    <xf numFmtId="0" fontId="13" fillId="3" borderId="12" xfId="1" applyFont="1" applyFill="1" applyBorder="1">
      <alignment vertical="center"/>
    </xf>
    <xf numFmtId="176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9" fontId="15" fillId="11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81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8" fillId="3" borderId="0" xfId="0" applyFont="1" applyFill="1">
      <alignment vertical="center"/>
    </xf>
    <xf numFmtId="14" fontId="15" fillId="14" borderId="0" xfId="0" applyNumberFormat="1" applyFont="1" applyFill="1" applyAlignment="1">
      <alignment horizontal="center" vertical="center"/>
    </xf>
    <xf numFmtId="9" fontId="15" fillId="14" borderId="0" xfId="0" applyNumberFormat="1" applyFont="1" applyFill="1" applyAlignment="1">
      <alignment horizontal="center" vertical="center"/>
    </xf>
    <xf numFmtId="182" fontId="5" fillId="8" borderId="1" xfId="0" applyNumberFormat="1" applyFont="1" applyFill="1" applyBorder="1" applyAlignment="1">
      <alignment horizontal="center" vertical="center"/>
    </xf>
    <xf numFmtId="0" fontId="5" fillId="8" borderId="1" xfId="5" applyFont="1" applyFill="1" applyBorder="1" applyAlignment="1">
      <alignment horizontal="center" vertical="center"/>
    </xf>
    <xf numFmtId="14" fontId="5" fillId="13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76" fontId="3" fillId="4" borderId="13" xfId="1" applyNumberFormat="1" applyFont="1" applyFill="1" applyBorder="1" applyAlignment="1">
      <alignment horizontal="center" vertical="center"/>
    </xf>
    <xf numFmtId="178" fontId="6" fillId="4" borderId="14" xfId="0" applyNumberFormat="1" applyFont="1" applyFill="1" applyBorder="1">
      <alignment vertical="center"/>
    </xf>
    <xf numFmtId="182" fontId="6" fillId="4" borderId="15" xfId="0" applyNumberFormat="1" applyFont="1" applyFill="1" applyBorder="1">
      <alignment vertical="center"/>
    </xf>
    <xf numFmtId="10" fontId="6" fillId="4" borderId="16" xfId="0" applyNumberFormat="1" applyFont="1" applyFill="1" applyBorder="1">
      <alignment vertical="center"/>
    </xf>
    <xf numFmtId="176" fontId="3" fillId="3" borderId="17" xfId="1" applyNumberFormat="1" applyFont="1" applyFill="1" applyBorder="1" applyAlignment="1">
      <alignment horizontal="center" vertical="center"/>
    </xf>
    <xf numFmtId="184" fontId="4" fillId="4" borderId="18" xfId="1" applyNumberFormat="1" applyFont="1" applyFill="1" applyBorder="1" applyAlignment="1">
      <alignment horizontal="center" vertical="center"/>
    </xf>
    <xf numFmtId="184" fontId="4" fillId="4" borderId="19" xfId="1" applyNumberFormat="1" applyFont="1" applyFill="1" applyBorder="1" applyAlignment="1">
      <alignment horizontal="center" vertical="center"/>
    </xf>
    <xf numFmtId="184" fontId="7" fillId="4" borderId="20" xfId="0" applyNumberFormat="1" applyFont="1" applyFill="1" applyBorder="1">
      <alignment vertical="center"/>
    </xf>
    <xf numFmtId="184" fontId="7" fillId="4" borderId="15" xfId="0" applyNumberFormat="1" applyFont="1" applyFill="1" applyBorder="1">
      <alignment vertical="center"/>
    </xf>
    <xf numFmtId="184" fontId="7" fillId="4" borderId="16" xfId="0" applyNumberFormat="1" applyFont="1" applyFill="1" applyBorder="1">
      <alignment vertical="center"/>
    </xf>
    <xf numFmtId="184" fontId="0" fillId="4" borderId="20" xfId="0" applyNumberFormat="1" applyFill="1" applyBorder="1">
      <alignment vertical="center"/>
    </xf>
    <xf numFmtId="184" fontId="0" fillId="4" borderId="15" xfId="0" applyNumberFormat="1" applyFill="1" applyBorder="1">
      <alignment vertical="center"/>
    </xf>
    <xf numFmtId="182" fontId="6" fillId="4" borderId="16" xfId="0" applyNumberFormat="1" applyFont="1" applyFill="1" applyBorder="1">
      <alignment vertical="center"/>
    </xf>
    <xf numFmtId="185" fontId="0" fillId="0" borderId="0" xfId="0" applyNumberFormat="1">
      <alignment vertical="center"/>
    </xf>
    <xf numFmtId="10" fontId="0" fillId="0" borderId="0" xfId="0" applyNumberFormat="1">
      <alignment vertical="center"/>
    </xf>
    <xf numFmtId="10" fontId="20" fillId="0" borderId="2" xfId="5" applyNumberFormat="1" applyFont="1" applyBorder="1">
      <alignment vertical="center"/>
    </xf>
    <xf numFmtId="10" fontId="2" fillId="2" borderId="0" xfId="1" applyNumberFormat="1">
      <alignment vertical="center"/>
    </xf>
    <xf numFmtId="10" fontId="13" fillId="3" borderId="5" xfId="1" applyNumberFormat="1" applyFont="1" applyFill="1" applyBorder="1">
      <alignment vertical="center"/>
    </xf>
    <xf numFmtId="10" fontId="0" fillId="3" borderId="0" xfId="0" applyNumberFormat="1" applyFill="1">
      <alignment vertical="center"/>
    </xf>
    <xf numFmtId="14" fontId="13" fillId="3" borderId="0" xfId="1" applyNumberFormat="1" applyFont="1" applyFill="1" applyBorder="1" applyAlignment="1">
      <alignment horizontal="right" vertical="center"/>
    </xf>
    <xf numFmtId="14" fontId="13" fillId="3" borderId="0" xfId="1" applyNumberFormat="1" applyFont="1" applyFill="1" applyBorder="1">
      <alignment vertical="center"/>
    </xf>
    <xf numFmtId="10" fontId="13" fillId="3" borderId="0" xfId="1" applyNumberFormat="1" applyFont="1" applyFill="1" applyBorder="1" applyAlignment="1">
      <alignment horizontal="right" vertical="center"/>
    </xf>
    <xf numFmtId="10" fontId="13" fillId="3" borderId="0" xfId="1" applyNumberFormat="1" applyFont="1" applyFill="1" applyBorder="1">
      <alignment vertical="center"/>
    </xf>
    <xf numFmtId="185" fontId="0" fillId="0" borderId="0" xfId="0" applyNumberFormat="1" applyAlignment="1">
      <alignment horizontal="left" vertical="center"/>
    </xf>
    <xf numFmtId="14" fontId="0" fillId="3" borderId="0" xfId="0" applyNumberFormat="1" applyFill="1">
      <alignment vertical="center"/>
    </xf>
    <xf numFmtId="10" fontId="8" fillId="3" borderId="7" xfId="1" applyNumberFormat="1" applyFont="1" applyFill="1" applyBorder="1">
      <alignment vertical="center"/>
    </xf>
    <xf numFmtId="14" fontId="8" fillId="3" borderId="7" xfId="1" applyNumberFormat="1" applyFont="1" applyFill="1" applyBorder="1">
      <alignment vertical="center"/>
    </xf>
    <xf numFmtId="183" fontId="3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3" fontId="3" fillId="3" borderId="1" xfId="1" applyNumberFormat="1" applyFont="1" applyFill="1" applyBorder="1" applyAlignment="1">
      <alignment horizontal="center" vertical="center"/>
    </xf>
    <xf numFmtId="3" fontId="3" fillId="3" borderId="13" xfId="1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6" fontId="22" fillId="0" borderId="0" xfId="0" applyNumberFormat="1" applyFont="1">
      <alignment vertical="center"/>
    </xf>
    <xf numFmtId="0" fontId="5" fillId="15" borderId="1" xfId="0" applyFont="1" applyFill="1" applyBorder="1" applyAlignment="1">
      <alignment horizontal="center" vertical="center"/>
    </xf>
    <xf numFmtId="182" fontId="5" fillId="15" borderId="1" xfId="0" applyNumberFormat="1" applyFont="1" applyFill="1" applyBorder="1" applyAlignment="1">
      <alignment horizontal="center" vertical="center"/>
    </xf>
    <xf numFmtId="0" fontId="5" fillId="15" borderId="1" xfId="5" applyFont="1" applyFill="1" applyBorder="1" applyAlignment="1">
      <alignment horizontal="center" vertical="center"/>
    </xf>
    <xf numFmtId="14" fontId="5" fillId="15" borderId="1" xfId="5" applyNumberFormat="1" applyFont="1" applyFill="1" applyBorder="1" applyAlignment="1">
      <alignment horizontal="center" vertical="center"/>
    </xf>
    <xf numFmtId="14" fontId="5" fillId="15" borderId="1" xfId="0" applyNumberFormat="1" applyFont="1" applyFill="1" applyBorder="1" applyAlignment="1">
      <alignment horizontal="center" vertical="center"/>
    </xf>
    <xf numFmtId="10" fontId="5" fillId="15" borderId="1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87" fontId="0" fillId="0" borderId="0" xfId="0" applyNumberFormat="1">
      <alignment vertical="center"/>
    </xf>
    <xf numFmtId="187" fontId="0" fillId="0" borderId="0" xfId="0" applyNumberFormat="1" applyAlignment="1">
      <alignment horizontal="left" vertical="center"/>
    </xf>
    <xf numFmtId="0" fontId="13" fillId="3" borderId="5" xfId="1" applyFont="1" applyFill="1" applyBorder="1">
      <alignment vertical="center"/>
    </xf>
    <xf numFmtId="14" fontId="12" fillId="3" borderId="5" xfId="1" applyNumberFormat="1" applyFont="1" applyFill="1" applyBorder="1">
      <alignment vertical="center"/>
    </xf>
    <xf numFmtId="188" fontId="0" fillId="0" borderId="0" xfId="0" applyNumberFormat="1">
      <alignment vertical="center"/>
    </xf>
    <xf numFmtId="14" fontId="8" fillId="3" borderId="0" xfId="1" applyNumberFormat="1" applyFont="1" applyFill="1" applyBorder="1">
      <alignment vertical="center"/>
    </xf>
    <xf numFmtId="185" fontId="0" fillId="0" borderId="22" xfId="0" applyNumberFormat="1" applyBorder="1" applyAlignment="1">
      <alignment horizontal="right" vertical="center" indent="1"/>
    </xf>
    <xf numFmtId="0" fontId="24" fillId="0" borderId="23" xfId="0" applyFont="1" applyBorder="1" applyAlignment="1">
      <alignment horizontal="right" vertical="center" indent="1"/>
    </xf>
    <xf numFmtId="185" fontId="0" fillId="0" borderId="21" xfId="0" applyNumberFormat="1" applyBorder="1" applyAlignment="1">
      <alignment horizontal="right" vertical="center" indent="1"/>
    </xf>
    <xf numFmtId="0" fontId="24" fillId="0" borderId="2" xfId="0" applyFont="1" applyBorder="1" applyAlignment="1">
      <alignment horizontal="right" vertical="center" indent="1"/>
    </xf>
    <xf numFmtId="186" fontId="0" fillId="0" borderId="21" xfId="0" applyNumberFormat="1" applyBorder="1" applyAlignment="1">
      <alignment horizontal="right" vertical="center" indent="1"/>
    </xf>
    <xf numFmtId="179" fontId="14" fillId="3" borderId="26" xfId="4" applyNumberFormat="1" applyFont="1" applyFill="1" applyBorder="1" applyAlignment="1">
      <alignment horizontal="right" vertical="center"/>
    </xf>
    <xf numFmtId="179" fontId="7" fillId="3" borderId="3" xfId="3" applyNumberFormat="1" applyFont="1" applyFill="1" applyAlignment="1">
      <alignment horizontal="right" vertical="center"/>
    </xf>
    <xf numFmtId="10" fontId="10" fillId="10" borderId="3" xfId="3" applyNumberFormat="1" applyFill="1" applyAlignment="1">
      <alignment horizontal="right" vertical="center"/>
    </xf>
    <xf numFmtId="177" fontId="25" fillId="0" borderId="0" xfId="0" applyNumberFormat="1" applyFont="1" applyAlignment="1">
      <alignment horizontal="right" vertical="center"/>
    </xf>
    <xf numFmtId="10" fontId="9" fillId="10" borderId="3" xfId="2" applyNumberFormat="1" applyFill="1" applyBorder="1" applyAlignment="1">
      <alignment horizontal="right" vertical="center"/>
    </xf>
    <xf numFmtId="0" fontId="13" fillId="3" borderId="0" xfId="1" applyFont="1" applyFill="1" applyBorder="1" applyAlignment="1">
      <alignment horizontal="left" vertical="center"/>
    </xf>
    <xf numFmtId="9" fontId="0" fillId="0" borderId="0" xfId="0" applyNumberFormat="1">
      <alignment vertical="center"/>
    </xf>
    <xf numFmtId="10" fontId="7" fillId="4" borderId="3" xfId="3" applyNumberFormat="1" applyFont="1" applyFill="1" applyAlignment="1">
      <alignment horizontal="right" vertical="center"/>
    </xf>
    <xf numFmtId="10" fontId="9" fillId="9" borderId="3" xfId="2" applyNumberFormat="1" applyFill="1" applyBorder="1" applyAlignment="1">
      <alignment horizontal="right" vertical="center"/>
    </xf>
    <xf numFmtId="176" fontId="6" fillId="0" borderId="0" xfId="0" applyNumberFormat="1" applyFont="1">
      <alignment vertical="center"/>
    </xf>
    <xf numFmtId="14" fontId="10" fillId="8" borderId="3" xfId="3" applyNumberFormat="1" applyFill="1" applyAlignment="1">
      <alignment horizontal="right" vertical="center"/>
    </xf>
    <xf numFmtId="186" fontId="10" fillId="3" borderId="3" xfId="3" applyNumberFormat="1" applyFill="1" applyAlignment="1">
      <alignment horizontal="right" vertical="center"/>
    </xf>
    <xf numFmtId="0" fontId="26" fillId="2" borderId="5" xfId="1" applyFont="1" applyBorder="1" applyAlignment="1">
      <alignment vertical="center"/>
    </xf>
    <xf numFmtId="0" fontId="26" fillId="2" borderId="0" xfId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80" fontId="10" fillId="10" borderId="3" xfId="3" applyNumberFormat="1" applyFill="1" applyAlignment="1">
      <alignment horizontal="right" vertical="center"/>
    </xf>
    <xf numFmtId="176" fontId="15" fillId="16" borderId="0" xfId="0" applyNumberFormat="1" applyFont="1" applyFill="1" applyAlignment="1">
      <alignment horizontal="center" vertical="center"/>
    </xf>
    <xf numFmtId="0" fontId="0" fillId="17" borderId="1" xfId="0" applyFill="1" applyBorder="1">
      <alignment vertical="center"/>
    </xf>
    <xf numFmtId="0" fontId="5" fillId="17" borderId="1" xfId="0" applyFont="1" applyFill="1" applyBorder="1" applyAlignment="1">
      <alignment horizontal="center" vertical="center"/>
    </xf>
    <xf numFmtId="179" fontId="28" fillId="0" borderId="0" xfId="0" applyNumberFormat="1" applyFont="1">
      <alignment vertical="center"/>
    </xf>
    <xf numFmtId="189" fontId="0" fillId="0" borderId="0" xfId="0" applyNumberFormat="1">
      <alignment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5" applyFont="1" applyFill="1" applyBorder="1" applyAlignment="1">
      <alignment horizontal="center" vertical="center"/>
    </xf>
    <xf numFmtId="182" fontId="5" fillId="12" borderId="1" xfId="0" applyNumberFormat="1" applyFont="1" applyFill="1" applyBorder="1" applyAlignment="1">
      <alignment horizontal="center" vertical="center"/>
    </xf>
    <xf numFmtId="14" fontId="5" fillId="18" borderId="1" xfId="0" applyNumberFormat="1" applyFont="1" applyFill="1" applyBorder="1" applyAlignment="1">
      <alignment horizontal="center" vertical="center"/>
    </xf>
    <xf numFmtId="9" fontId="13" fillId="3" borderId="0" xfId="1" applyNumberFormat="1" applyFont="1" applyFill="1" applyBorder="1">
      <alignment vertical="center"/>
    </xf>
    <xf numFmtId="0" fontId="26" fillId="2" borderId="0" xfId="1" applyFont="1" applyBorder="1" applyAlignment="1">
      <alignment vertical="center"/>
    </xf>
    <xf numFmtId="14" fontId="29" fillId="3" borderId="0" xfId="1" applyNumberFormat="1" applyFont="1" applyFill="1" applyBorder="1">
      <alignment vertical="center"/>
    </xf>
    <xf numFmtId="180" fontId="29" fillId="3" borderId="0" xfId="1" applyNumberFormat="1" applyFont="1" applyFill="1" applyBorder="1">
      <alignment vertical="center"/>
    </xf>
    <xf numFmtId="14" fontId="29" fillId="3" borderId="0" xfId="1" applyNumberFormat="1" applyFont="1" applyFill="1" applyBorder="1" applyAlignment="1">
      <alignment horizontal="right" vertical="center"/>
    </xf>
    <xf numFmtId="0" fontId="13" fillId="3" borderId="0" xfId="1" applyFont="1" applyFill="1" applyBorder="1" applyAlignment="1">
      <alignment horizontal="right" vertical="center"/>
    </xf>
    <xf numFmtId="190" fontId="5" fillId="15" borderId="1" xfId="0" applyNumberFormat="1" applyFont="1" applyFill="1" applyBorder="1" applyAlignment="1">
      <alignment horizontal="center" vertical="center"/>
    </xf>
    <xf numFmtId="190" fontId="5" fillId="15" borderId="1" xfId="5" applyNumberFormat="1" applyFont="1" applyFill="1" applyBorder="1" applyAlignment="1">
      <alignment horizontal="center" vertical="center"/>
    </xf>
    <xf numFmtId="190" fontId="5" fillId="13" borderId="1" xfId="0" applyNumberFormat="1" applyFont="1" applyFill="1" applyBorder="1" applyAlignment="1">
      <alignment horizontal="center" vertical="center"/>
    </xf>
    <xf numFmtId="190" fontId="5" fillId="18" borderId="1" xfId="0" applyNumberFormat="1" applyFont="1" applyFill="1" applyBorder="1" applyAlignment="1">
      <alignment horizontal="center" vertical="center"/>
    </xf>
    <xf numFmtId="184" fontId="4" fillId="4" borderId="27" xfId="1" applyNumberFormat="1" applyFont="1" applyFill="1" applyBorder="1" applyAlignment="1">
      <alignment horizontal="center" vertical="center"/>
    </xf>
    <xf numFmtId="0" fontId="30" fillId="2" borderId="0" xfId="1" applyFont="1" applyBorder="1" applyAlignment="1">
      <alignment vertical="center"/>
    </xf>
    <xf numFmtId="10" fontId="20" fillId="0" borderId="28" xfId="5" applyNumberFormat="1" applyFont="1" applyBorder="1">
      <alignment vertical="center"/>
    </xf>
    <xf numFmtId="0" fontId="30" fillId="2" borderId="5" xfId="1" applyFont="1" applyBorder="1" applyAlignment="1">
      <alignment vertical="center"/>
    </xf>
    <xf numFmtId="184" fontId="0" fillId="4" borderId="16" xfId="0" applyNumberFormat="1" applyFill="1" applyBorder="1">
      <alignment vertical="center"/>
    </xf>
    <xf numFmtId="185" fontId="8" fillId="3" borderId="7" xfId="1" applyNumberFormat="1" applyFont="1" applyFill="1" applyBorder="1">
      <alignment vertical="center"/>
    </xf>
    <xf numFmtId="185" fontId="13" fillId="3" borderId="0" xfId="1" applyNumberFormat="1" applyFont="1" applyFill="1" applyBorder="1">
      <alignment vertical="center"/>
    </xf>
    <xf numFmtId="0" fontId="31" fillId="3" borderId="0" xfId="1" applyFont="1" applyFill="1" applyBorder="1" applyAlignment="1">
      <alignment horizontal="left" vertical="center"/>
    </xf>
    <xf numFmtId="181" fontId="7" fillId="3" borderId="0" xfId="3" applyNumberFormat="1" applyFont="1" applyFill="1" applyBorder="1" applyAlignment="1">
      <alignment horizontal="right" vertical="center"/>
    </xf>
    <xf numFmtId="0" fontId="12" fillId="3" borderId="29" xfId="1" applyFont="1" applyFill="1" applyBorder="1" applyAlignment="1">
      <alignment horizontal="left" vertical="center"/>
    </xf>
    <xf numFmtId="14" fontId="10" fillId="8" borderId="30" xfId="3" applyNumberFormat="1" applyFill="1" applyBorder="1" applyAlignment="1">
      <alignment horizontal="right" vertical="center"/>
    </xf>
    <xf numFmtId="0" fontId="12" fillId="3" borderId="31" xfId="1" applyFont="1" applyFill="1" applyBorder="1" applyAlignment="1">
      <alignment horizontal="left" vertical="center"/>
    </xf>
    <xf numFmtId="10" fontId="9" fillId="10" borderId="32" xfId="2" applyNumberFormat="1" applyFill="1" applyBorder="1" applyAlignment="1">
      <alignment horizontal="right" vertical="center"/>
    </xf>
    <xf numFmtId="10" fontId="9" fillId="10" borderId="30" xfId="2" applyNumberFormat="1" applyFill="1" applyBorder="1" applyAlignment="1">
      <alignment horizontal="right" vertical="center"/>
    </xf>
    <xf numFmtId="0" fontId="8" fillId="3" borderId="33" xfId="1" applyFont="1" applyFill="1" applyBorder="1" applyAlignment="1">
      <alignment horizontal="left" vertical="center"/>
    </xf>
    <xf numFmtId="10" fontId="10" fillId="10" borderId="30" xfId="3" applyNumberFormat="1" applyFill="1" applyBorder="1" applyAlignment="1">
      <alignment horizontal="right" vertical="center"/>
    </xf>
    <xf numFmtId="0" fontId="8" fillId="3" borderId="31" xfId="1" applyFont="1" applyFill="1" applyBorder="1" applyAlignment="1">
      <alignment horizontal="left" vertical="center"/>
    </xf>
    <xf numFmtId="179" fontId="7" fillId="3" borderId="0" xfId="3" applyNumberFormat="1" applyFont="1" applyFill="1" applyBorder="1" applyAlignment="1">
      <alignment horizontal="right" vertical="center"/>
    </xf>
    <xf numFmtId="0" fontId="32" fillId="3" borderId="0" xfId="1" applyFont="1" applyFill="1" applyBorder="1" applyAlignment="1">
      <alignment horizontal="left" vertical="center"/>
    </xf>
    <xf numFmtId="179" fontId="14" fillId="3" borderId="0" xfId="4" applyNumberFormat="1" applyFont="1" applyFill="1" applyBorder="1" applyAlignment="1">
      <alignment horizontal="right" vertical="center"/>
    </xf>
    <xf numFmtId="176" fontId="0" fillId="0" borderId="21" xfId="0" applyNumberFormat="1" applyBorder="1" applyAlignment="1">
      <alignment horizontal="right" vertical="center" indent="1"/>
    </xf>
    <xf numFmtId="191" fontId="13" fillId="3" borderId="5" xfId="1" applyNumberFormat="1" applyFont="1" applyFill="1" applyBorder="1">
      <alignment vertical="center"/>
    </xf>
    <xf numFmtId="185" fontId="13" fillId="3" borderId="5" xfId="1" applyNumberFormat="1" applyFont="1" applyFill="1" applyBorder="1">
      <alignment vertical="center"/>
    </xf>
    <xf numFmtId="185" fontId="2" fillId="2" borderId="0" xfId="1" applyNumberFormat="1">
      <alignment vertical="center"/>
    </xf>
    <xf numFmtId="0" fontId="5" fillId="15" borderId="1" xfId="5" applyFont="1" applyFill="1" applyBorder="1" applyAlignment="1">
      <alignment horizontal="right" vertical="center"/>
    </xf>
    <xf numFmtId="0" fontId="5" fillId="8" borderId="1" xfId="5" applyFont="1" applyFill="1" applyBorder="1" applyAlignment="1">
      <alignment horizontal="right" vertical="center"/>
    </xf>
    <xf numFmtId="0" fontId="5" fillId="12" borderId="1" xfId="5" applyFont="1" applyFill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14" fontId="33" fillId="3" borderId="1" xfId="0" applyNumberFormat="1" applyFont="1" applyFill="1" applyBorder="1" applyAlignment="1">
      <alignment horizontal="center" vertical="center"/>
    </xf>
    <xf numFmtId="14" fontId="34" fillId="0" borderId="0" xfId="6" applyNumberFormat="1">
      <alignment vertical="center"/>
    </xf>
    <xf numFmtId="0" fontId="3" fillId="0" borderId="0" xfId="0" applyFont="1" applyAlignment="1">
      <alignment horizontal="center" vertical="center"/>
    </xf>
    <xf numFmtId="0" fontId="26" fillId="2" borderId="0" xfId="1" applyFont="1" applyAlignment="1">
      <alignment horizontal="center" vertical="center"/>
    </xf>
    <xf numFmtId="0" fontId="26" fillId="2" borderId="5" xfId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7" fillId="3" borderId="0" xfId="1" applyFont="1" applyFill="1" applyBorder="1" applyAlignment="1">
      <alignment horizontal="center" vertical="center"/>
    </xf>
    <xf numFmtId="0" fontId="30" fillId="2" borderId="0" xfId="1" applyFont="1" applyBorder="1" applyAlignment="1">
      <alignment horizontal="center" vertical="center"/>
    </xf>
    <xf numFmtId="0" fontId="30" fillId="2" borderId="5" xfId="1" applyFont="1" applyBorder="1" applyAlignment="1">
      <alignment horizontal="center" vertical="center"/>
    </xf>
  </cellXfs>
  <cellStyles count="7">
    <cellStyle name="差" xfId="2" builtinId="27"/>
    <cellStyle name="常规" xfId="0" builtinId="0"/>
    <cellStyle name="常规 2" xfId="5" xr:uid="{ED390A51-9F61-4777-B86C-B8CBF06BD10B}"/>
    <cellStyle name="解释性文本" xfId="6" builtinId="53"/>
    <cellStyle name="输出" xfId="4" builtinId="21"/>
    <cellStyle name="输入" xfId="3" builtinId="20"/>
    <cellStyle name="着色 3" xfId="1" builtinId="37"/>
  </cellStyles>
  <dxfs count="11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theme="7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D1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iFinD\ThsFunc.xla" TargetMode="External"/><Relationship Id="rId1" Type="http://schemas.openxmlformats.org/officeDocument/2006/relationships/externalLinkPath" Target="file:///C:\Program%20Files%20(x86)\iFinD\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2EF2-5DA6-44F8-AA63-C856F3F050E5}">
  <sheetPr codeName="Sheet1"/>
  <dimension ref="A1:AC59"/>
  <sheetViews>
    <sheetView topLeftCell="L27" zoomScaleNormal="100" workbookViewId="0">
      <selection activeCell="B10" sqref="B10"/>
    </sheetView>
  </sheetViews>
  <sheetFormatPr defaultRowHeight="13.8"/>
  <cols>
    <col min="1" max="1" width="11.109375" customWidth="1"/>
    <col min="2" max="2" width="26.5546875" customWidth="1"/>
    <col min="3" max="3" width="19" customWidth="1"/>
    <col min="4" max="4" width="10" bestFit="1" customWidth="1"/>
    <col min="5" max="5" width="10.44140625" bestFit="1" customWidth="1"/>
    <col min="6" max="6" width="13.33203125" customWidth="1"/>
    <col min="7" max="7" width="12.88671875" bestFit="1" customWidth="1"/>
    <col min="8" max="8" width="13.33203125" customWidth="1"/>
    <col min="9" max="9" width="14.109375" bestFit="1" customWidth="1"/>
    <col min="10" max="10" width="17.77734375" bestFit="1" customWidth="1"/>
    <col min="11" max="12" width="17.44140625" customWidth="1"/>
    <col min="13" max="13" width="12.88671875" style="34" bestFit="1" customWidth="1"/>
    <col min="14" max="16" width="14.33203125" style="34" customWidth="1"/>
    <col min="17" max="17" width="32.88671875" customWidth="1"/>
    <col min="18" max="18" width="10.109375" bestFit="1" customWidth="1"/>
    <col min="19" max="21" width="11.21875" bestFit="1" customWidth="1"/>
    <col min="22" max="22" width="9.109375" bestFit="1" customWidth="1"/>
    <col min="23" max="25" width="10.109375" bestFit="1" customWidth="1"/>
    <col min="26" max="26" width="9.109375" bestFit="1" customWidth="1"/>
    <col min="27" max="27" width="10.109375" bestFit="1" customWidth="1"/>
    <col min="28" max="28" width="9.109375" bestFit="1" customWidth="1"/>
    <col min="29" max="29" width="10.109375" bestFit="1" customWidth="1"/>
  </cols>
  <sheetData>
    <row r="1" spans="1:17" ht="14.4">
      <c r="B1" s="43" t="s">
        <v>51</v>
      </c>
      <c r="C1" s="43" t="s">
        <v>50</v>
      </c>
    </row>
    <row r="2" spans="1:17" ht="14.4">
      <c r="A2" s="164" t="s">
        <v>53</v>
      </c>
      <c r="B2" s="44">
        <f ca="1">NOW()-1</f>
        <v>45993.405250925927</v>
      </c>
      <c r="C2" s="73">
        <v>3890.0203000000001</v>
      </c>
    </row>
    <row r="3" spans="1:17" ht="14.4">
      <c r="A3" s="164"/>
      <c r="B3" s="45">
        <f ca="1">B2+7</f>
        <v>46000.405250925927</v>
      </c>
      <c r="C3" s="74">
        <f>[1]!thsiFinD("ths_close_price_index","000300",B2)</f>
        <v>0</v>
      </c>
    </row>
    <row r="4" spans="1:17" ht="14.4">
      <c r="A4" s="164"/>
      <c r="B4" s="45">
        <f ca="1">B3+7</f>
        <v>46007.405250925927</v>
      </c>
      <c r="J4" t="s">
        <v>117</v>
      </c>
    </row>
    <row r="6" spans="1:17" s="30" customFormat="1" ht="14.4">
      <c r="A6" s="28" t="s">
        <v>23</v>
      </c>
      <c r="B6" s="28" t="s">
        <v>24</v>
      </c>
      <c r="C6" s="28" t="s">
        <v>25</v>
      </c>
      <c r="D6" s="28" t="s">
        <v>26</v>
      </c>
      <c r="E6" s="28" t="s">
        <v>27</v>
      </c>
      <c r="F6" s="28" t="s">
        <v>28</v>
      </c>
      <c r="G6" s="28" t="s">
        <v>29</v>
      </c>
      <c r="H6" s="28" t="s">
        <v>30</v>
      </c>
      <c r="I6" s="28" t="s">
        <v>31</v>
      </c>
      <c r="J6" s="28" t="s">
        <v>32</v>
      </c>
      <c r="K6" s="29" t="s">
        <v>62</v>
      </c>
      <c r="L6" s="29" t="s">
        <v>65</v>
      </c>
      <c r="M6" s="36" t="s">
        <v>46</v>
      </c>
      <c r="N6" s="37" t="s">
        <v>47</v>
      </c>
      <c r="O6" s="112" t="s">
        <v>81</v>
      </c>
      <c r="P6" s="112" t="s">
        <v>82</v>
      </c>
      <c r="Q6" s="115" t="s">
        <v>92</v>
      </c>
    </row>
    <row r="7" spans="1:17" ht="14.4">
      <c r="A7" s="79">
        <v>1</v>
      </c>
      <c r="B7" s="80" t="s">
        <v>41</v>
      </c>
      <c r="C7" s="80" t="s">
        <v>37</v>
      </c>
      <c r="D7" s="81" t="s">
        <v>45</v>
      </c>
      <c r="E7" s="80" t="s">
        <v>35</v>
      </c>
      <c r="F7" s="80" t="s">
        <v>36</v>
      </c>
      <c r="G7" s="80">
        <v>3836.7026000000001</v>
      </c>
      <c r="H7" s="82">
        <v>45086</v>
      </c>
      <c r="I7" s="82">
        <v>45282</v>
      </c>
      <c r="J7" s="130">
        <v>200000000</v>
      </c>
      <c r="K7" s="130" t="s">
        <v>66</v>
      </c>
      <c r="L7" s="130" t="s">
        <v>66</v>
      </c>
      <c r="M7" s="83" t="s">
        <v>52</v>
      </c>
      <c r="N7" s="84" t="s">
        <v>52</v>
      </c>
      <c r="O7" s="83" t="s">
        <v>52</v>
      </c>
      <c r="P7" s="84" t="s">
        <v>52</v>
      </c>
      <c r="Q7" s="116"/>
    </row>
    <row r="8" spans="1:17" ht="14.4">
      <c r="A8" s="79">
        <v>2</v>
      </c>
      <c r="B8" s="81" t="s">
        <v>42</v>
      </c>
      <c r="C8" s="81" t="s">
        <v>38</v>
      </c>
      <c r="D8" s="81" t="s">
        <v>45</v>
      </c>
      <c r="E8" s="81" t="s">
        <v>35</v>
      </c>
      <c r="F8" s="81" t="s">
        <v>36</v>
      </c>
      <c r="G8" s="80">
        <v>3825.6988000000001</v>
      </c>
      <c r="H8" s="82">
        <v>45114</v>
      </c>
      <c r="I8" s="82">
        <v>45285</v>
      </c>
      <c r="J8" s="131">
        <v>20000000</v>
      </c>
      <c r="K8" s="130" t="s">
        <v>66</v>
      </c>
      <c r="L8" s="130" t="s">
        <v>66</v>
      </c>
      <c r="M8" s="83" t="s">
        <v>52</v>
      </c>
      <c r="N8" s="84" t="s">
        <v>52</v>
      </c>
      <c r="O8" s="83" t="s">
        <v>52</v>
      </c>
      <c r="P8" s="84" t="s">
        <v>52</v>
      </c>
      <c r="Q8" s="117"/>
    </row>
    <row r="9" spans="1:17" s="35" customFormat="1" ht="14.4">
      <c r="A9" s="79">
        <v>3</v>
      </c>
      <c r="B9" s="81" t="s">
        <v>43</v>
      </c>
      <c r="C9" s="81" t="s">
        <v>39</v>
      </c>
      <c r="D9" s="81" t="s">
        <v>45</v>
      </c>
      <c r="E9" s="81" t="s">
        <v>35</v>
      </c>
      <c r="F9" s="81" t="s">
        <v>36</v>
      </c>
      <c r="G9" s="80">
        <v>3848.9517000000001</v>
      </c>
      <c r="H9" s="82">
        <v>45173</v>
      </c>
      <c r="I9" s="82">
        <v>45252</v>
      </c>
      <c r="J9" s="131">
        <v>8000000</v>
      </c>
      <c r="K9" s="130" t="s">
        <v>66</v>
      </c>
      <c r="L9" s="130" t="s">
        <v>66</v>
      </c>
      <c r="M9" s="83" t="s">
        <v>52</v>
      </c>
      <c r="N9" s="84" t="s">
        <v>52</v>
      </c>
      <c r="O9" s="83" t="s">
        <v>52</v>
      </c>
      <c r="P9" s="84" t="s">
        <v>52</v>
      </c>
      <c r="Q9" s="117"/>
    </row>
    <row r="10" spans="1:17" ht="14.4">
      <c r="A10" s="79">
        <v>4</v>
      </c>
      <c r="B10" s="81" t="s">
        <v>44</v>
      </c>
      <c r="C10" s="81" t="s">
        <v>40</v>
      </c>
      <c r="D10" s="81" t="s">
        <v>45</v>
      </c>
      <c r="E10" s="81" t="s">
        <v>35</v>
      </c>
      <c r="F10" s="81" t="s">
        <v>36</v>
      </c>
      <c r="G10" s="80">
        <v>3702.3824</v>
      </c>
      <c r="H10" s="82">
        <v>45211</v>
      </c>
      <c r="I10" s="82">
        <v>45300</v>
      </c>
      <c r="J10" s="131">
        <v>20000000</v>
      </c>
      <c r="K10" s="130" t="s">
        <v>66</v>
      </c>
      <c r="L10" s="130" t="s">
        <v>66</v>
      </c>
      <c r="M10" s="83" t="s">
        <v>52</v>
      </c>
      <c r="N10" s="84" t="s">
        <v>52</v>
      </c>
      <c r="O10" s="83" t="s">
        <v>52</v>
      </c>
      <c r="P10" s="84" t="s">
        <v>52</v>
      </c>
      <c r="Q10" s="117"/>
    </row>
    <row r="11" spans="1:17" ht="14.4">
      <c r="A11" s="79">
        <v>5</v>
      </c>
      <c r="B11" s="81" t="s">
        <v>100</v>
      </c>
      <c r="C11" s="81" t="s">
        <v>48</v>
      </c>
      <c r="D11" s="81" t="s">
        <v>45</v>
      </c>
      <c r="E11" s="81" t="s">
        <v>35</v>
      </c>
      <c r="F11" s="81" t="s">
        <v>49</v>
      </c>
      <c r="G11" s="80">
        <v>3511.9423999999999</v>
      </c>
      <c r="H11" s="82">
        <v>45257</v>
      </c>
      <c r="I11" s="82">
        <v>45377</v>
      </c>
      <c r="J11" s="131">
        <v>20000000</v>
      </c>
      <c r="K11" s="130" t="s">
        <v>52</v>
      </c>
      <c r="L11" s="130" t="s">
        <v>52</v>
      </c>
      <c r="M11" s="83" t="s">
        <v>52</v>
      </c>
      <c r="N11" s="84" t="s">
        <v>52</v>
      </c>
      <c r="O11" s="83" t="s">
        <v>52</v>
      </c>
      <c r="P11" s="84" t="s">
        <v>52</v>
      </c>
      <c r="Q11" s="117"/>
    </row>
    <row r="12" spans="1:17" ht="14.4">
      <c r="A12" s="79">
        <v>6</v>
      </c>
      <c r="B12" s="158" t="s">
        <v>151</v>
      </c>
      <c r="C12" s="81" t="s">
        <v>126</v>
      </c>
      <c r="D12" s="81" t="s">
        <v>45</v>
      </c>
      <c r="E12" s="81" t="s">
        <v>67</v>
      </c>
      <c r="F12" s="81" t="s">
        <v>68</v>
      </c>
      <c r="G12" s="80">
        <v>3471.3762000000002</v>
      </c>
      <c r="H12" s="82">
        <v>45344</v>
      </c>
      <c r="I12" s="82">
        <v>45434</v>
      </c>
      <c r="J12" s="131">
        <v>80000000</v>
      </c>
      <c r="K12" s="130" t="s">
        <v>52</v>
      </c>
      <c r="L12" s="130" t="s">
        <v>52</v>
      </c>
      <c r="M12" s="83" t="s">
        <v>52</v>
      </c>
      <c r="N12" s="84" t="s">
        <v>52</v>
      </c>
      <c r="O12" s="83" t="s">
        <v>52</v>
      </c>
      <c r="P12" s="84" t="s">
        <v>52</v>
      </c>
      <c r="Q12" s="117"/>
    </row>
    <row r="13" spans="1:17" ht="14.4">
      <c r="A13" s="79">
        <v>7</v>
      </c>
      <c r="B13" s="158" t="s">
        <v>152</v>
      </c>
      <c r="C13" s="81" t="s">
        <v>127</v>
      </c>
      <c r="D13" s="81" t="s">
        <v>45</v>
      </c>
      <c r="E13" s="81" t="s">
        <v>67</v>
      </c>
      <c r="F13" s="81" t="s">
        <v>68</v>
      </c>
      <c r="G13" s="80">
        <v>3476.33</v>
      </c>
      <c r="H13" s="82">
        <v>45344</v>
      </c>
      <c r="I13" s="82">
        <v>45434</v>
      </c>
      <c r="J13" s="131">
        <v>70000000</v>
      </c>
      <c r="K13" s="130" t="s">
        <v>52</v>
      </c>
      <c r="L13" s="130" t="s">
        <v>52</v>
      </c>
      <c r="M13" s="83" t="s">
        <v>52</v>
      </c>
      <c r="N13" s="84" t="s">
        <v>52</v>
      </c>
      <c r="O13" s="83" t="s">
        <v>52</v>
      </c>
      <c r="P13" s="84" t="s">
        <v>52</v>
      </c>
      <c r="Q13" s="117"/>
    </row>
    <row r="14" spans="1:17" ht="14.4">
      <c r="A14" s="79">
        <v>8</v>
      </c>
      <c r="B14" s="158" t="s">
        <v>153</v>
      </c>
      <c r="C14" s="81" t="s">
        <v>83</v>
      </c>
      <c r="D14" s="81" t="s">
        <v>45</v>
      </c>
      <c r="E14" s="81" t="s">
        <v>67</v>
      </c>
      <c r="F14" s="81" t="s">
        <v>68</v>
      </c>
      <c r="G14" s="80">
        <v>3489.74</v>
      </c>
      <c r="H14" s="82">
        <v>45345</v>
      </c>
      <c r="I14" s="82">
        <v>45435</v>
      </c>
      <c r="J14" s="131">
        <v>70000000</v>
      </c>
      <c r="K14" s="130" t="s">
        <v>52</v>
      </c>
      <c r="L14" s="130" t="s">
        <v>52</v>
      </c>
      <c r="M14" s="83" t="s">
        <v>52</v>
      </c>
      <c r="N14" s="84" t="s">
        <v>52</v>
      </c>
      <c r="O14" s="83" t="s">
        <v>52</v>
      </c>
      <c r="P14" s="84" t="s">
        <v>52</v>
      </c>
      <c r="Q14" s="117"/>
    </row>
    <row r="15" spans="1:17" ht="14.4">
      <c r="A15" s="79">
        <v>9</v>
      </c>
      <c r="B15" s="158" t="s">
        <v>84</v>
      </c>
      <c r="C15" s="81" t="s">
        <v>90</v>
      </c>
      <c r="D15" s="81" t="s">
        <v>45</v>
      </c>
      <c r="E15" s="81" t="s">
        <v>67</v>
      </c>
      <c r="F15" s="81" t="s">
        <v>86</v>
      </c>
      <c r="G15" s="80">
        <v>3603.5279999999998</v>
      </c>
      <c r="H15" s="82">
        <v>45369</v>
      </c>
      <c r="I15" s="82">
        <v>45583</v>
      </c>
      <c r="J15" s="131">
        <v>20000000</v>
      </c>
      <c r="K15" s="130" t="s">
        <v>52</v>
      </c>
      <c r="L15" s="130" t="s">
        <v>52</v>
      </c>
      <c r="M15" s="83" t="s">
        <v>52</v>
      </c>
      <c r="N15" s="84" t="s">
        <v>52</v>
      </c>
      <c r="O15" s="83" t="s">
        <v>52</v>
      </c>
      <c r="P15" s="84" t="s">
        <v>52</v>
      </c>
      <c r="Q15" s="117" t="s">
        <v>93</v>
      </c>
    </row>
    <row r="16" spans="1:17" ht="14.4">
      <c r="A16" s="79">
        <v>10</v>
      </c>
      <c r="B16" s="158" t="s">
        <v>88</v>
      </c>
      <c r="C16" s="81" t="s">
        <v>91</v>
      </c>
      <c r="D16" s="81" t="s">
        <v>45</v>
      </c>
      <c r="E16" s="81" t="s">
        <v>67</v>
      </c>
      <c r="F16" s="81" t="s">
        <v>85</v>
      </c>
      <c r="G16" s="80">
        <v>3603.5279999999998</v>
      </c>
      <c r="H16" s="82">
        <v>45369</v>
      </c>
      <c r="I16" s="82">
        <v>45583</v>
      </c>
      <c r="J16" s="131">
        <v>200000000</v>
      </c>
      <c r="K16" s="130" t="s">
        <v>52</v>
      </c>
      <c r="L16" s="130" t="s">
        <v>52</v>
      </c>
      <c r="M16" s="83" t="s">
        <v>52</v>
      </c>
      <c r="N16" s="84" t="s">
        <v>52</v>
      </c>
      <c r="O16" s="83" t="s">
        <v>52</v>
      </c>
      <c r="P16" s="84" t="s">
        <v>52</v>
      </c>
      <c r="Q16" s="117" t="s">
        <v>93</v>
      </c>
    </row>
    <row r="17" spans="1:17" ht="14.4">
      <c r="A17" s="79">
        <v>11</v>
      </c>
      <c r="B17" s="158" t="s">
        <v>94</v>
      </c>
      <c r="C17" s="81" t="s">
        <v>209</v>
      </c>
      <c r="D17" s="81" t="s">
        <v>45</v>
      </c>
      <c r="E17" s="81" t="s">
        <v>67</v>
      </c>
      <c r="F17" s="81" t="s">
        <v>85</v>
      </c>
      <c r="G17" s="80">
        <v>3585.3838000000001</v>
      </c>
      <c r="H17" s="82">
        <v>45371</v>
      </c>
      <c r="I17" s="82">
        <v>45586</v>
      </c>
      <c r="J17" s="131">
        <v>50000000</v>
      </c>
      <c r="K17" s="130" t="s">
        <v>52</v>
      </c>
      <c r="L17" s="130" t="s">
        <v>52</v>
      </c>
      <c r="M17" s="83" t="s">
        <v>52</v>
      </c>
      <c r="N17" s="84" t="s">
        <v>52</v>
      </c>
      <c r="O17" s="83" t="s">
        <v>52</v>
      </c>
      <c r="P17" s="84" t="s">
        <v>52</v>
      </c>
      <c r="Q17" s="117" t="s">
        <v>95</v>
      </c>
    </row>
    <row r="18" spans="1:17" ht="14.4">
      <c r="A18" s="79">
        <v>12</v>
      </c>
      <c r="B18" s="158" t="s">
        <v>97</v>
      </c>
      <c r="C18" s="81" t="s">
        <v>210</v>
      </c>
      <c r="D18" s="81" t="s">
        <v>45</v>
      </c>
      <c r="E18" s="81" t="s">
        <v>67</v>
      </c>
      <c r="F18" s="81" t="s">
        <v>85</v>
      </c>
      <c r="G18" s="80">
        <v>3581.0902000000001</v>
      </c>
      <c r="H18" s="82">
        <v>45372</v>
      </c>
      <c r="I18" s="82">
        <v>45586</v>
      </c>
      <c r="J18" s="131">
        <v>100000000</v>
      </c>
      <c r="K18" s="130" t="s">
        <v>52</v>
      </c>
      <c r="L18" s="130" t="s">
        <v>52</v>
      </c>
      <c r="M18" s="83" t="s">
        <v>52</v>
      </c>
      <c r="N18" s="84" t="s">
        <v>52</v>
      </c>
      <c r="O18" s="83" t="s">
        <v>52</v>
      </c>
      <c r="P18" s="84" t="s">
        <v>52</v>
      </c>
      <c r="Q18" s="117" t="s">
        <v>95</v>
      </c>
    </row>
    <row r="19" spans="1:17" ht="14.4">
      <c r="A19" s="79">
        <v>13</v>
      </c>
      <c r="B19" s="158" t="s">
        <v>154</v>
      </c>
      <c r="C19" s="81" t="s">
        <v>99</v>
      </c>
      <c r="D19" s="81" t="s">
        <v>45</v>
      </c>
      <c r="E19" s="81" t="s">
        <v>67</v>
      </c>
      <c r="F19" s="81" t="s">
        <v>98</v>
      </c>
      <c r="G19" s="80">
        <v>3557.72</v>
      </c>
      <c r="H19" s="82">
        <v>45376</v>
      </c>
      <c r="I19" s="82">
        <v>45439</v>
      </c>
      <c r="J19" s="131">
        <v>5000000</v>
      </c>
      <c r="K19" s="130" t="s">
        <v>52</v>
      </c>
      <c r="L19" s="130" t="s">
        <v>52</v>
      </c>
      <c r="M19" s="83" t="s">
        <v>52</v>
      </c>
      <c r="N19" s="84" t="s">
        <v>52</v>
      </c>
      <c r="O19" s="83" t="s">
        <v>52</v>
      </c>
      <c r="P19" s="84" t="s">
        <v>52</v>
      </c>
      <c r="Q19" s="117"/>
    </row>
    <row r="20" spans="1:17" ht="14.4">
      <c r="A20" s="79">
        <v>14</v>
      </c>
      <c r="B20" s="158" t="s">
        <v>155</v>
      </c>
      <c r="C20" s="81" t="s">
        <v>128</v>
      </c>
      <c r="D20" s="81" t="s">
        <v>45</v>
      </c>
      <c r="E20" s="81" t="s">
        <v>67</v>
      </c>
      <c r="F20" s="81" t="s">
        <v>98</v>
      </c>
      <c r="G20" s="80">
        <v>3545.23</v>
      </c>
      <c r="H20" s="82">
        <v>45376</v>
      </c>
      <c r="I20" s="82">
        <v>45439</v>
      </c>
      <c r="J20" s="131">
        <v>5000000</v>
      </c>
      <c r="K20" s="130" t="s">
        <v>52</v>
      </c>
      <c r="L20" s="130" t="s">
        <v>52</v>
      </c>
      <c r="M20" s="83" t="s">
        <v>52</v>
      </c>
      <c r="N20" s="84" t="s">
        <v>52</v>
      </c>
      <c r="O20" s="83" t="s">
        <v>52</v>
      </c>
      <c r="P20" s="84" t="s">
        <v>52</v>
      </c>
      <c r="Q20" s="117"/>
    </row>
    <row r="21" spans="1:17" ht="14.4">
      <c r="A21" s="79">
        <v>15</v>
      </c>
      <c r="B21" s="158" t="s">
        <v>101</v>
      </c>
      <c r="C21" s="81" t="s">
        <v>102</v>
      </c>
      <c r="D21" s="81" t="s">
        <v>34</v>
      </c>
      <c r="E21" s="81" t="s">
        <v>67</v>
      </c>
      <c r="F21" s="81" t="s">
        <v>85</v>
      </c>
      <c r="G21" s="80">
        <v>3543.7467000000001</v>
      </c>
      <c r="H21" s="82">
        <v>45377</v>
      </c>
      <c r="I21" s="82">
        <v>46107</v>
      </c>
      <c r="J21" s="131">
        <v>90000000</v>
      </c>
      <c r="K21" s="130" t="s">
        <v>52</v>
      </c>
      <c r="L21" s="130" t="s">
        <v>52</v>
      </c>
      <c r="M21" s="83" t="s">
        <v>52</v>
      </c>
      <c r="N21" s="84" t="s">
        <v>52</v>
      </c>
      <c r="O21" s="83" t="s">
        <v>52</v>
      </c>
      <c r="P21" s="84" t="s">
        <v>52</v>
      </c>
      <c r="Q21" s="117" t="s">
        <v>93</v>
      </c>
    </row>
    <row r="22" spans="1:17" ht="14.4">
      <c r="A22" s="120">
        <v>16</v>
      </c>
      <c r="B22" s="160" t="s">
        <v>156</v>
      </c>
      <c r="C22" s="121" t="s">
        <v>107</v>
      </c>
      <c r="D22" s="81" t="s">
        <v>45</v>
      </c>
      <c r="E22" s="121" t="s">
        <v>67</v>
      </c>
      <c r="F22" s="121" t="s">
        <v>98</v>
      </c>
      <c r="G22" s="122">
        <v>3526</v>
      </c>
      <c r="H22" s="123">
        <v>45378</v>
      </c>
      <c r="I22" s="123">
        <v>45411</v>
      </c>
      <c r="J22" s="133">
        <v>5000000</v>
      </c>
      <c r="K22" s="130" t="s">
        <v>52</v>
      </c>
      <c r="L22" s="130" t="s">
        <v>52</v>
      </c>
      <c r="M22" s="83" t="s">
        <v>52</v>
      </c>
      <c r="N22" s="84" t="s">
        <v>52</v>
      </c>
      <c r="O22" s="83" t="s">
        <v>52</v>
      </c>
      <c r="P22" s="84" t="s">
        <v>52</v>
      </c>
      <c r="Q22" s="117"/>
    </row>
    <row r="23" spans="1:17" ht="14.4">
      <c r="A23" s="120">
        <v>17</v>
      </c>
      <c r="B23" s="160" t="s">
        <v>157</v>
      </c>
      <c r="C23" s="121" t="s">
        <v>106</v>
      </c>
      <c r="D23" s="81" t="s">
        <v>45</v>
      </c>
      <c r="E23" s="121" t="s">
        <v>67</v>
      </c>
      <c r="F23" s="121" t="s">
        <v>98</v>
      </c>
      <c r="G23" s="122">
        <v>3514.04</v>
      </c>
      <c r="H23" s="123">
        <v>45378</v>
      </c>
      <c r="I23" s="123">
        <v>45411</v>
      </c>
      <c r="J23" s="133">
        <v>5000000</v>
      </c>
      <c r="K23" s="130" t="s">
        <v>52</v>
      </c>
      <c r="L23" s="130" t="s">
        <v>52</v>
      </c>
      <c r="M23" s="83" t="s">
        <v>52</v>
      </c>
      <c r="N23" s="84" t="s">
        <v>52</v>
      </c>
      <c r="O23" s="83" t="s">
        <v>52</v>
      </c>
      <c r="P23" s="84" t="s">
        <v>52</v>
      </c>
      <c r="Q23" s="117"/>
    </row>
    <row r="24" spans="1:17" ht="14.4">
      <c r="A24" s="120">
        <v>18</v>
      </c>
      <c r="B24" s="160" t="s">
        <v>158</v>
      </c>
      <c r="C24" s="121" t="s">
        <v>108</v>
      </c>
      <c r="D24" s="81" t="s">
        <v>45</v>
      </c>
      <c r="E24" s="121" t="s">
        <v>67</v>
      </c>
      <c r="F24" s="121" t="s">
        <v>98</v>
      </c>
      <c r="G24" s="122">
        <v>3534.76</v>
      </c>
      <c r="H24" s="123">
        <v>45378</v>
      </c>
      <c r="I24" s="123">
        <v>45411</v>
      </c>
      <c r="J24" s="133">
        <v>5000000</v>
      </c>
      <c r="K24" s="130" t="s">
        <v>52</v>
      </c>
      <c r="L24" s="130" t="s">
        <v>52</v>
      </c>
      <c r="M24" s="83" t="s">
        <v>52</v>
      </c>
      <c r="N24" s="84" t="s">
        <v>52</v>
      </c>
      <c r="O24" s="83" t="s">
        <v>52</v>
      </c>
      <c r="P24" s="84" t="s">
        <v>52</v>
      </c>
      <c r="Q24" s="117"/>
    </row>
    <row r="25" spans="1:17" ht="14.4">
      <c r="A25" s="120">
        <v>19</v>
      </c>
      <c r="B25" s="160" t="s">
        <v>159</v>
      </c>
      <c r="C25" s="121" t="s">
        <v>110</v>
      </c>
      <c r="D25" s="81" t="s">
        <v>45</v>
      </c>
      <c r="E25" s="121" t="s">
        <v>67</v>
      </c>
      <c r="F25" s="121" t="s">
        <v>103</v>
      </c>
      <c r="G25" s="122">
        <v>3492</v>
      </c>
      <c r="H25" s="123">
        <v>45379</v>
      </c>
      <c r="I25" s="123">
        <v>45411</v>
      </c>
      <c r="J25" s="133">
        <v>30000000</v>
      </c>
      <c r="K25" s="130" t="s">
        <v>52</v>
      </c>
      <c r="L25" s="130" t="s">
        <v>52</v>
      </c>
      <c r="M25" s="83" t="s">
        <v>52</v>
      </c>
      <c r="N25" s="84" t="s">
        <v>52</v>
      </c>
      <c r="O25" s="83" t="s">
        <v>52</v>
      </c>
      <c r="P25" s="84" t="s">
        <v>52</v>
      </c>
      <c r="Q25" s="117" t="s">
        <v>104</v>
      </c>
    </row>
    <row r="26" spans="1:17" ht="14.4">
      <c r="A26" s="120">
        <v>20</v>
      </c>
      <c r="B26" s="160" t="s">
        <v>160</v>
      </c>
      <c r="C26" s="121" t="s">
        <v>111</v>
      </c>
      <c r="D26" s="81" t="s">
        <v>45</v>
      </c>
      <c r="E26" s="121" t="s">
        <v>67</v>
      </c>
      <c r="F26" s="121" t="s">
        <v>86</v>
      </c>
      <c r="G26" s="122">
        <v>3512.93</v>
      </c>
      <c r="H26" s="123">
        <v>45379</v>
      </c>
      <c r="I26" s="123">
        <v>45565</v>
      </c>
      <c r="J26" s="133">
        <v>10000000</v>
      </c>
      <c r="K26" s="130" t="s">
        <v>52</v>
      </c>
      <c r="L26" s="130" t="s">
        <v>52</v>
      </c>
      <c r="M26" s="83" t="s">
        <v>52</v>
      </c>
      <c r="N26" s="84" t="s">
        <v>52</v>
      </c>
      <c r="O26" s="83" t="s">
        <v>52</v>
      </c>
      <c r="P26" s="84" t="s">
        <v>52</v>
      </c>
      <c r="Q26" s="117" t="s">
        <v>104</v>
      </c>
    </row>
    <row r="27" spans="1:17" ht="14.4">
      <c r="A27" s="120">
        <v>21</v>
      </c>
      <c r="B27" s="160" t="s">
        <v>191</v>
      </c>
      <c r="C27" s="121" t="s">
        <v>112</v>
      </c>
      <c r="D27" s="81" t="s">
        <v>45</v>
      </c>
      <c r="E27" s="121" t="s">
        <v>67</v>
      </c>
      <c r="F27" s="121" t="s">
        <v>86</v>
      </c>
      <c r="G27" s="122">
        <v>3520.9648000000002</v>
      </c>
      <c r="H27" s="123">
        <v>45379</v>
      </c>
      <c r="I27" s="123">
        <v>45565</v>
      </c>
      <c r="J27" s="133">
        <v>20051000</v>
      </c>
      <c r="K27" s="130" t="s">
        <v>52</v>
      </c>
      <c r="L27" s="130" t="s">
        <v>52</v>
      </c>
      <c r="M27" s="83" t="s">
        <v>52</v>
      </c>
      <c r="N27" s="84" t="s">
        <v>52</v>
      </c>
      <c r="O27" s="83" t="s">
        <v>52</v>
      </c>
      <c r="P27" s="84" t="s">
        <v>52</v>
      </c>
      <c r="Q27" s="117" t="s">
        <v>105</v>
      </c>
    </row>
    <row r="28" spans="1:17" ht="14.4">
      <c r="A28" s="120">
        <v>22</v>
      </c>
      <c r="B28" s="160" t="s">
        <v>161</v>
      </c>
      <c r="C28" s="121" t="s">
        <v>192</v>
      </c>
      <c r="D28" s="81" t="s">
        <v>45</v>
      </c>
      <c r="E28" s="121" t="s">
        <v>67</v>
      </c>
      <c r="F28" s="121" t="s">
        <v>86</v>
      </c>
      <c r="G28" s="122">
        <v>3532.38</v>
      </c>
      <c r="H28" s="123">
        <v>45380</v>
      </c>
      <c r="I28" s="123">
        <v>45565</v>
      </c>
      <c r="J28" s="133">
        <v>20000000</v>
      </c>
      <c r="K28" s="130" t="s">
        <v>52</v>
      </c>
      <c r="L28" s="130" t="s">
        <v>52</v>
      </c>
      <c r="M28" s="83" t="s">
        <v>52</v>
      </c>
      <c r="N28" s="84" t="s">
        <v>52</v>
      </c>
      <c r="O28" s="83" t="s">
        <v>52</v>
      </c>
      <c r="P28" s="84" t="s">
        <v>52</v>
      </c>
      <c r="Q28" s="117" t="s">
        <v>109</v>
      </c>
    </row>
    <row r="29" spans="1:17" ht="14.4">
      <c r="A29" s="120">
        <v>23</v>
      </c>
      <c r="B29" s="160" t="s">
        <v>162</v>
      </c>
      <c r="C29" s="121" t="s">
        <v>193</v>
      </c>
      <c r="D29" s="81" t="s">
        <v>45</v>
      </c>
      <c r="E29" s="121" t="s">
        <v>67</v>
      </c>
      <c r="F29" s="121" t="s">
        <v>86</v>
      </c>
      <c r="G29" s="122">
        <v>3520</v>
      </c>
      <c r="H29" s="123">
        <v>45380</v>
      </c>
      <c r="I29" s="123">
        <v>45565</v>
      </c>
      <c r="J29" s="133">
        <v>20000000</v>
      </c>
      <c r="K29" s="130" t="s">
        <v>52</v>
      </c>
      <c r="L29" s="130" t="s">
        <v>52</v>
      </c>
      <c r="M29" s="83" t="s">
        <v>52</v>
      </c>
      <c r="N29" s="84" t="s">
        <v>52</v>
      </c>
      <c r="O29" s="83" t="s">
        <v>52</v>
      </c>
      <c r="P29" s="84" t="s">
        <v>52</v>
      </c>
      <c r="Q29" s="117" t="s">
        <v>109</v>
      </c>
    </row>
    <row r="30" spans="1:17" ht="14.4">
      <c r="A30" s="120">
        <v>24</v>
      </c>
      <c r="B30" s="160" t="s">
        <v>163</v>
      </c>
      <c r="C30" s="121" t="s">
        <v>194</v>
      </c>
      <c r="D30" s="81" t="s">
        <v>45</v>
      </c>
      <c r="E30" s="121" t="s">
        <v>67</v>
      </c>
      <c r="F30" s="121" t="s">
        <v>86</v>
      </c>
      <c r="G30" s="122">
        <v>3523.1</v>
      </c>
      <c r="H30" s="123">
        <v>45380</v>
      </c>
      <c r="I30" s="123">
        <v>45565</v>
      </c>
      <c r="J30" s="133">
        <v>20000000</v>
      </c>
      <c r="K30" s="130" t="s">
        <v>52</v>
      </c>
      <c r="L30" s="130" t="s">
        <v>52</v>
      </c>
      <c r="M30" s="83" t="s">
        <v>52</v>
      </c>
      <c r="N30" s="84" t="s">
        <v>52</v>
      </c>
      <c r="O30" s="83" t="s">
        <v>52</v>
      </c>
      <c r="P30" s="84" t="s">
        <v>52</v>
      </c>
      <c r="Q30" s="117" t="s">
        <v>109</v>
      </c>
    </row>
    <row r="31" spans="1:17" ht="14.4">
      <c r="A31" s="120">
        <v>25</v>
      </c>
      <c r="B31" s="160" t="s">
        <v>164</v>
      </c>
      <c r="C31" s="121" t="s">
        <v>197</v>
      </c>
      <c r="D31" s="81" t="s">
        <v>45</v>
      </c>
      <c r="E31" s="121" t="s">
        <v>67</v>
      </c>
      <c r="F31" s="121" t="s">
        <v>86</v>
      </c>
      <c r="G31" s="122">
        <v>3594.62</v>
      </c>
      <c r="H31" s="123">
        <v>45383</v>
      </c>
      <c r="I31" s="123">
        <v>45573</v>
      </c>
      <c r="J31" s="133">
        <v>20000000</v>
      </c>
      <c r="K31" s="130" t="s">
        <v>52</v>
      </c>
      <c r="L31" s="130" t="s">
        <v>52</v>
      </c>
      <c r="M31" s="83" t="s">
        <v>52</v>
      </c>
      <c r="N31" s="84" t="s">
        <v>52</v>
      </c>
      <c r="O31" s="83" t="s">
        <v>52</v>
      </c>
      <c r="P31" s="84" t="s">
        <v>52</v>
      </c>
      <c r="Q31" s="117" t="s">
        <v>113</v>
      </c>
    </row>
    <row r="32" spans="1:17" ht="14.4">
      <c r="A32" s="120">
        <v>26</v>
      </c>
      <c r="B32" s="160" t="s">
        <v>165</v>
      </c>
      <c r="C32" s="121" t="s">
        <v>198</v>
      </c>
      <c r="D32" s="81" t="s">
        <v>45</v>
      </c>
      <c r="E32" s="121" t="s">
        <v>67</v>
      </c>
      <c r="F32" s="121" t="s">
        <v>86</v>
      </c>
      <c r="G32" s="122">
        <v>3598.45</v>
      </c>
      <c r="H32" s="123">
        <v>45383</v>
      </c>
      <c r="I32" s="123">
        <v>45573</v>
      </c>
      <c r="J32" s="133">
        <v>50000000</v>
      </c>
      <c r="K32" s="130" t="s">
        <v>52</v>
      </c>
      <c r="L32" s="130" t="s">
        <v>52</v>
      </c>
      <c r="M32" s="83" t="s">
        <v>52</v>
      </c>
      <c r="N32" s="84" t="s">
        <v>52</v>
      </c>
      <c r="O32" s="83" t="s">
        <v>52</v>
      </c>
      <c r="P32" s="84" t="s">
        <v>52</v>
      </c>
      <c r="Q32" s="117" t="s">
        <v>113</v>
      </c>
    </row>
    <row r="33" spans="1:29" ht="14.4">
      <c r="A33" s="120">
        <v>27</v>
      </c>
      <c r="B33" s="160" t="s">
        <v>166</v>
      </c>
      <c r="C33" s="121" t="s">
        <v>199</v>
      </c>
      <c r="D33" s="81" t="s">
        <v>45</v>
      </c>
      <c r="E33" s="121" t="s">
        <v>67</v>
      </c>
      <c r="F33" s="121" t="s">
        <v>86</v>
      </c>
      <c r="G33" s="122">
        <v>3588.3</v>
      </c>
      <c r="H33" s="123">
        <v>45383</v>
      </c>
      <c r="I33" s="123">
        <v>45573</v>
      </c>
      <c r="J33" s="133">
        <v>20000000</v>
      </c>
      <c r="K33" s="130" t="s">
        <v>52</v>
      </c>
      <c r="L33" s="130" t="s">
        <v>52</v>
      </c>
      <c r="M33" s="83" t="s">
        <v>52</v>
      </c>
      <c r="N33" s="84" t="s">
        <v>52</v>
      </c>
      <c r="O33" s="83" t="s">
        <v>52</v>
      </c>
      <c r="P33" s="84" t="s">
        <v>52</v>
      </c>
      <c r="Q33" s="117" t="s">
        <v>113</v>
      </c>
    </row>
    <row r="34" spans="1:29" ht="14.4">
      <c r="A34" s="120">
        <v>28</v>
      </c>
      <c r="B34" s="160" t="s">
        <v>167</v>
      </c>
      <c r="C34" s="121" t="s">
        <v>115</v>
      </c>
      <c r="D34" s="81" t="s">
        <v>45</v>
      </c>
      <c r="E34" s="121" t="s">
        <v>67</v>
      </c>
      <c r="F34" s="121" t="s">
        <v>114</v>
      </c>
      <c r="G34" s="122">
        <v>3567.8031000000001</v>
      </c>
      <c r="H34" s="123">
        <v>45385</v>
      </c>
      <c r="I34" s="123">
        <v>45418</v>
      </c>
      <c r="J34" s="133">
        <v>20000000</v>
      </c>
      <c r="K34" s="130" t="s">
        <v>52</v>
      </c>
      <c r="L34" s="130" t="s">
        <v>52</v>
      </c>
      <c r="M34" s="83" t="s">
        <v>52</v>
      </c>
      <c r="N34" s="84" t="s">
        <v>52</v>
      </c>
      <c r="O34" s="83" t="s">
        <v>52</v>
      </c>
      <c r="P34" s="84" t="s">
        <v>52</v>
      </c>
      <c r="Q34" s="117"/>
    </row>
    <row r="35" spans="1:29" ht="14.4">
      <c r="A35" s="120">
        <v>29</v>
      </c>
      <c r="B35" s="160" t="s">
        <v>168</v>
      </c>
      <c r="C35" s="121" t="s">
        <v>116</v>
      </c>
      <c r="D35" s="81" t="s">
        <v>45</v>
      </c>
      <c r="E35" s="121" t="s">
        <v>67</v>
      </c>
      <c r="F35" s="121" t="s">
        <v>85</v>
      </c>
      <c r="G35" s="122">
        <v>3567.8031000000001</v>
      </c>
      <c r="H35" s="123">
        <v>45385</v>
      </c>
      <c r="I35" s="123">
        <v>45418</v>
      </c>
      <c r="J35" s="133">
        <v>25000000</v>
      </c>
      <c r="K35" s="130" t="s">
        <v>52</v>
      </c>
      <c r="L35" s="130" t="s">
        <v>52</v>
      </c>
      <c r="M35" s="83" t="s">
        <v>52</v>
      </c>
      <c r="N35" s="84" t="s">
        <v>52</v>
      </c>
      <c r="O35" s="83" t="s">
        <v>52</v>
      </c>
      <c r="P35" s="84" t="s">
        <v>52</v>
      </c>
      <c r="Q35" s="117"/>
    </row>
    <row r="36" spans="1:29" ht="14.4">
      <c r="A36" s="120">
        <v>30</v>
      </c>
      <c r="B36" s="160" t="s">
        <v>169</v>
      </c>
      <c r="C36" s="121" t="s">
        <v>119</v>
      </c>
      <c r="D36" s="81" t="s">
        <v>45</v>
      </c>
      <c r="E36" s="121" t="s">
        <v>67</v>
      </c>
      <c r="F36" s="121" t="s">
        <v>86</v>
      </c>
      <c r="G36" s="122">
        <v>3504.2447000000002</v>
      </c>
      <c r="H36" s="123">
        <v>45393</v>
      </c>
      <c r="I36" s="123">
        <v>45425</v>
      </c>
      <c r="J36" s="133">
        <v>15000000</v>
      </c>
      <c r="K36" s="130" t="s">
        <v>52</v>
      </c>
      <c r="L36" s="130" t="s">
        <v>52</v>
      </c>
      <c r="M36" s="83" t="s">
        <v>52</v>
      </c>
      <c r="N36" s="84" t="s">
        <v>52</v>
      </c>
      <c r="O36" s="83" t="s">
        <v>52</v>
      </c>
      <c r="P36" s="84" t="s">
        <v>52</v>
      </c>
      <c r="Q36" s="117"/>
    </row>
    <row r="37" spans="1:29" ht="14.4">
      <c r="A37" s="120">
        <v>31</v>
      </c>
      <c r="B37" s="160" t="s">
        <v>196</v>
      </c>
      <c r="C37" s="121" t="s">
        <v>200</v>
      </c>
      <c r="D37" s="81" t="s">
        <v>45</v>
      </c>
      <c r="E37" s="121" t="s">
        <v>67</v>
      </c>
      <c r="F37" s="121" t="s">
        <v>86</v>
      </c>
      <c r="G37" s="122">
        <v>3592.2453999999998</v>
      </c>
      <c r="H37" s="123">
        <v>45449.625</v>
      </c>
      <c r="I37" s="123">
        <v>45573</v>
      </c>
      <c r="J37" s="133">
        <v>15000000</v>
      </c>
      <c r="K37" s="130" t="s">
        <v>52</v>
      </c>
      <c r="L37" s="130" t="s">
        <v>52</v>
      </c>
      <c r="M37" s="83" t="s">
        <v>52</v>
      </c>
      <c r="N37" s="84" t="s">
        <v>52</v>
      </c>
      <c r="O37" s="83" t="s">
        <v>52</v>
      </c>
      <c r="P37" s="84" t="s">
        <v>52</v>
      </c>
      <c r="Q37" s="117"/>
    </row>
    <row r="38" spans="1:29" ht="14.4">
      <c r="A38" s="120">
        <v>32</v>
      </c>
      <c r="B38" s="160" t="s">
        <v>141</v>
      </c>
      <c r="C38" s="121" t="s">
        <v>142</v>
      </c>
      <c r="D38" s="81" t="s">
        <v>45</v>
      </c>
      <c r="E38" s="121" t="s">
        <v>67</v>
      </c>
      <c r="F38" s="121" t="s">
        <v>49</v>
      </c>
      <c r="G38" s="122">
        <v>3541.5331000000001</v>
      </c>
      <c r="H38" s="123">
        <v>45457</v>
      </c>
      <c r="I38" s="123">
        <v>45581</v>
      </c>
      <c r="J38" s="133">
        <v>100000000</v>
      </c>
      <c r="K38" s="130" t="s">
        <v>52</v>
      </c>
      <c r="L38" s="130" t="s">
        <v>52</v>
      </c>
      <c r="M38" s="83" t="s">
        <v>52</v>
      </c>
      <c r="N38" s="84" t="s">
        <v>52</v>
      </c>
      <c r="O38" s="83" t="s">
        <v>52</v>
      </c>
      <c r="P38" s="84" t="s">
        <v>52</v>
      </c>
      <c r="Q38" s="117"/>
    </row>
    <row r="39" spans="1:29" ht="14.4">
      <c r="A39" s="31">
        <v>33</v>
      </c>
      <c r="B39" s="159" t="s">
        <v>170</v>
      </c>
      <c r="C39" s="39" t="s">
        <v>148</v>
      </c>
      <c r="D39" s="39" t="s">
        <v>34</v>
      </c>
      <c r="E39" s="39" t="s">
        <v>67</v>
      </c>
      <c r="F39" s="39" t="s">
        <v>49</v>
      </c>
      <c r="G39" s="38">
        <v>3454.1174999999998</v>
      </c>
      <c r="H39" s="40">
        <v>45470</v>
      </c>
      <c r="I39" s="40">
        <v>45835</v>
      </c>
      <c r="J39" s="132">
        <v>50000000</v>
      </c>
      <c r="K39" s="132">
        <v>50000000</v>
      </c>
      <c r="L39" s="132">
        <v>50000000</v>
      </c>
      <c r="M39" s="42" cm="1">
        <f t="array" aca="1" ref="M39" ca="1">MIN(IF(DWZQ240627!AA:AA&gt;$B$2,DWZQ240627!AA:AA))</f>
        <v>0</v>
      </c>
      <c r="N39" s="41">
        <f>1.02-$C$2/G39</f>
        <v>-0.10619802308404402</v>
      </c>
      <c r="O39" s="113" t="s">
        <v>52</v>
      </c>
      <c r="P39" s="41" t="s">
        <v>52</v>
      </c>
      <c r="Q39" s="117"/>
    </row>
    <row r="40" spans="1:29" ht="14.4">
      <c r="A40" s="120">
        <v>34</v>
      </c>
      <c r="B40" s="160" t="s">
        <v>201</v>
      </c>
      <c r="C40" s="121" t="s">
        <v>149</v>
      </c>
      <c r="D40" s="81" t="s">
        <v>45</v>
      </c>
      <c r="E40" s="121" t="s">
        <v>35</v>
      </c>
      <c r="F40" s="121" t="s">
        <v>49</v>
      </c>
      <c r="G40" s="122">
        <v>3463.4141</v>
      </c>
      <c r="H40" s="123">
        <v>45476</v>
      </c>
      <c r="I40" s="123">
        <v>45573</v>
      </c>
      <c r="J40" s="133">
        <v>15000000</v>
      </c>
      <c r="K40" s="130" t="s">
        <v>52</v>
      </c>
      <c r="L40" s="130" t="s">
        <v>52</v>
      </c>
      <c r="M40" s="83" t="s">
        <v>52</v>
      </c>
      <c r="N40" s="84" t="s">
        <v>52</v>
      </c>
      <c r="O40" s="83" t="s">
        <v>52</v>
      </c>
      <c r="P40" s="84" t="s">
        <v>52</v>
      </c>
      <c r="Q40" s="117"/>
    </row>
    <row r="41" spans="1:29" ht="14.4">
      <c r="A41" s="120">
        <v>35</v>
      </c>
      <c r="B41" s="160" t="s">
        <v>202</v>
      </c>
      <c r="C41" s="121" t="s">
        <v>171</v>
      </c>
      <c r="D41" s="81" t="s">
        <v>45</v>
      </c>
      <c r="E41" s="121" t="s">
        <v>67</v>
      </c>
      <c r="F41" s="121" t="s">
        <v>114</v>
      </c>
      <c r="G41" s="122">
        <v>3445.8128000000002</v>
      </c>
      <c r="H41" s="123">
        <v>45477</v>
      </c>
      <c r="I41" s="123">
        <v>45573</v>
      </c>
      <c r="J41" s="133">
        <v>10000000</v>
      </c>
      <c r="K41" s="130" t="s">
        <v>52</v>
      </c>
      <c r="L41" s="130" t="s">
        <v>52</v>
      </c>
      <c r="M41" s="83" t="s">
        <v>52</v>
      </c>
      <c r="N41" s="84" t="s">
        <v>52</v>
      </c>
      <c r="O41" s="83" t="s">
        <v>52</v>
      </c>
      <c r="P41" s="84" t="s">
        <v>52</v>
      </c>
      <c r="Q41" s="117"/>
    </row>
    <row r="42" spans="1:29" ht="14.4">
      <c r="A42" s="120">
        <v>36</v>
      </c>
      <c r="B42" s="160" t="s">
        <v>203</v>
      </c>
      <c r="C42" s="121" t="s">
        <v>172</v>
      </c>
      <c r="D42" s="81" t="s">
        <v>45</v>
      </c>
      <c r="E42" s="121" t="s">
        <v>67</v>
      </c>
      <c r="F42" s="121" t="s">
        <v>86</v>
      </c>
      <c r="G42" s="122">
        <v>3445.8128000000002</v>
      </c>
      <c r="H42" s="123">
        <v>45477</v>
      </c>
      <c r="I42" s="123">
        <v>45573</v>
      </c>
      <c r="J42" s="133">
        <v>10000000</v>
      </c>
      <c r="K42" s="130" t="s">
        <v>52</v>
      </c>
      <c r="L42" s="130" t="s">
        <v>52</v>
      </c>
      <c r="M42" s="83" t="s">
        <v>52</v>
      </c>
      <c r="N42" s="84" t="s">
        <v>52</v>
      </c>
      <c r="O42" s="83" t="s">
        <v>52</v>
      </c>
      <c r="P42" s="84" t="s">
        <v>52</v>
      </c>
      <c r="Q42" s="117"/>
    </row>
    <row r="43" spans="1:29" ht="14.4">
      <c r="A43" s="120">
        <v>37</v>
      </c>
      <c r="B43" s="160" t="s">
        <v>204</v>
      </c>
      <c r="C43" s="121" t="s">
        <v>150</v>
      </c>
      <c r="D43" s="81" t="s">
        <v>45</v>
      </c>
      <c r="E43" s="121" t="s">
        <v>35</v>
      </c>
      <c r="F43" s="121" t="s">
        <v>49</v>
      </c>
      <c r="G43" s="122">
        <v>3431.0605</v>
      </c>
      <c r="H43" s="123">
        <v>45478</v>
      </c>
      <c r="I43" s="123">
        <v>45573</v>
      </c>
      <c r="J43" s="133">
        <v>10000000</v>
      </c>
      <c r="K43" s="130" t="s">
        <v>52</v>
      </c>
      <c r="L43" s="130" t="s">
        <v>52</v>
      </c>
      <c r="M43" s="83" t="s">
        <v>52</v>
      </c>
      <c r="N43" s="84" t="s">
        <v>52</v>
      </c>
      <c r="O43" s="83" t="s">
        <v>52</v>
      </c>
      <c r="P43" s="84" t="s">
        <v>52</v>
      </c>
      <c r="Q43" s="117"/>
    </row>
    <row r="44" spans="1:29" ht="14.4">
      <c r="A44" s="120">
        <v>38</v>
      </c>
      <c r="B44" s="160" t="s">
        <v>173</v>
      </c>
      <c r="C44" s="121" t="s">
        <v>205</v>
      </c>
      <c r="D44" s="81" t="s">
        <v>45</v>
      </c>
      <c r="E44" s="121" t="s">
        <v>67</v>
      </c>
      <c r="F44" s="121" t="s">
        <v>114</v>
      </c>
      <c r="G44" s="122">
        <v>3439.8110999999999</v>
      </c>
      <c r="H44" s="123">
        <v>45482</v>
      </c>
      <c r="I44" s="123">
        <v>45579</v>
      </c>
      <c r="J44" s="133">
        <v>7000000</v>
      </c>
      <c r="K44" s="130" t="s">
        <v>52</v>
      </c>
      <c r="L44" s="130" t="s">
        <v>52</v>
      </c>
      <c r="M44" s="83" t="s">
        <v>52</v>
      </c>
      <c r="N44" s="84" t="s">
        <v>52</v>
      </c>
      <c r="O44" s="83" t="s">
        <v>52</v>
      </c>
      <c r="P44" s="84" t="s">
        <v>52</v>
      </c>
      <c r="Q44" s="117"/>
    </row>
    <row r="45" spans="1:29" ht="14.4">
      <c r="A45" s="120">
        <v>39</v>
      </c>
      <c r="B45" s="160" t="s">
        <v>174</v>
      </c>
      <c r="C45" s="121" t="s">
        <v>175</v>
      </c>
      <c r="D45" s="81" t="s">
        <v>45</v>
      </c>
      <c r="E45" s="121" t="s">
        <v>67</v>
      </c>
      <c r="F45" s="121" t="s">
        <v>68</v>
      </c>
      <c r="G45" s="122">
        <v>3449</v>
      </c>
      <c r="H45" s="123">
        <v>45496</v>
      </c>
      <c r="I45" s="123">
        <v>45588</v>
      </c>
      <c r="J45" s="133">
        <v>50000000</v>
      </c>
      <c r="K45" s="130" t="s">
        <v>52</v>
      </c>
      <c r="L45" s="130" t="s">
        <v>52</v>
      </c>
      <c r="M45" s="83" t="s">
        <v>52</v>
      </c>
      <c r="N45" s="84" t="s">
        <v>52</v>
      </c>
      <c r="O45" s="83" t="s">
        <v>52</v>
      </c>
      <c r="P45" s="84" t="s">
        <v>52</v>
      </c>
      <c r="Q45" s="117"/>
    </row>
    <row r="46" spans="1:29" ht="14.4">
      <c r="A46" s="120">
        <v>40</v>
      </c>
      <c r="B46" s="160" t="s">
        <v>177</v>
      </c>
      <c r="C46" s="121" t="s">
        <v>178</v>
      </c>
      <c r="D46" s="81" t="s">
        <v>45</v>
      </c>
      <c r="E46" s="121" t="s">
        <v>67</v>
      </c>
      <c r="F46" s="121" t="s">
        <v>49</v>
      </c>
      <c r="G46" s="122">
        <v>3334.39</v>
      </c>
      <c r="H46" s="123">
        <v>45517</v>
      </c>
      <c r="I46" s="123">
        <v>45546</v>
      </c>
      <c r="J46" s="133">
        <v>12040000</v>
      </c>
      <c r="K46" s="83" t="s">
        <v>52</v>
      </c>
      <c r="L46" s="83" t="s">
        <v>52</v>
      </c>
      <c r="M46" s="83" t="s">
        <v>52</v>
      </c>
      <c r="N46" s="83" t="s">
        <v>52</v>
      </c>
      <c r="O46" s="83" t="s">
        <v>52</v>
      </c>
      <c r="P46" s="84" t="s">
        <v>52</v>
      </c>
      <c r="Q46" s="117"/>
    </row>
    <row r="47" spans="1:29" ht="14.4">
      <c r="A47" s="31">
        <v>41</v>
      </c>
      <c r="B47" s="159" t="s">
        <v>179</v>
      </c>
      <c r="C47" s="39" t="s">
        <v>184</v>
      </c>
      <c r="D47" s="39" t="s">
        <v>34</v>
      </c>
      <c r="E47" s="39" t="s">
        <v>67</v>
      </c>
      <c r="F47" s="39" t="s">
        <v>49</v>
      </c>
      <c r="G47" s="38">
        <v>3305.33</v>
      </c>
      <c r="H47" s="40">
        <v>45531</v>
      </c>
      <c r="I47" s="40">
        <v>45894</v>
      </c>
      <c r="J47" s="132">
        <v>16840000</v>
      </c>
      <c r="K47" s="132">
        <v>16840000</v>
      </c>
      <c r="L47" s="132">
        <v>0</v>
      </c>
      <c r="M47" s="42" cm="1">
        <f t="array" aca="1" ref="M47" ca="1">MIN(IF(R47:AC47&gt;$B$2,R47:AC47))</f>
        <v>0</v>
      </c>
      <c r="N47" s="41">
        <f>$C$2/G47-1</f>
        <v>0.17689316951711342</v>
      </c>
      <c r="O47" s="113" t="s">
        <v>52</v>
      </c>
      <c r="P47" s="41" t="s">
        <v>52</v>
      </c>
      <c r="Q47" s="117"/>
      <c r="R47" s="163">
        <v>45560</v>
      </c>
      <c r="S47" s="163">
        <v>45589</v>
      </c>
      <c r="T47" s="163">
        <v>45621</v>
      </c>
      <c r="U47" s="163">
        <v>45651</v>
      </c>
      <c r="V47" s="163">
        <v>45680</v>
      </c>
      <c r="W47" s="163">
        <v>45713</v>
      </c>
      <c r="X47" s="163">
        <v>45741</v>
      </c>
      <c r="Y47" s="163">
        <v>45771</v>
      </c>
      <c r="Z47" s="163">
        <v>45800</v>
      </c>
      <c r="AA47" s="163">
        <v>45833</v>
      </c>
      <c r="AB47" s="163">
        <v>45861</v>
      </c>
      <c r="AC47" s="163">
        <v>45894</v>
      </c>
    </row>
    <row r="48" spans="1:29" ht="14.4">
      <c r="A48" s="120">
        <v>42</v>
      </c>
      <c r="B48" s="160" t="s">
        <v>181</v>
      </c>
      <c r="C48" s="121" t="s">
        <v>185</v>
      </c>
      <c r="D48" s="81" t="s">
        <v>213</v>
      </c>
      <c r="E48" s="121" t="s">
        <v>67</v>
      </c>
      <c r="F48" s="121" t="s">
        <v>180</v>
      </c>
      <c r="G48" s="122">
        <v>3283.29</v>
      </c>
      <c r="H48" s="123">
        <v>45532</v>
      </c>
      <c r="I48" s="123">
        <v>45593</v>
      </c>
      <c r="J48" s="133">
        <v>20000000</v>
      </c>
      <c r="K48" s="83" t="s">
        <v>52</v>
      </c>
      <c r="L48" s="83" t="s">
        <v>52</v>
      </c>
      <c r="M48" s="83" t="s">
        <v>52</v>
      </c>
      <c r="N48" s="83" t="s">
        <v>52</v>
      </c>
      <c r="O48" s="83" t="s">
        <v>52</v>
      </c>
      <c r="P48" s="84" t="s">
        <v>52</v>
      </c>
      <c r="Q48" s="117"/>
    </row>
    <row r="49" spans="1:29" ht="14.4">
      <c r="A49" s="120">
        <v>43</v>
      </c>
      <c r="B49" s="160" t="s">
        <v>182</v>
      </c>
      <c r="C49" s="121" t="s">
        <v>211</v>
      </c>
      <c r="D49" s="81" t="s">
        <v>213</v>
      </c>
      <c r="E49" s="121" t="s">
        <v>67</v>
      </c>
      <c r="F49" s="121" t="s">
        <v>180</v>
      </c>
      <c r="G49" s="122">
        <v>3283.08</v>
      </c>
      <c r="H49" s="123">
        <v>45532</v>
      </c>
      <c r="I49" s="123">
        <v>45593</v>
      </c>
      <c r="J49" s="133">
        <v>30000000</v>
      </c>
      <c r="K49" s="83" t="s">
        <v>52</v>
      </c>
      <c r="L49" s="83" t="s">
        <v>52</v>
      </c>
      <c r="M49" s="83" t="s">
        <v>52</v>
      </c>
      <c r="N49" s="83" t="s">
        <v>52</v>
      </c>
      <c r="O49" s="83" t="s">
        <v>52</v>
      </c>
      <c r="P49" s="84" t="s">
        <v>52</v>
      </c>
      <c r="Q49" s="117"/>
    </row>
    <row r="50" spans="1:29" ht="14.4">
      <c r="A50" s="120">
        <v>44</v>
      </c>
      <c r="B50" s="160" t="s">
        <v>183</v>
      </c>
      <c r="C50" s="121" t="s">
        <v>212</v>
      </c>
      <c r="D50" s="81" t="s">
        <v>213</v>
      </c>
      <c r="E50" s="121" t="s">
        <v>67</v>
      </c>
      <c r="F50" s="121" t="s">
        <v>180</v>
      </c>
      <c r="G50" s="122">
        <v>3276.12</v>
      </c>
      <c r="H50" s="123">
        <v>45532</v>
      </c>
      <c r="I50" s="123">
        <v>45593</v>
      </c>
      <c r="J50" s="133">
        <v>50000000</v>
      </c>
      <c r="K50" s="83" t="s">
        <v>52</v>
      </c>
      <c r="L50" s="83" t="s">
        <v>52</v>
      </c>
      <c r="M50" s="83" t="s">
        <v>52</v>
      </c>
      <c r="N50" s="83" t="s">
        <v>52</v>
      </c>
      <c r="O50" s="83" t="s">
        <v>52</v>
      </c>
      <c r="P50" s="84" t="s">
        <v>52</v>
      </c>
      <c r="Q50" s="117"/>
    </row>
    <row r="51" spans="1:29" ht="14.4">
      <c r="A51" s="31">
        <v>45</v>
      </c>
      <c r="B51" s="159" t="s">
        <v>186</v>
      </c>
      <c r="C51" s="39" t="s">
        <v>188</v>
      </c>
      <c r="D51" s="39" t="s">
        <v>34</v>
      </c>
      <c r="E51" s="39" t="s">
        <v>67</v>
      </c>
      <c r="F51" s="39" t="s">
        <v>180</v>
      </c>
      <c r="G51" s="38">
        <v>3239.92</v>
      </c>
      <c r="H51" s="40">
        <v>45541</v>
      </c>
      <c r="I51" s="40">
        <v>45602</v>
      </c>
      <c r="J51" s="132">
        <v>30000000</v>
      </c>
      <c r="K51" s="132">
        <v>30000000</v>
      </c>
      <c r="L51" s="132">
        <v>0</v>
      </c>
      <c r="M51" s="162">
        <v>45602</v>
      </c>
      <c r="N51" s="41">
        <f>$C$2/G51-0.93</f>
        <v>0.27065319514062069</v>
      </c>
      <c r="O51" s="113" t="s">
        <v>52</v>
      </c>
      <c r="P51" s="41" t="s">
        <v>52</v>
      </c>
      <c r="Q51" s="117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</row>
    <row r="52" spans="1:29" ht="14.4">
      <c r="A52" s="31">
        <v>46</v>
      </c>
      <c r="B52" s="159" t="s">
        <v>187</v>
      </c>
      <c r="C52" s="39" t="s">
        <v>189</v>
      </c>
      <c r="D52" s="39" t="s">
        <v>34</v>
      </c>
      <c r="E52" s="39" t="s">
        <v>67</v>
      </c>
      <c r="F52" s="39" t="s">
        <v>180</v>
      </c>
      <c r="G52" s="38">
        <v>3236.18</v>
      </c>
      <c r="H52" s="40">
        <v>45541</v>
      </c>
      <c r="I52" s="40">
        <v>45632</v>
      </c>
      <c r="J52" s="132">
        <v>30000000</v>
      </c>
      <c r="K52" s="132">
        <v>30000000</v>
      </c>
      <c r="L52" s="132">
        <v>0</v>
      </c>
      <c r="M52" s="162">
        <v>45632</v>
      </c>
      <c r="N52" s="41">
        <f>$C$2/G52-0.93</f>
        <v>0.27204077029089857</v>
      </c>
      <c r="O52" s="113" t="s">
        <v>52</v>
      </c>
      <c r="P52" s="41" t="s">
        <v>52</v>
      </c>
      <c r="Q52" s="117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</row>
    <row r="53" spans="1:29" ht="14.4">
      <c r="A53" s="31">
        <v>47</v>
      </c>
      <c r="B53" s="159" t="s">
        <v>190</v>
      </c>
      <c r="C53" s="39" t="s">
        <v>195</v>
      </c>
      <c r="D53" s="39" t="s">
        <v>34</v>
      </c>
      <c r="E53" s="39" t="s">
        <v>67</v>
      </c>
      <c r="F53" s="39" t="s">
        <v>180</v>
      </c>
      <c r="G53" s="38">
        <v>3199.5</v>
      </c>
      <c r="H53" s="40">
        <v>45544</v>
      </c>
      <c r="I53" s="40">
        <v>45635</v>
      </c>
      <c r="J53" s="132">
        <v>20000000</v>
      </c>
      <c r="K53" s="132">
        <v>20000000</v>
      </c>
      <c r="L53" s="132">
        <v>0</v>
      </c>
      <c r="M53" s="162">
        <v>45635</v>
      </c>
      <c r="N53" s="41">
        <f>$C$2/G53-0.97</f>
        <v>0.24582131583059863</v>
      </c>
      <c r="O53" s="113" t="s">
        <v>52</v>
      </c>
      <c r="P53" s="41" t="s">
        <v>52</v>
      </c>
      <c r="Q53" s="117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</row>
    <row r="54" spans="1:29" ht="14.4">
      <c r="A54" s="31">
        <v>48</v>
      </c>
      <c r="B54" s="159" t="s">
        <v>208</v>
      </c>
      <c r="C54" s="39" t="s">
        <v>207</v>
      </c>
      <c r="D54" s="39" t="s">
        <v>34</v>
      </c>
      <c r="E54" s="39" t="s">
        <v>206</v>
      </c>
      <c r="F54" s="39" t="s">
        <v>49</v>
      </c>
      <c r="G54" s="38">
        <v>3831.59</v>
      </c>
      <c r="H54" s="40">
        <v>45581</v>
      </c>
      <c r="I54" s="40">
        <v>45762</v>
      </c>
      <c r="J54" s="132">
        <v>10000000</v>
      </c>
      <c r="K54" s="132">
        <v>10000000</v>
      </c>
      <c r="L54" s="132">
        <v>10000000</v>
      </c>
      <c r="M54" s="42" cm="1">
        <f t="array" aca="1" ref="M54" ca="1">MIN(IF(R54:U54&gt;$B$2,R54:U54))</f>
        <v>0</v>
      </c>
      <c r="N54" s="41">
        <f>1.03-$C$2/G54</f>
        <v>1.4750377780503587E-2</v>
      </c>
      <c r="O54" s="113" t="s">
        <v>52</v>
      </c>
      <c r="P54" s="41" t="s">
        <v>52</v>
      </c>
      <c r="Q54" s="117"/>
      <c r="R54" s="163">
        <v>45673</v>
      </c>
      <c r="S54" s="163">
        <v>45705</v>
      </c>
      <c r="T54" s="163">
        <v>45733</v>
      </c>
      <c r="U54" s="163">
        <v>45762</v>
      </c>
      <c r="V54" s="161"/>
      <c r="W54" s="161"/>
      <c r="X54" s="161"/>
      <c r="Y54" s="161"/>
      <c r="Z54" s="161"/>
      <c r="AA54" s="161"/>
      <c r="AB54" s="161"/>
      <c r="AC54" s="161"/>
    </row>
    <row r="56" spans="1:29">
      <c r="J56" s="32">
        <f>SUM(J7:J54)</f>
        <v>1728931000</v>
      </c>
      <c r="K56" s="32">
        <f>SUM(K7:K54)</f>
        <v>156840000</v>
      </c>
      <c r="L56" s="32">
        <f>SUM(L7:L54)</f>
        <v>60000000</v>
      </c>
      <c r="M56" s="32"/>
      <c r="N56" s="90"/>
      <c r="O56" s="32"/>
      <c r="P56" s="32"/>
    </row>
    <row r="57" spans="1:29">
      <c r="J57" s="33"/>
      <c r="N57" s="90"/>
      <c r="O57" s="32"/>
      <c r="P57" s="32"/>
    </row>
    <row r="58" spans="1:29">
      <c r="N58" s="90"/>
      <c r="O58" s="32"/>
      <c r="P58" s="32"/>
    </row>
    <row r="59" spans="1:29">
      <c r="N59" s="90"/>
      <c r="O59" s="32"/>
      <c r="P59" s="32"/>
    </row>
  </sheetData>
  <mergeCells count="1">
    <mergeCell ref="A2:A4"/>
  </mergeCells>
  <phoneticPr fontId="1" type="noConversion"/>
  <conditionalFormatting sqref="I1:I16 I19:I1048576">
    <cfRule type="cellIs" dxfId="10" priority="5" operator="between">
      <formula>$B$2</formula>
      <formula>$B$4</formula>
    </cfRule>
  </conditionalFormatting>
  <conditionalFormatting sqref="M1:M45 O7:O38 O40:O45 K46:O46 M47 K48:O50 M51:M55 M57:M1048576">
    <cfRule type="cellIs" dxfId="9" priority="19" operator="between">
      <formula>$B$2</formula>
      <formula>$B$4</formula>
    </cfRule>
  </conditionalFormatting>
  <conditionalFormatting sqref="N1:N45 N47 N51:N1048576">
    <cfRule type="cellIs" dxfId="8" priority="14" operator="between">
      <formula>0.0200001</formula>
      <formula>0.05</formula>
    </cfRule>
    <cfRule type="cellIs" dxfId="7" priority="15" operator="between">
      <formula>0.000001</formula>
      <formula>0.02</formula>
    </cfRule>
    <cfRule type="cellIs" dxfId="6" priority="16" operator="lessThan">
      <formula>0</formula>
    </cfRule>
  </conditionalFormatting>
  <conditionalFormatting sqref="O7:O38 M7:M45 O40:O45 K46:O46 M47 K48:O50 M51:M54">
    <cfRule type="cellIs" dxfId="5" priority="21" operator="between">
      <formula>$B$2</formula>
      <formula>$B$3</formula>
    </cfRule>
  </conditionalFormatting>
  <conditionalFormatting sqref="P6 P47 P51:P54">
    <cfRule type="cellIs" dxfId="4" priority="17" operator="between">
      <formula>0.00000001</formula>
      <formula>0.05</formula>
    </cfRule>
  </conditionalFormatting>
  <conditionalFormatting sqref="P7:P38">
    <cfRule type="cellIs" dxfId="3" priority="12" operator="lessThan">
      <formula>0.05</formula>
    </cfRule>
  </conditionalFormatting>
  <conditionalFormatting sqref="P39">
    <cfRule type="cellIs" dxfId="2" priority="10" operator="between">
      <formula>0.00000001</formula>
      <formula>0.05</formula>
    </cfRule>
  </conditionalFormatting>
  <conditionalFormatting sqref="P40:P46">
    <cfRule type="cellIs" dxfId="1" priority="3" operator="lessThan">
      <formula>0.05</formula>
    </cfRule>
  </conditionalFormatting>
  <conditionalFormatting sqref="P48:P50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406A-3529-4DE6-9495-A3672C41F585}">
  <sheetPr codeName="Sheet2"/>
  <dimension ref="A1:X339"/>
  <sheetViews>
    <sheetView tabSelected="1" topLeftCell="A197" workbookViewId="0">
      <selection activeCell="B342" sqref="B342"/>
    </sheetView>
  </sheetViews>
  <sheetFormatPr defaultRowHeight="13.8"/>
  <cols>
    <col min="1" max="1" width="16.21875" style="47" bestFit="1" customWidth="1"/>
    <col min="2" max="2" width="10.88671875" style="58" bestFit="1" customWidth="1"/>
    <col min="3" max="4" width="18.21875" style="77" customWidth="1"/>
    <col min="5" max="5" width="18.5546875" style="77" customWidth="1"/>
    <col min="6" max="12" width="16.33203125" style="27" customWidth="1"/>
    <col min="14" max="14" width="13.88671875" customWidth="1"/>
    <col min="15" max="15" width="14.88671875" customWidth="1"/>
    <col min="16" max="16" width="12.6640625" customWidth="1"/>
    <col min="17" max="17" width="11.77734375" customWidth="1"/>
    <col min="19" max="19" width="10.88671875" customWidth="1"/>
    <col min="22" max="22" width="18.77734375" bestFit="1" customWidth="1"/>
  </cols>
  <sheetData>
    <row r="1" spans="1:12" ht="14.4">
      <c r="A1" s="46" t="s">
        <v>0</v>
      </c>
      <c r="B1" s="46" t="s">
        <v>1</v>
      </c>
      <c r="C1" s="75" t="s">
        <v>64</v>
      </c>
      <c r="D1" s="75" t="s">
        <v>62</v>
      </c>
      <c r="E1" s="76" t="s">
        <v>63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61</v>
      </c>
    </row>
    <row r="2" spans="1:12">
      <c r="A2" s="47">
        <v>45086.625</v>
      </c>
      <c r="B2" s="58">
        <v>3836.7026000000001</v>
      </c>
      <c r="C2" s="77">
        <v>200000000</v>
      </c>
      <c r="D2" s="77">
        <v>200000000</v>
      </c>
      <c r="E2" s="77">
        <v>200000000</v>
      </c>
      <c r="F2" s="27">
        <v>-39390.408684282091</v>
      </c>
      <c r="G2" s="27">
        <v>293432.65628111945</v>
      </c>
      <c r="H2" s="27">
        <v>-98126.049603174353</v>
      </c>
      <c r="I2" s="27">
        <v>-8028.9479098725596</v>
      </c>
      <c r="J2" s="27">
        <v>25208.302533515183</v>
      </c>
      <c r="K2" s="27">
        <v>-1089093.7208257299</v>
      </c>
    </row>
    <row r="3" spans="1:12">
      <c r="A3" s="47">
        <v>45089.625</v>
      </c>
      <c r="B3" s="58">
        <v>3844.4324000000001</v>
      </c>
      <c r="C3" s="77">
        <v>200000000</v>
      </c>
      <c r="D3" s="77">
        <v>200000000</v>
      </c>
      <c r="E3" s="77">
        <v>200000000</v>
      </c>
      <c r="F3" s="27">
        <v>-13599.349914158633</v>
      </c>
      <c r="G3" s="27">
        <v>277967.81436022074</v>
      </c>
      <c r="H3" s="27">
        <v>-100304.64955930786</v>
      </c>
      <c r="I3" s="27">
        <v>-8145.0401757355348</v>
      </c>
      <c r="J3" s="27">
        <v>25223.544826604601</v>
      </c>
      <c r="K3" s="27">
        <v>-1081066.3395698492</v>
      </c>
    </row>
    <row r="4" spans="1:12">
      <c r="A4" s="47">
        <v>45090.625</v>
      </c>
      <c r="B4" s="58">
        <v>3864.9074000000001</v>
      </c>
      <c r="C4" s="77">
        <v>200000000</v>
      </c>
      <c r="D4" s="77">
        <v>200000000</v>
      </c>
      <c r="E4" s="77">
        <v>200000000</v>
      </c>
      <c r="F4" s="27">
        <v>12984.585742280859</v>
      </c>
      <c r="G4" s="27">
        <v>228641.81595874042</v>
      </c>
      <c r="H4" s="27">
        <v>-104079.2161867286</v>
      </c>
      <c r="I4" s="27">
        <v>-8387.0503542877432</v>
      </c>
      <c r="J4" s="27">
        <v>25250.502717725965</v>
      </c>
      <c r="K4" s="27">
        <v>-1073221.7121960709</v>
      </c>
    </row>
    <row r="5" spans="1:12">
      <c r="A5" s="47">
        <v>45091.625</v>
      </c>
      <c r="B5" s="58">
        <v>3864.0246999999999</v>
      </c>
      <c r="C5" s="77">
        <v>200000000</v>
      </c>
      <c r="D5" s="77">
        <v>200000000</v>
      </c>
      <c r="E5" s="77">
        <v>200000000</v>
      </c>
      <c r="F5" s="27">
        <v>38185.77277328226</v>
      </c>
      <c r="G5" s="27">
        <v>234409.40341153249</v>
      </c>
      <c r="H5" s="27">
        <v>-105097.09336930425</v>
      </c>
      <c r="I5" s="27">
        <v>-8403.9274694553787</v>
      </c>
      <c r="J5" s="27">
        <v>25257.64400640134</v>
      </c>
      <c r="K5" s="27">
        <v>-1065069.7510633406</v>
      </c>
    </row>
    <row r="6" spans="1:12">
      <c r="A6" s="47">
        <v>45092.625</v>
      </c>
      <c r="B6" s="58">
        <v>3925.4994000000002</v>
      </c>
      <c r="C6" s="77">
        <v>200000000</v>
      </c>
      <c r="D6" s="77">
        <v>200000000</v>
      </c>
      <c r="E6" s="77">
        <v>200000000</v>
      </c>
      <c r="F6" s="27">
        <v>65877.396388412599</v>
      </c>
      <c r="G6" s="27">
        <v>68394.435597356802</v>
      </c>
      <c r="H6" s="27">
        <v>-110546.42957645521</v>
      </c>
      <c r="I6" s="27">
        <v>-8771.1721917029427</v>
      </c>
      <c r="J6" s="27">
        <v>25306.991111622436</v>
      </c>
      <c r="K6" s="27">
        <v>-1057837.9859047323</v>
      </c>
    </row>
    <row r="7" spans="1:12">
      <c r="A7" s="47">
        <v>45093.625</v>
      </c>
      <c r="B7" s="58">
        <v>3963.3508999999999</v>
      </c>
      <c r="C7" s="77">
        <v>200000000</v>
      </c>
      <c r="D7" s="77">
        <v>200000000</v>
      </c>
      <c r="E7" s="77">
        <v>200000000</v>
      </c>
      <c r="F7" s="27">
        <v>91347.837858330604</v>
      </c>
      <c r="G7" s="27">
        <v>-36985.002906041627</v>
      </c>
      <c r="H7" s="27">
        <v>-111176.79121070344</v>
      </c>
      <c r="I7" s="27">
        <v>-8752.2559490510466</v>
      </c>
      <c r="J7" s="27">
        <v>25326.142586514885</v>
      </c>
      <c r="K7" s="27">
        <v>-1050260.3342779418</v>
      </c>
    </row>
    <row r="8" spans="1:12">
      <c r="A8" s="47">
        <v>45096.625</v>
      </c>
      <c r="B8" s="58">
        <v>3930.9079000000002</v>
      </c>
      <c r="C8" s="77">
        <v>200000000</v>
      </c>
      <c r="D8" s="77">
        <v>200000000</v>
      </c>
      <c r="E8" s="77">
        <v>200000000</v>
      </c>
      <c r="F8" s="27">
        <v>116597.44166462119</v>
      </c>
      <c r="G8" s="27">
        <v>56275.754466125887</v>
      </c>
      <c r="H8" s="27">
        <v>-113224.23361906287</v>
      </c>
      <c r="I8" s="27">
        <v>-8843.2716478779093</v>
      </c>
      <c r="J8" s="27">
        <v>25327.229968512227</v>
      </c>
      <c r="K8" s="27">
        <v>-1041636.4451155049</v>
      </c>
    </row>
    <row r="9" spans="1:12">
      <c r="A9" s="47">
        <v>45097.625</v>
      </c>
      <c r="B9" s="58">
        <v>3924.2377000000001</v>
      </c>
      <c r="C9" s="77">
        <v>200000000</v>
      </c>
      <c r="D9" s="77">
        <v>200000000</v>
      </c>
      <c r="E9" s="77">
        <v>200000000</v>
      </c>
      <c r="F9" s="27">
        <v>141814.62322904891</v>
      </c>
      <c r="G9" s="27">
        <v>77172.605151902113</v>
      </c>
      <c r="H9" s="27">
        <v>-114472.81465437869</v>
      </c>
      <c r="I9" s="27">
        <v>-8869.8347392251817</v>
      </c>
      <c r="J9" s="27">
        <v>25333.570100211375</v>
      </c>
      <c r="K9" s="27">
        <v>-1033391.8011064044</v>
      </c>
    </row>
    <row r="10" spans="1:12">
      <c r="A10" s="47">
        <v>45098.625</v>
      </c>
      <c r="B10" s="58">
        <v>3864.0322999999999</v>
      </c>
      <c r="C10" s="77">
        <v>200000000</v>
      </c>
      <c r="D10" s="77">
        <v>200000000</v>
      </c>
      <c r="E10" s="77">
        <v>200000000</v>
      </c>
      <c r="F10" s="27">
        <v>164575.79151475421</v>
      </c>
      <c r="G10" s="27">
        <v>252665.88873738635</v>
      </c>
      <c r="H10" s="27">
        <v>-111011.6519087823</v>
      </c>
      <c r="I10" s="27">
        <v>-8532.8142740752974</v>
      </c>
      <c r="J10" s="27">
        <v>25298.545510716063</v>
      </c>
      <c r="K10" s="27">
        <v>-1024342.0430909793</v>
      </c>
    </row>
    <row r="11" spans="1:12">
      <c r="A11" s="47">
        <v>45103.625</v>
      </c>
      <c r="B11" s="58">
        <v>3809.6961999999999</v>
      </c>
      <c r="C11" s="77">
        <v>200000000</v>
      </c>
      <c r="D11" s="77">
        <v>200000000</v>
      </c>
      <c r="E11" s="77">
        <v>200000000</v>
      </c>
      <c r="F11" s="27">
        <v>185180.62524806452</v>
      </c>
      <c r="G11" s="27">
        <v>404106.82585100387</v>
      </c>
      <c r="H11" s="27">
        <v>-101915.91788128846</v>
      </c>
      <c r="I11" s="27">
        <v>-7770.4336790489842</v>
      </c>
      <c r="J11" s="27">
        <v>25240.040570233723</v>
      </c>
      <c r="K11" s="27">
        <v>-1015416.2011539992</v>
      </c>
    </row>
    <row r="12" spans="1:12">
      <c r="A12" s="47">
        <v>45104.625</v>
      </c>
      <c r="B12" s="58">
        <v>3845.4333999999999</v>
      </c>
      <c r="C12" s="77">
        <v>200000000</v>
      </c>
      <c r="D12" s="77">
        <v>200000000</v>
      </c>
      <c r="E12" s="77">
        <v>200000000</v>
      </c>
      <c r="F12" s="27">
        <v>213805.05513751498</v>
      </c>
      <c r="G12" s="27">
        <v>313197.23549712059</v>
      </c>
      <c r="H12" s="27">
        <v>-110513.9251249746</v>
      </c>
      <c r="I12" s="27">
        <v>-8357.5291577845819</v>
      </c>
      <c r="J12" s="27">
        <v>25294.830559130103</v>
      </c>
      <c r="K12" s="27">
        <v>-1007763.4080336568</v>
      </c>
    </row>
    <row r="13" spans="1:12">
      <c r="A13" s="47">
        <v>45105.625</v>
      </c>
      <c r="B13" s="58">
        <v>3840.7986000000001</v>
      </c>
      <c r="C13" s="77">
        <v>200000000</v>
      </c>
      <c r="D13" s="77">
        <v>200000000</v>
      </c>
      <c r="E13" s="77">
        <v>200000000</v>
      </c>
      <c r="F13" s="27">
        <v>238712.81223566833</v>
      </c>
      <c r="G13" s="27">
        <v>330856.86849996343</v>
      </c>
      <c r="H13" s="27">
        <v>-110858.40830686256</v>
      </c>
      <c r="I13" s="27">
        <v>-8314.8567370169458</v>
      </c>
      <c r="J13" s="27">
        <v>25297.330633136866</v>
      </c>
      <c r="K13" s="27">
        <v>-999539.2889374498</v>
      </c>
    </row>
    <row r="14" spans="1:12">
      <c r="A14" s="47">
        <v>45106.625</v>
      </c>
      <c r="B14" s="58">
        <v>3821.8434999999999</v>
      </c>
      <c r="C14" s="77">
        <v>200000000</v>
      </c>
      <c r="D14" s="77">
        <v>200000000</v>
      </c>
      <c r="E14" s="77">
        <v>200000000</v>
      </c>
      <c r="F14" s="27">
        <v>262221.98506822257</v>
      </c>
      <c r="G14" s="27">
        <v>388395.8394672969</v>
      </c>
      <c r="H14" s="27">
        <v>-107995.27626546391</v>
      </c>
      <c r="I14" s="27">
        <v>-8033.1380818965208</v>
      </c>
      <c r="J14" s="27">
        <v>25279.801270707569</v>
      </c>
      <c r="K14" s="27">
        <v>-991109.88033847034</v>
      </c>
    </row>
    <row r="15" spans="1:12">
      <c r="A15" s="47">
        <v>45107.625</v>
      </c>
      <c r="B15" s="58">
        <v>3842.4515999999999</v>
      </c>
      <c r="C15" s="77">
        <v>200000000</v>
      </c>
      <c r="D15" s="77">
        <v>200000000</v>
      </c>
      <c r="E15" s="77">
        <v>200000000</v>
      </c>
      <c r="F15" s="27">
        <v>289469.47600074433</v>
      </c>
      <c r="G15" s="27">
        <v>335952.38118903822</v>
      </c>
      <c r="H15" s="27">
        <v>-113648.45748367943</v>
      </c>
      <c r="I15" s="27">
        <v>-8383.2305553408351</v>
      </c>
      <c r="J15" s="27">
        <v>25315.961543739264</v>
      </c>
      <c r="K15" s="27">
        <v>-983242.50761587324</v>
      </c>
    </row>
    <row r="16" spans="1:12">
      <c r="A16" s="47">
        <v>45110.625</v>
      </c>
      <c r="B16" s="58">
        <v>3892.8820999999998</v>
      </c>
      <c r="C16" s="77">
        <v>200000000</v>
      </c>
      <c r="D16" s="77">
        <v>200000000</v>
      </c>
      <c r="E16" s="77">
        <v>200000000</v>
      </c>
      <c r="F16" s="27">
        <v>318258.12413299311</v>
      </c>
      <c r="G16" s="27">
        <v>189026.66546188423</v>
      </c>
      <c r="H16" s="27">
        <v>-122595.13707689181</v>
      </c>
      <c r="I16" s="27">
        <v>-8967.23544436052</v>
      </c>
      <c r="J16" s="27">
        <v>25379.336747177844</v>
      </c>
      <c r="K16" s="27">
        <v>-975836.77842646954</v>
      </c>
    </row>
    <row r="17" spans="1:11">
      <c r="A17" s="47">
        <v>45111.625</v>
      </c>
      <c r="B17" s="58">
        <v>3899.0133000000001</v>
      </c>
      <c r="C17" s="77">
        <v>200000000</v>
      </c>
      <c r="D17" s="77">
        <v>200000000</v>
      </c>
      <c r="E17" s="77">
        <v>200000000</v>
      </c>
      <c r="F17" s="27">
        <v>343929.88861731417</v>
      </c>
      <c r="G17" s="27">
        <v>173085.58855968842</v>
      </c>
      <c r="H17" s="27">
        <v>-124678.15896404082</v>
      </c>
      <c r="I17" s="27">
        <v>-9042.3175839826181</v>
      </c>
      <c r="J17" s="27">
        <v>25394.17914448641</v>
      </c>
      <c r="K17" s="27">
        <v>-967768.16332935821</v>
      </c>
    </row>
    <row r="18" spans="1:11">
      <c r="A18" s="47">
        <v>45112.625</v>
      </c>
      <c r="B18" s="58">
        <v>3868.8054000000002</v>
      </c>
      <c r="C18" s="77">
        <v>200000000</v>
      </c>
      <c r="D18" s="77">
        <v>200000000</v>
      </c>
      <c r="E18" s="77">
        <v>200000000</v>
      </c>
      <c r="F18" s="27">
        <v>367585.83805046434</v>
      </c>
      <c r="G18" s="27">
        <v>271360.27959480608</v>
      </c>
      <c r="H18" s="27">
        <v>-122448.11464493026</v>
      </c>
      <c r="I18" s="27">
        <v>-8804.6610344043947</v>
      </c>
      <c r="J18" s="27">
        <v>25374.561721885166</v>
      </c>
      <c r="K18" s="27">
        <v>-959138.94651688403</v>
      </c>
    </row>
    <row r="19" spans="1:11">
      <c r="A19" s="47">
        <v>45113.625</v>
      </c>
      <c r="B19" s="58">
        <v>3842.7547</v>
      </c>
      <c r="C19" s="77">
        <v>200000000</v>
      </c>
      <c r="D19" s="77">
        <v>200000000</v>
      </c>
      <c r="E19" s="77">
        <v>200000000</v>
      </c>
      <c r="F19" s="27">
        <v>390829.43796915497</v>
      </c>
      <c r="G19" s="27">
        <v>355757.85471248173</v>
      </c>
      <c r="H19" s="27">
        <v>-118936.41022707477</v>
      </c>
      <c r="I19" s="27">
        <v>-8478.3947802187777</v>
      </c>
      <c r="J19" s="27">
        <v>25350.655020210743</v>
      </c>
      <c r="K19" s="27">
        <v>-950579.88434187905</v>
      </c>
    </row>
    <row r="20" spans="1:11">
      <c r="A20" s="47">
        <v>45114.625</v>
      </c>
      <c r="B20" s="58">
        <v>3825.6988000000001</v>
      </c>
      <c r="C20" s="77">
        <v>220000000</v>
      </c>
      <c r="D20" s="77">
        <v>220000000</v>
      </c>
      <c r="E20" s="77">
        <v>220000000</v>
      </c>
      <c r="F20" s="27">
        <v>391276.84074748424</v>
      </c>
      <c r="G20" s="27">
        <v>877533.69360656582</v>
      </c>
      <c r="H20" s="27">
        <v>-127945.55910164685</v>
      </c>
      <c r="I20" s="27">
        <v>-9048.577195703514</v>
      </c>
      <c r="J20" s="27">
        <v>27807.247773212202</v>
      </c>
      <c r="K20" s="27">
        <v>-1034879.223363118</v>
      </c>
    </row>
    <row r="21" spans="1:11">
      <c r="A21" s="47">
        <v>45117.625</v>
      </c>
      <c r="B21" s="58">
        <v>3844.3269</v>
      </c>
      <c r="C21" s="77">
        <v>220000000</v>
      </c>
      <c r="D21" s="77">
        <v>220000000</v>
      </c>
      <c r="E21" s="77">
        <v>220000000</v>
      </c>
      <c r="F21" s="27">
        <v>423247.54152877285</v>
      </c>
      <c r="G21" s="27">
        <v>825734.10294655478</v>
      </c>
      <c r="H21" s="27">
        <v>-136284.59062966754</v>
      </c>
      <c r="I21" s="27">
        <v>-9554.9289735433485</v>
      </c>
      <c r="J21" s="27">
        <v>27856.400047513969</v>
      </c>
      <c r="K21" s="27">
        <v>-1026199.8377516733</v>
      </c>
    </row>
    <row r="22" spans="1:11">
      <c r="A22" s="47">
        <v>45118.625</v>
      </c>
      <c r="B22" s="58">
        <v>3869.4861000000001</v>
      </c>
      <c r="C22" s="77">
        <v>220000000</v>
      </c>
      <c r="D22" s="77">
        <v>220000000</v>
      </c>
      <c r="E22" s="77">
        <v>220000000</v>
      </c>
      <c r="F22" s="27">
        <v>456265.69117425103</v>
      </c>
      <c r="G22" s="27">
        <v>746287.06760628289</v>
      </c>
      <c r="H22" s="27">
        <v>-146086.29418172649</v>
      </c>
      <c r="I22" s="27">
        <v>-10152.983176262802</v>
      </c>
      <c r="J22" s="27">
        <v>27915.909722794149</v>
      </c>
      <c r="K22" s="27">
        <v>-1017646.504185886</v>
      </c>
    </row>
    <row r="23" spans="1:11">
      <c r="A23" s="47">
        <v>45119.625</v>
      </c>
      <c r="B23" s="58">
        <v>3843.4369000000002</v>
      </c>
      <c r="C23" s="77">
        <v>220000000</v>
      </c>
      <c r="D23" s="77">
        <v>220000000</v>
      </c>
      <c r="E23" s="77">
        <v>220000000</v>
      </c>
      <c r="F23" s="27">
        <v>478784.17865165864</v>
      </c>
      <c r="G23" s="27">
        <v>845073.9925357257</v>
      </c>
      <c r="H23" s="27">
        <v>-139041.22738100245</v>
      </c>
      <c r="I23" s="27">
        <v>-9575.6964011221862</v>
      </c>
      <c r="J23" s="27">
        <v>27873.702731187459</v>
      </c>
      <c r="K23" s="27">
        <v>-1008217.2922530546</v>
      </c>
    </row>
    <row r="24" spans="1:11">
      <c r="A24" s="47">
        <v>45120.625</v>
      </c>
      <c r="B24" s="58">
        <v>3898.4229</v>
      </c>
      <c r="C24" s="77">
        <v>220000000</v>
      </c>
      <c r="D24" s="77">
        <v>220000000</v>
      </c>
      <c r="E24" s="77">
        <v>220000000</v>
      </c>
      <c r="F24" s="27">
        <v>517384.78222914861</v>
      </c>
      <c r="G24" s="27">
        <v>651610.45782557642</v>
      </c>
      <c r="H24" s="27">
        <v>-157389.97640528539</v>
      </c>
      <c r="I24" s="27">
        <v>-10745.000692587862</v>
      </c>
      <c r="J24" s="27">
        <v>27987.773141369486</v>
      </c>
      <c r="K24" s="27">
        <v>-1000197.4395847695</v>
      </c>
    </row>
    <row r="25" spans="1:11">
      <c r="A25" s="47">
        <v>45121.625</v>
      </c>
      <c r="B25" s="58">
        <v>3899.1026999999999</v>
      </c>
      <c r="C25" s="77">
        <v>220000000</v>
      </c>
      <c r="D25" s="77">
        <v>220000000</v>
      </c>
      <c r="E25" s="77">
        <v>220000000</v>
      </c>
      <c r="F25" s="27">
        <v>545492.99277343601</v>
      </c>
      <c r="G25" s="27">
        <v>655075.5760722321</v>
      </c>
      <c r="H25" s="27">
        <v>-159544.68943640101</v>
      </c>
      <c r="I25" s="27">
        <v>-10793.206554167156</v>
      </c>
      <c r="J25" s="27">
        <v>28000.845167514079</v>
      </c>
      <c r="K25" s="27">
        <v>-991223.09325603605</v>
      </c>
    </row>
    <row r="26" spans="1:11">
      <c r="A26" s="47">
        <v>45124.625</v>
      </c>
      <c r="B26" s="58">
        <v>3867.1749</v>
      </c>
      <c r="C26" s="77">
        <v>220000000</v>
      </c>
      <c r="D26" s="77">
        <v>220000000</v>
      </c>
      <c r="E26" s="77">
        <v>220000000</v>
      </c>
      <c r="F26" s="27">
        <v>567549.45127140009</v>
      </c>
      <c r="G26" s="27">
        <v>784677.9305741688</v>
      </c>
      <c r="H26" s="27">
        <v>-152516.16751504166</v>
      </c>
      <c r="I26" s="27">
        <v>-10221.418823043776</v>
      </c>
      <c r="J26" s="27">
        <v>27954.837711915705</v>
      </c>
      <c r="K26" s="27">
        <v>-981656.06363701541</v>
      </c>
    </row>
    <row r="27" spans="1:11">
      <c r="A27" s="47">
        <v>45125.625</v>
      </c>
      <c r="B27" s="58">
        <v>3854.9393</v>
      </c>
      <c r="C27" s="77">
        <v>220000000</v>
      </c>
      <c r="D27" s="77">
        <v>220000000</v>
      </c>
      <c r="E27" s="77">
        <v>220000000</v>
      </c>
      <c r="F27" s="27">
        <v>592925.32534932811</v>
      </c>
      <c r="G27" s="27">
        <v>838260.31807099539</v>
      </c>
      <c r="H27" s="27">
        <v>-150025.35625406369</v>
      </c>
      <c r="I27" s="27">
        <v>-9960.7377911609565</v>
      </c>
      <c r="J27" s="27">
        <v>27939.761412181557</v>
      </c>
      <c r="K27" s="27">
        <v>-972449.17444446927</v>
      </c>
    </row>
    <row r="28" spans="1:11">
      <c r="A28" s="47">
        <v>45126.625</v>
      </c>
      <c r="B28" s="58">
        <v>3850.8663000000001</v>
      </c>
      <c r="C28" s="77">
        <v>220000000</v>
      </c>
      <c r="D28" s="77">
        <v>220000000</v>
      </c>
      <c r="E28" s="77">
        <v>220000000</v>
      </c>
      <c r="F28" s="27">
        <v>619967.18075391848</v>
      </c>
      <c r="G28" s="27">
        <v>861975.33505467407</v>
      </c>
      <c r="H28" s="27">
        <v>-150249.84081190033</v>
      </c>
      <c r="I28" s="27">
        <v>-9882.2184905175618</v>
      </c>
      <c r="J28" s="27">
        <v>27941.2177550163</v>
      </c>
      <c r="K28" s="27">
        <v>-963382.89324940136</v>
      </c>
    </row>
    <row r="29" spans="1:11">
      <c r="A29" s="47">
        <v>45127.625</v>
      </c>
      <c r="B29" s="58">
        <v>3823.6945999999998</v>
      </c>
      <c r="C29" s="77">
        <v>220000000</v>
      </c>
      <c r="D29" s="77">
        <v>220000000</v>
      </c>
      <c r="E29" s="77">
        <v>220000000</v>
      </c>
      <c r="F29" s="27">
        <v>641397.17684432992</v>
      </c>
      <c r="G29" s="27">
        <v>968009.63043256465</v>
      </c>
      <c r="H29" s="27">
        <v>-140053.23613063945</v>
      </c>
      <c r="I29" s="27">
        <v>-9123.0097446255331</v>
      </c>
      <c r="J29" s="27">
        <v>27883.325868679767</v>
      </c>
      <c r="K29" s="27">
        <v>-953934.46000030625</v>
      </c>
    </row>
    <row r="30" spans="1:11">
      <c r="A30" s="47">
        <v>45128.625</v>
      </c>
      <c r="B30" s="58">
        <v>3821.91</v>
      </c>
      <c r="C30" s="77">
        <v>220000000</v>
      </c>
      <c r="D30" s="77">
        <v>220000000</v>
      </c>
      <c r="E30" s="77">
        <v>220000000</v>
      </c>
      <c r="F30" s="27">
        <v>668827.03941219207</v>
      </c>
      <c r="G30" s="27">
        <v>984488.21684180014</v>
      </c>
      <c r="H30" s="27">
        <v>-140737.13315557822</v>
      </c>
      <c r="I30" s="27">
        <v>-9080.1516117418869</v>
      </c>
      <c r="J30" s="27">
        <v>27887.863020043143</v>
      </c>
      <c r="K30" s="27">
        <v>-944904.07052353048</v>
      </c>
    </row>
    <row r="31" spans="1:11">
      <c r="A31" s="47">
        <v>45131.625</v>
      </c>
      <c r="B31" s="58">
        <v>3805.221</v>
      </c>
      <c r="C31" s="77">
        <v>220000000</v>
      </c>
      <c r="D31" s="77">
        <v>220000000</v>
      </c>
      <c r="E31" s="77">
        <v>220000000</v>
      </c>
      <c r="F31" s="27">
        <v>692240.8035519328</v>
      </c>
      <c r="G31" s="27">
        <v>1051018.3369195727</v>
      </c>
      <c r="H31" s="27">
        <v>-133509.55335475164</v>
      </c>
      <c r="I31" s="27">
        <v>-8529.8532095259216</v>
      </c>
      <c r="J31" s="27">
        <v>27848.917349756237</v>
      </c>
      <c r="K31" s="27">
        <v>-935642.47323977854</v>
      </c>
    </row>
    <row r="32" spans="1:11">
      <c r="A32" s="47">
        <v>45132.625</v>
      </c>
      <c r="B32" s="58">
        <v>3915.1152999999999</v>
      </c>
      <c r="C32" s="77">
        <v>220000000</v>
      </c>
      <c r="D32" s="77">
        <v>220000000</v>
      </c>
      <c r="E32" s="77">
        <v>220000000</v>
      </c>
      <c r="F32" s="27">
        <v>744539.34223657975</v>
      </c>
      <c r="G32" s="27">
        <v>631707.84138206416</v>
      </c>
      <c r="H32" s="27">
        <v>-178762.42501040208</v>
      </c>
      <c r="I32" s="27">
        <v>-11318.286026906222</v>
      </c>
      <c r="J32" s="27">
        <v>28117.759522695364</v>
      </c>
      <c r="K32" s="27">
        <v>-928556.28797000751</v>
      </c>
    </row>
    <row r="33" spans="1:11">
      <c r="A33" s="47">
        <v>45133.625</v>
      </c>
      <c r="B33" s="58">
        <v>3907.0128</v>
      </c>
      <c r="C33" s="77">
        <v>220000000</v>
      </c>
      <c r="D33" s="77">
        <v>220000000</v>
      </c>
      <c r="E33" s="77">
        <v>220000000</v>
      </c>
      <c r="F33" s="27">
        <v>771305.21053884795</v>
      </c>
      <c r="G33" s="27">
        <v>673937.21267615363</v>
      </c>
      <c r="H33" s="27">
        <v>-179322.86497129462</v>
      </c>
      <c r="I33" s="27">
        <v>-11242.098742160313</v>
      </c>
      <c r="J33" s="27">
        <v>28118.448091627506</v>
      </c>
      <c r="K33" s="27">
        <v>-919395.95526124351</v>
      </c>
    </row>
    <row r="34" spans="1:11">
      <c r="A34" s="47">
        <v>45134.625</v>
      </c>
      <c r="B34" s="58">
        <v>3902.3458000000001</v>
      </c>
      <c r="C34" s="77">
        <v>220000000</v>
      </c>
      <c r="D34" s="77">
        <v>220000000</v>
      </c>
      <c r="E34" s="77">
        <v>220000000</v>
      </c>
      <c r="F34" s="27">
        <v>798604.53562454635</v>
      </c>
      <c r="G34" s="27">
        <v>701648.42981713405</v>
      </c>
      <c r="H34" s="27">
        <v>-180568.06352896985</v>
      </c>
      <c r="I34" s="27">
        <v>-11207.912810415957</v>
      </c>
      <c r="J34" s="27">
        <v>28124.185707590063</v>
      </c>
      <c r="K34" s="27">
        <v>-910299.18900162238</v>
      </c>
    </row>
    <row r="35" spans="1:11">
      <c r="A35" s="47">
        <v>45135.625</v>
      </c>
      <c r="B35" s="58">
        <v>3992.7375999999999</v>
      </c>
      <c r="C35" s="77">
        <v>220000000</v>
      </c>
      <c r="D35" s="77">
        <v>220000000</v>
      </c>
      <c r="E35" s="77">
        <v>220000000</v>
      </c>
      <c r="F35" s="27">
        <v>838165.39864756435</v>
      </c>
      <c r="G35" s="27">
        <v>283852.51958157483</v>
      </c>
      <c r="H35" s="27">
        <v>-192982.08641632466</v>
      </c>
      <c r="I35" s="27">
        <v>-11864.167086645195</v>
      </c>
      <c r="J35" s="27">
        <v>28238.594989359961</v>
      </c>
      <c r="K35" s="27">
        <v>-903078.16256688803</v>
      </c>
    </row>
    <row r="36" spans="1:11">
      <c r="A36" s="47">
        <v>45138.625</v>
      </c>
      <c r="B36" s="58">
        <v>4014.6300999999999</v>
      </c>
      <c r="C36" s="77">
        <v>220000000</v>
      </c>
      <c r="D36" s="77">
        <v>220000000</v>
      </c>
      <c r="E36" s="77">
        <v>220000000</v>
      </c>
      <c r="F36" s="27">
        <v>867682.86203351279</v>
      </c>
      <c r="G36" s="27">
        <v>179797.50562738595</v>
      </c>
      <c r="H36" s="27">
        <v>-193511.76457242836</v>
      </c>
      <c r="I36" s="27">
        <v>-11778.015622454543</v>
      </c>
      <c r="J36" s="27">
        <v>28257.615928243024</v>
      </c>
      <c r="K36" s="27">
        <v>-894506.11128922109</v>
      </c>
    </row>
    <row r="37" spans="1:11">
      <c r="A37" s="47">
        <v>45139.625</v>
      </c>
      <c r="B37" s="58">
        <v>3998.0010000000002</v>
      </c>
      <c r="C37" s="77">
        <v>220000000</v>
      </c>
      <c r="D37" s="77">
        <v>220000000</v>
      </c>
      <c r="E37" s="77">
        <v>220000000</v>
      </c>
      <c r="F37" s="27">
        <v>895036.20967883628</v>
      </c>
      <c r="G37" s="27">
        <v>260481.41586383636</v>
      </c>
      <c r="H37" s="27">
        <v>-198387.92979097975</v>
      </c>
      <c r="I37" s="27">
        <v>-11950.781972519457</v>
      </c>
      <c r="J37" s="27">
        <v>28273.674048977657</v>
      </c>
      <c r="K37" s="27">
        <v>-885172.40848783497</v>
      </c>
    </row>
    <row r="38" spans="1:11">
      <c r="A38" s="47">
        <v>45140.625</v>
      </c>
      <c r="B38" s="58">
        <v>3969.895</v>
      </c>
      <c r="C38" s="77">
        <v>220000000</v>
      </c>
      <c r="D38" s="77">
        <v>220000000</v>
      </c>
      <c r="E38" s="77">
        <v>220000000</v>
      </c>
      <c r="F38" s="27">
        <v>920980.10082266154</v>
      </c>
      <c r="G38" s="27">
        <v>401568.4075302151</v>
      </c>
      <c r="H38" s="27">
        <v>-202289.36226978409</v>
      </c>
      <c r="I38" s="27">
        <v>-12058.667129787824</v>
      </c>
      <c r="J38" s="27">
        <v>28277.53738902777</v>
      </c>
      <c r="K38" s="27">
        <v>-875597.49200926744</v>
      </c>
    </row>
    <row r="39" spans="1:11">
      <c r="A39" s="47">
        <v>45141.625</v>
      </c>
      <c r="B39" s="58">
        <v>4004.9839000000002</v>
      </c>
      <c r="C39" s="77">
        <v>220000000</v>
      </c>
      <c r="D39" s="77">
        <v>220000000</v>
      </c>
      <c r="E39" s="77">
        <v>220000000</v>
      </c>
      <c r="F39" s="27">
        <v>952045.21746715566</v>
      </c>
      <c r="G39" s="27">
        <v>226975.56840900815</v>
      </c>
      <c r="H39" s="27">
        <v>-203749.03229276786</v>
      </c>
      <c r="I39" s="27">
        <v>-12021.471645966718</v>
      </c>
      <c r="J39" s="27">
        <v>28309.818024675889</v>
      </c>
      <c r="K39" s="27">
        <v>-867293.79493424168</v>
      </c>
    </row>
    <row r="40" spans="1:11">
      <c r="A40" s="47">
        <v>45142.625</v>
      </c>
      <c r="B40" s="58">
        <v>4020.5792000000001</v>
      </c>
      <c r="C40" s="77">
        <v>220000000</v>
      </c>
      <c r="D40" s="77">
        <v>220000000</v>
      </c>
      <c r="E40" s="77">
        <v>220000000</v>
      </c>
      <c r="F40" s="27">
        <v>981093.09874933562</v>
      </c>
      <c r="G40" s="27">
        <v>148032.72077208321</v>
      </c>
      <c r="H40" s="27">
        <v>-204498.78666438779</v>
      </c>
      <c r="I40" s="27">
        <v>-11939.87194051097</v>
      </c>
      <c r="J40" s="27">
        <v>28326.690879109752</v>
      </c>
      <c r="K40" s="27">
        <v>-858593.048601988</v>
      </c>
    </row>
    <row r="41" spans="1:11">
      <c r="A41" s="47">
        <v>45145.625</v>
      </c>
      <c r="B41" s="58">
        <v>3990.1531</v>
      </c>
      <c r="C41" s="77">
        <v>220000000</v>
      </c>
      <c r="D41" s="77">
        <v>220000000</v>
      </c>
      <c r="E41" s="77">
        <v>220000000</v>
      </c>
      <c r="F41" s="27">
        <v>1007713.7652446195</v>
      </c>
      <c r="G41" s="27">
        <v>304821.78077107487</v>
      </c>
      <c r="H41" s="27">
        <v>-211504.56038736666</v>
      </c>
      <c r="I41" s="27">
        <v>-12215.810491269349</v>
      </c>
      <c r="J41" s="27">
        <v>28343.124390338617</v>
      </c>
      <c r="K41" s="27">
        <v>-848966.28479114501</v>
      </c>
    </row>
    <row r="42" spans="1:11">
      <c r="A42" s="47">
        <v>45146.625</v>
      </c>
      <c r="B42" s="58">
        <v>3979.7321999999999</v>
      </c>
      <c r="C42" s="77">
        <v>220000000</v>
      </c>
      <c r="D42" s="77">
        <v>220000000</v>
      </c>
      <c r="E42" s="77">
        <v>220000000</v>
      </c>
      <c r="F42" s="27">
        <v>1035192.8209383707</v>
      </c>
      <c r="G42" s="27">
        <v>361709.51222447341</v>
      </c>
      <c r="H42" s="27">
        <v>-215244.79154251964</v>
      </c>
      <c r="I42" s="27">
        <v>-12297.694195090351</v>
      </c>
      <c r="J42" s="27">
        <v>28356.867001476898</v>
      </c>
      <c r="K42" s="27">
        <v>-839734.13495192002</v>
      </c>
    </row>
    <row r="43" spans="1:11">
      <c r="A43" s="47">
        <v>45147.625</v>
      </c>
      <c r="B43" s="58">
        <v>3967.5652</v>
      </c>
      <c r="C43" s="77">
        <v>220000000</v>
      </c>
      <c r="D43" s="77">
        <v>220000000</v>
      </c>
      <c r="E43" s="77">
        <v>220000000</v>
      </c>
      <c r="F43" s="27">
        <v>1062343.6062306459</v>
      </c>
      <c r="G43" s="27">
        <v>429874.29203123186</v>
      </c>
      <c r="H43" s="27">
        <v>-218506.05699390042</v>
      </c>
      <c r="I43" s="27">
        <v>-12347.737223355949</v>
      </c>
      <c r="J43" s="27">
        <v>28366.944097433614</v>
      </c>
      <c r="K43" s="27">
        <v>-830460.70710188034</v>
      </c>
    </row>
    <row r="44" spans="1:11">
      <c r="A44" s="47">
        <v>45148.625</v>
      </c>
      <c r="B44" s="58">
        <v>3975.7166000000002</v>
      </c>
      <c r="C44" s="77">
        <v>220000000</v>
      </c>
      <c r="D44" s="77">
        <v>220000000</v>
      </c>
      <c r="E44" s="77">
        <v>220000000</v>
      </c>
      <c r="F44" s="27">
        <v>1091563.8921188393</v>
      </c>
      <c r="G44" s="27">
        <v>388673.90847225196</v>
      </c>
      <c r="H44" s="27">
        <v>-222237.34069135319</v>
      </c>
      <c r="I44" s="27">
        <v>-12421.321084784495</v>
      </c>
      <c r="J44" s="27">
        <v>28393.020648245441</v>
      </c>
      <c r="K44" s="27">
        <v>-821605.8771422971</v>
      </c>
    </row>
    <row r="45" spans="1:11">
      <c r="A45" s="47">
        <v>45149.625</v>
      </c>
      <c r="B45" s="58">
        <v>3884.2538</v>
      </c>
      <c r="C45" s="77">
        <v>220000000</v>
      </c>
      <c r="D45" s="77">
        <v>220000000</v>
      </c>
      <c r="E45" s="77">
        <v>220000000</v>
      </c>
      <c r="F45" s="27">
        <v>1104988.9591317442</v>
      </c>
      <c r="G45" s="27">
        <v>885222.40374881611</v>
      </c>
      <c r="H45" s="27">
        <v>-204400.4219049899</v>
      </c>
      <c r="I45" s="27">
        <v>-11291.666224797971</v>
      </c>
      <c r="J45" s="27">
        <v>28250.205961332122</v>
      </c>
      <c r="K45" s="27">
        <v>-810706.03596125287</v>
      </c>
    </row>
    <row r="46" spans="1:11">
      <c r="A46" s="47">
        <v>45152.625</v>
      </c>
      <c r="B46" s="58">
        <v>3855.9061000000002</v>
      </c>
      <c r="C46" s="77">
        <v>220000000</v>
      </c>
      <c r="D46" s="77">
        <v>220000000</v>
      </c>
      <c r="E46" s="77">
        <v>220000000</v>
      </c>
      <c r="F46" s="27">
        <v>1126164.4860149503</v>
      </c>
      <c r="G46" s="27">
        <v>1035696.7726332089</v>
      </c>
      <c r="H46" s="27">
        <v>-192297.77587845881</v>
      </c>
      <c r="I46" s="27">
        <v>-10501.683390394019</v>
      </c>
      <c r="J46" s="27">
        <v>28177.912293652782</v>
      </c>
      <c r="K46" s="27">
        <v>-801135.13236240589</v>
      </c>
    </row>
    <row r="47" spans="1:11">
      <c r="A47" s="47">
        <v>45153.625</v>
      </c>
      <c r="B47" s="58">
        <v>3846.5356999999999</v>
      </c>
      <c r="C47" s="77">
        <v>220000000</v>
      </c>
      <c r="D47" s="77">
        <v>220000000</v>
      </c>
      <c r="E47" s="77">
        <v>220000000</v>
      </c>
      <c r="F47" s="27">
        <v>1151743.2954730957</v>
      </c>
      <c r="G47" s="27">
        <v>1093103.9869330749</v>
      </c>
      <c r="H47" s="27">
        <v>-189069.8040061777</v>
      </c>
      <c r="I47" s="27">
        <v>-10207.363789683386</v>
      </c>
      <c r="J47" s="27">
        <v>28158.960020285489</v>
      </c>
      <c r="K47" s="27">
        <v>-791925.81290152005</v>
      </c>
    </row>
    <row r="48" spans="1:11">
      <c r="A48" s="47">
        <v>45154.625</v>
      </c>
      <c r="B48" s="58">
        <v>3818.3337999999999</v>
      </c>
      <c r="C48" s="77">
        <v>220000000</v>
      </c>
      <c r="D48" s="77">
        <v>220000000</v>
      </c>
      <c r="E48" s="77">
        <v>220000000</v>
      </c>
      <c r="F48" s="27">
        <v>1171290.2292150739</v>
      </c>
      <c r="G48" s="27">
        <v>1232385.7492864374</v>
      </c>
      <c r="H48" s="27">
        <v>-171067.54689401347</v>
      </c>
      <c r="I48" s="27">
        <v>-9126.9068338147699</v>
      </c>
      <c r="J48" s="27">
        <v>28060.424683878737</v>
      </c>
      <c r="K48" s="27">
        <v>-782406.43844790326</v>
      </c>
    </row>
    <row r="49" spans="1:11">
      <c r="A49" s="47">
        <v>45155.625</v>
      </c>
      <c r="B49" s="58">
        <v>3831.1008000000002</v>
      </c>
      <c r="C49" s="77">
        <v>220000000</v>
      </c>
      <c r="D49" s="77">
        <v>220000000</v>
      </c>
      <c r="E49" s="77">
        <v>220000000</v>
      </c>
      <c r="F49" s="27">
        <v>1203432.957748079</v>
      </c>
      <c r="G49" s="27">
        <v>1193239.4726774404</v>
      </c>
      <c r="H49" s="27">
        <v>-183173.024087814</v>
      </c>
      <c r="I49" s="27">
        <v>-9660.434353951292</v>
      </c>
      <c r="J49" s="27">
        <v>28125.540407097265</v>
      </c>
      <c r="K49" s="27">
        <v>-773568.58488738094</v>
      </c>
    </row>
    <row r="50" spans="1:11">
      <c r="A50" s="47">
        <v>45156.625</v>
      </c>
      <c r="B50" s="58">
        <v>3784.0038</v>
      </c>
      <c r="C50" s="77">
        <v>220000000</v>
      </c>
      <c r="D50" s="77">
        <v>220000000</v>
      </c>
      <c r="E50" s="77">
        <v>220000000</v>
      </c>
      <c r="F50" s="27">
        <v>1215384.0240174101</v>
      </c>
      <c r="G50" s="27">
        <v>1398131.4459402971</v>
      </c>
      <c r="H50" s="27">
        <v>-144847.68363083858</v>
      </c>
      <c r="I50" s="27">
        <v>-7544.828232540417</v>
      </c>
      <c r="J50" s="27">
        <v>27923.448079997648</v>
      </c>
      <c r="K50" s="27">
        <v>-763806.93822758517</v>
      </c>
    </row>
    <row r="51" spans="1:11">
      <c r="A51" s="47">
        <v>45159.625</v>
      </c>
      <c r="B51" s="58">
        <v>3729.5549999999998</v>
      </c>
      <c r="C51" s="77">
        <v>220000000</v>
      </c>
      <c r="D51" s="77">
        <v>220000000</v>
      </c>
      <c r="E51" s="77">
        <v>220000000</v>
      </c>
      <c r="F51" s="27">
        <v>1221587.0549362632</v>
      </c>
      <c r="G51" s="27">
        <v>1567109.5842083688</v>
      </c>
      <c r="H51" s="27">
        <v>-90632.694295801863</v>
      </c>
      <c r="I51" s="27">
        <v>-4657.9787013676487</v>
      </c>
      <c r="J51" s="27">
        <v>27651.225481031477</v>
      </c>
      <c r="K51" s="27">
        <v>-754165.30137251283</v>
      </c>
    </row>
    <row r="52" spans="1:11">
      <c r="A52" s="47">
        <v>45160.625</v>
      </c>
      <c r="B52" s="58">
        <v>3758.2271000000001</v>
      </c>
      <c r="C52" s="77">
        <v>220000000</v>
      </c>
      <c r="D52" s="77">
        <v>220000000</v>
      </c>
      <c r="E52" s="77">
        <v>220000000</v>
      </c>
      <c r="F52" s="27">
        <v>1261141.6213507261</v>
      </c>
      <c r="G52" s="27">
        <v>1517546.761490861</v>
      </c>
      <c r="H52" s="27">
        <v>-121224.17111261078</v>
      </c>
      <c r="I52" s="27">
        <v>-6160.5822330692035</v>
      </c>
      <c r="J52" s="27">
        <v>27804.491592580525</v>
      </c>
      <c r="K52" s="27">
        <v>-745390.44452833734</v>
      </c>
    </row>
    <row r="53" spans="1:11">
      <c r="A53" s="47">
        <v>45161.625</v>
      </c>
      <c r="B53" s="58">
        <v>3696.6338999999998</v>
      </c>
      <c r="C53" s="77">
        <v>220000000</v>
      </c>
      <c r="D53" s="77">
        <v>220000000</v>
      </c>
      <c r="E53" s="77">
        <v>220000000</v>
      </c>
      <c r="F53" s="27">
        <v>1262399.1985019352</v>
      </c>
      <c r="G53" s="27">
        <v>1656393.1298468728</v>
      </c>
      <c r="H53" s="27">
        <v>-53858.927765137181</v>
      </c>
      <c r="I53" s="27">
        <v>-2694.3088726444516</v>
      </c>
      <c r="J53" s="27">
        <v>27474.256119212434</v>
      </c>
      <c r="K53" s="27">
        <v>-735850.11177208961</v>
      </c>
    </row>
    <row r="54" spans="1:11">
      <c r="A54" s="47">
        <v>45162.625</v>
      </c>
      <c r="B54" s="58">
        <v>3723.4292999999998</v>
      </c>
      <c r="C54" s="77">
        <v>220000000</v>
      </c>
      <c r="D54" s="77">
        <v>220000000</v>
      </c>
      <c r="E54" s="77">
        <v>220000000</v>
      </c>
      <c r="F54" s="27">
        <v>1301858.2455675662</v>
      </c>
      <c r="G54" s="27">
        <v>1639118.8164091057</v>
      </c>
      <c r="H54" s="27">
        <v>-83358.790268258264</v>
      </c>
      <c r="I54" s="27">
        <v>-4127.156696559834</v>
      </c>
      <c r="J54" s="27">
        <v>27618.432348051505</v>
      </c>
      <c r="K54" s="27">
        <v>-726962.60421249259</v>
      </c>
    </row>
    <row r="55" spans="1:11">
      <c r="A55" s="47">
        <v>45163.625</v>
      </c>
      <c r="B55" s="58">
        <v>3709.1516999999999</v>
      </c>
      <c r="C55" s="77">
        <v>220000000</v>
      </c>
      <c r="D55" s="77">
        <v>220000000</v>
      </c>
      <c r="E55" s="77">
        <v>220000000</v>
      </c>
      <c r="F55" s="27">
        <v>1323053.1602135843</v>
      </c>
      <c r="G55" s="27">
        <v>1682376.0067197992</v>
      </c>
      <c r="H55" s="27">
        <v>-66323.869229422678</v>
      </c>
      <c r="I55" s="27">
        <v>-3239.0022702524202</v>
      </c>
      <c r="J55" s="27">
        <v>27536.50259883222</v>
      </c>
      <c r="K55" s="27">
        <v>-717813.73654019553</v>
      </c>
    </row>
    <row r="56" spans="1:11">
      <c r="A56" s="47">
        <v>45166.625</v>
      </c>
      <c r="B56" s="58">
        <v>3752.6194</v>
      </c>
      <c r="C56" s="77">
        <v>220000000</v>
      </c>
      <c r="D56" s="77">
        <v>220000000</v>
      </c>
      <c r="E56" s="77">
        <v>220000000</v>
      </c>
      <c r="F56" s="27">
        <v>1369989.029916933</v>
      </c>
      <c r="G56" s="27">
        <v>1616448.9370690268</v>
      </c>
      <c r="H56" s="27">
        <v>-117251.2423349879</v>
      </c>
      <c r="I56" s="27">
        <v>-5666.3774248534692</v>
      </c>
      <c r="J56" s="27">
        <v>27787.253239234135</v>
      </c>
      <c r="K56" s="27">
        <v>-709100.96625313349</v>
      </c>
    </row>
    <row r="57" spans="1:11">
      <c r="A57" s="47">
        <v>45167.625</v>
      </c>
      <c r="B57" s="58">
        <v>3790.1066999999998</v>
      </c>
      <c r="C57" s="77">
        <v>220000000</v>
      </c>
      <c r="D57" s="77">
        <v>220000000</v>
      </c>
      <c r="E57" s="77">
        <v>220000000</v>
      </c>
      <c r="F57" s="27">
        <v>1413491.1645076841</v>
      </c>
      <c r="G57" s="27">
        <v>1515430.1256079162</v>
      </c>
      <c r="H57" s="27">
        <v>-161389.72598854668</v>
      </c>
      <c r="I57" s="27">
        <v>-7706.2480045675793</v>
      </c>
      <c r="J57" s="27">
        <v>28010.367932963891</v>
      </c>
      <c r="K57" s="27">
        <v>-700480.04312890884</v>
      </c>
    </row>
    <row r="58" spans="1:11">
      <c r="A58" s="47">
        <v>45168.625</v>
      </c>
      <c r="B58" s="58">
        <v>3788.5097000000001</v>
      </c>
      <c r="C58" s="77">
        <v>220000000</v>
      </c>
      <c r="D58" s="77">
        <v>220000000</v>
      </c>
      <c r="E58" s="77">
        <v>220000000</v>
      </c>
      <c r="F58" s="27">
        <v>1440856.3492882571</v>
      </c>
      <c r="G58" s="27">
        <v>1543600.6580596147</v>
      </c>
      <c r="H58" s="27">
        <v>-161148.67143720028</v>
      </c>
      <c r="I58" s="27">
        <v>-7594.4994950669015</v>
      </c>
      <c r="J58" s="27">
        <v>28009.14704382596</v>
      </c>
      <c r="K58" s="27">
        <v>-691390.71386648098</v>
      </c>
    </row>
    <row r="59" spans="1:11">
      <c r="A59" s="47">
        <v>45169.625</v>
      </c>
      <c r="B59" s="58">
        <v>3765.2678000000001</v>
      </c>
      <c r="C59" s="77">
        <v>220000000</v>
      </c>
      <c r="D59" s="77">
        <v>220000000</v>
      </c>
      <c r="E59" s="77">
        <v>220000000</v>
      </c>
      <c r="F59" s="27">
        <v>1458970.5853567778</v>
      </c>
      <c r="G59" s="27">
        <v>1647801.5285256449</v>
      </c>
      <c r="H59" s="27">
        <v>-134323.50110366291</v>
      </c>
      <c r="I59" s="27">
        <v>-6243.48675491005</v>
      </c>
      <c r="J59" s="27">
        <v>27873.765054053099</v>
      </c>
      <c r="K59" s="27">
        <v>-682037.10319639731</v>
      </c>
    </row>
    <row r="60" spans="1:11">
      <c r="A60" s="47">
        <v>45170.625</v>
      </c>
      <c r="B60" s="58">
        <v>3791.4911999999999</v>
      </c>
      <c r="C60" s="77">
        <v>220000000</v>
      </c>
      <c r="D60" s="77">
        <v>220000000</v>
      </c>
      <c r="E60" s="77">
        <v>220000000</v>
      </c>
      <c r="F60" s="27">
        <v>1498136.2835446938</v>
      </c>
      <c r="G60" s="27">
        <v>1577699.5065413415</v>
      </c>
      <c r="H60" s="27">
        <v>-167900.71451628528</v>
      </c>
      <c r="I60" s="27">
        <v>-7704.7495674971942</v>
      </c>
      <c r="J60" s="27">
        <v>28043.410779283171</v>
      </c>
      <c r="K60" s="27">
        <v>-673288.08988409385</v>
      </c>
    </row>
    <row r="61" spans="1:11">
      <c r="A61" s="47">
        <v>45173.625</v>
      </c>
      <c r="B61" s="58">
        <v>3848.9517000000001</v>
      </c>
      <c r="C61" s="77">
        <v>228000000</v>
      </c>
      <c r="D61" s="77">
        <v>228000000</v>
      </c>
      <c r="E61" s="77">
        <v>228000000</v>
      </c>
      <c r="F61" s="27">
        <v>1544755.8364230515</v>
      </c>
      <c r="G61" s="27">
        <v>1460542.1455716526</v>
      </c>
      <c r="H61" s="27">
        <v>-237071.65560912783</v>
      </c>
      <c r="I61" s="27">
        <v>-10703.450743997459</v>
      </c>
      <c r="J61" s="27">
        <v>29377.024293789276</v>
      </c>
      <c r="K61" s="27">
        <v>-681687.54778312449</v>
      </c>
    </row>
    <row r="62" spans="1:11">
      <c r="A62" s="47">
        <v>45174.625</v>
      </c>
      <c r="B62" s="58">
        <v>3820.3173999999999</v>
      </c>
      <c r="C62" s="77">
        <v>228000000</v>
      </c>
      <c r="D62" s="77">
        <v>228000000</v>
      </c>
      <c r="E62" s="77">
        <v>228000000</v>
      </c>
      <c r="F62" s="27">
        <v>1562469.2785353949</v>
      </c>
      <c r="G62" s="27">
        <v>1638682.7986148291</v>
      </c>
      <c r="H62" s="27">
        <v>-206639.83279226787</v>
      </c>
      <c r="I62" s="27">
        <v>-9232.4257149853856</v>
      </c>
      <c r="J62" s="27">
        <v>29215.658543641905</v>
      </c>
      <c r="K62" s="27">
        <v>-671786.19620997168</v>
      </c>
    </row>
    <row r="63" spans="1:11">
      <c r="A63" s="47">
        <v>45175.625</v>
      </c>
      <c r="B63" s="58">
        <v>3812.0282999999999</v>
      </c>
      <c r="C63" s="77">
        <v>228000000</v>
      </c>
      <c r="D63" s="77">
        <v>228000000</v>
      </c>
      <c r="E63" s="77">
        <v>228000000</v>
      </c>
      <c r="F63" s="27">
        <v>1588032.0129096443</v>
      </c>
      <c r="G63" s="27">
        <v>1704735.5401643864</v>
      </c>
      <c r="H63" s="27">
        <v>-198310.61402214717</v>
      </c>
      <c r="I63" s="27">
        <v>-8749.3761328977762</v>
      </c>
      <c r="J63" s="27">
        <v>29171.916542490122</v>
      </c>
      <c r="K63" s="27">
        <v>-662249.41929716838</v>
      </c>
    </row>
    <row r="64" spans="1:11">
      <c r="A64" s="47">
        <v>45176.625</v>
      </c>
      <c r="B64" s="58">
        <v>3758.4748</v>
      </c>
      <c r="C64" s="77">
        <v>228000000</v>
      </c>
      <c r="D64" s="77">
        <v>228000000</v>
      </c>
      <c r="E64" s="77">
        <v>228000000</v>
      </c>
      <c r="F64" s="27">
        <v>1591142.442555242</v>
      </c>
      <c r="G64" s="27">
        <v>1934072.1887640415</v>
      </c>
      <c r="H64" s="27">
        <v>-121491.19164691283</v>
      </c>
      <c r="I64" s="27">
        <v>-5355.5351447040539</v>
      </c>
      <c r="J64" s="27">
        <v>28786.737201491713</v>
      </c>
      <c r="K64" s="27">
        <v>-652173.76583347062</v>
      </c>
    </row>
    <row r="65" spans="1:11">
      <c r="A65" s="47">
        <v>45177.625</v>
      </c>
      <c r="B65" s="58">
        <v>3739.9926999999998</v>
      </c>
      <c r="C65" s="77">
        <v>228000000</v>
      </c>
      <c r="D65" s="77">
        <v>228000000</v>
      </c>
      <c r="E65" s="77">
        <v>228000000</v>
      </c>
      <c r="F65" s="27">
        <v>1610141.0947592899</v>
      </c>
      <c r="G65" s="27">
        <v>2005668.8994639707</v>
      </c>
      <c r="H65" s="27">
        <v>-92106.55897072301</v>
      </c>
      <c r="I65" s="27">
        <v>-4045.5417609156316</v>
      </c>
      <c r="J65" s="27">
        <v>28643.606885412177</v>
      </c>
      <c r="K65" s="27">
        <v>-642613.61155574105</v>
      </c>
    </row>
    <row r="66" spans="1:11">
      <c r="A66" s="47">
        <v>45180.625</v>
      </c>
      <c r="B66" s="58">
        <v>3767.5369999999998</v>
      </c>
      <c r="C66" s="77">
        <v>228000000</v>
      </c>
      <c r="D66" s="77">
        <v>228000000</v>
      </c>
      <c r="E66" s="77">
        <v>228000000</v>
      </c>
      <c r="F66" s="27">
        <v>1653482.7355897133</v>
      </c>
      <c r="G66" s="27">
        <v>1966152.6987922883</v>
      </c>
      <c r="H66" s="27">
        <v>-136011.18031503461</v>
      </c>
      <c r="I66" s="27">
        <v>-5815.9570158451197</v>
      </c>
      <c r="J66" s="27">
        <v>28857.990955520738</v>
      </c>
      <c r="K66" s="27">
        <v>-633446.30261808774</v>
      </c>
    </row>
    <row r="67" spans="1:11">
      <c r="A67" s="47">
        <v>45181.625</v>
      </c>
      <c r="B67" s="58">
        <v>3760.6048000000001</v>
      </c>
      <c r="C67" s="77">
        <v>228000000</v>
      </c>
      <c r="D67" s="77">
        <v>228000000</v>
      </c>
      <c r="E67" s="77">
        <v>228000000</v>
      </c>
      <c r="F67" s="27">
        <v>1678644.8501191963</v>
      </c>
      <c r="G67" s="27">
        <v>2016921.9834599965</v>
      </c>
      <c r="H67" s="27">
        <v>-124644.7145987407</v>
      </c>
      <c r="I67" s="27">
        <v>-5271.8513666656945</v>
      </c>
      <c r="J67" s="27">
        <v>28801.972933340778</v>
      </c>
      <c r="K67" s="27">
        <v>-623966.19081514026</v>
      </c>
    </row>
    <row r="68" spans="1:11">
      <c r="A68" s="47">
        <v>45182.625</v>
      </c>
      <c r="B68" s="58">
        <v>3736.6513</v>
      </c>
      <c r="C68" s="77">
        <v>228000000</v>
      </c>
      <c r="D68" s="77">
        <v>228000000</v>
      </c>
      <c r="E68" s="77">
        <v>228000000</v>
      </c>
      <c r="F68" s="27">
        <v>1694174.1670025985</v>
      </c>
      <c r="G68" s="27">
        <v>2101182.0033079167</v>
      </c>
      <c r="H68" s="27">
        <v>-83056.758503307632</v>
      </c>
      <c r="I68" s="27">
        <v>-3522.9284473037601</v>
      </c>
      <c r="J68" s="27">
        <v>28600.109600666579</v>
      </c>
      <c r="K68" s="27">
        <v>-614366.85260005773</v>
      </c>
    </row>
    <row r="69" spans="1:11">
      <c r="A69" s="47">
        <v>45183.625</v>
      </c>
      <c r="B69" s="58">
        <v>3733.5077000000001</v>
      </c>
      <c r="C69" s="77">
        <v>228000000</v>
      </c>
      <c r="D69" s="77">
        <v>228000000</v>
      </c>
      <c r="E69" s="77">
        <v>228000000</v>
      </c>
      <c r="F69" s="27">
        <v>1720973.6351801173</v>
      </c>
      <c r="G69" s="27">
        <v>2137368.4593803626</v>
      </c>
      <c r="H69" s="27">
        <v>-75970.356656548029</v>
      </c>
      <c r="I69" s="27">
        <v>-3194.8317226056447</v>
      </c>
      <c r="J69" s="27">
        <v>28566.000106983018</v>
      </c>
      <c r="K69" s="27">
        <v>-604936.46826537792</v>
      </c>
    </row>
    <row r="70" spans="1:11">
      <c r="A70" s="47">
        <v>45184.625</v>
      </c>
      <c r="B70" s="58">
        <v>3708.7766000000001</v>
      </c>
      <c r="C70" s="77">
        <v>228000000</v>
      </c>
      <c r="D70" s="77">
        <v>228000000</v>
      </c>
      <c r="E70" s="77">
        <v>228000000</v>
      </c>
      <c r="F70" s="27">
        <v>1735033.7398164794</v>
      </c>
      <c r="G70" s="27">
        <v>2189361.0152294822</v>
      </c>
      <c r="H70" s="27">
        <v>-29926.887704601984</v>
      </c>
      <c r="I70" s="27">
        <v>-1347.8706151874485</v>
      </c>
      <c r="J70" s="27">
        <v>28347.241623214541</v>
      </c>
      <c r="K70" s="27">
        <v>-595425.38791141741</v>
      </c>
    </row>
    <row r="71" spans="1:11">
      <c r="A71" s="47">
        <v>45187.625</v>
      </c>
      <c r="B71" s="58">
        <v>3727.7109999999998</v>
      </c>
      <c r="C71" s="77">
        <v>228000000</v>
      </c>
      <c r="D71" s="77">
        <v>228000000</v>
      </c>
      <c r="E71" s="77">
        <v>228000000</v>
      </c>
      <c r="F71" s="27">
        <v>1774659.6551348737</v>
      </c>
      <c r="G71" s="27">
        <v>2209197.5134334145</v>
      </c>
      <c r="H71" s="27">
        <v>-61323.115418192479</v>
      </c>
      <c r="I71" s="27">
        <v>-2547.1531526415692</v>
      </c>
      <c r="J71" s="27">
        <v>28495.654337120086</v>
      </c>
      <c r="K71" s="27">
        <v>-586079.58241997217</v>
      </c>
    </row>
    <row r="72" spans="1:11">
      <c r="A72" s="47">
        <v>45188.625</v>
      </c>
      <c r="B72" s="58">
        <v>3720.5021000000002</v>
      </c>
      <c r="C72" s="77">
        <v>228000000</v>
      </c>
      <c r="D72" s="77">
        <v>228000000</v>
      </c>
      <c r="E72" s="77">
        <v>228000000</v>
      </c>
      <c r="F72" s="27">
        <v>1798802.1220963239</v>
      </c>
      <c r="G72" s="27">
        <v>2248245.6104585808</v>
      </c>
      <c r="H72" s="27">
        <v>-45143.484891076252</v>
      </c>
      <c r="I72" s="27">
        <v>-1900.853639409939</v>
      </c>
      <c r="J72" s="27">
        <v>28418.586800232952</v>
      </c>
      <c r="K72" s="27">
        <v>-576635.93431856832</v>
      </c>
    </row>
    <row r="73" spans="1:11">
      <c r="A73" s="47">
        <v>45189.625</v>
      </c>
      <c r="B73" s="58">
        <v>3705.6898000000001</v>
      </c>
      <c r="C73" s="77">
        <v>228000000</v>
      </c>
      <c r="D73" s="77">
        <v>228000000</v>
      </c>
      <c r="E73" s="77">
        <v>228000000</v>
      </c>
      <c r="F73" s="27">
        <v>1818102.3825559616</v>
      </c>
      <c r="G73" s="27">
        <v>2283825.9644085951</v>
      </c>
      <c r="H73" s="27">
        <v>-13803.238664892349</v>
      </c>
      <c r="I73" s="27">
        <v>-706.66516133479718</v>
      </c>
      <c r="J73" s="27">
        <v>28270.867075008697</v>
      </c>
      <c r="K73" s="27">
        <v>-567187.28700767737</v>
      </c>
    </row>
    <row r="74" spans="1:11">
      <c r="A74" s="47">
        <v>45190.625</v>
      </c>
      <c r="B74" s="58">
        <v>3672.4448000000002</v>
      </c>
      <c r="C74" s="77">
        <v>228000000</v>
      </c>
      <c r="D74" s="77">
        <v>228000000</v>
      </c>
      <c r="E74" s="77">
        <v>228000000</v>
      </c>
      <c r="F74" s="27">
        <v>1825624.0179204443</v>
      </c>
      <c r="G74" s="27">
        <v>2276837.5590698631</v>
      </c>
      <c r="H74" s="27">
        <v>50771.98002708616</v>
      </c>
      <c r="I74" s="27">
        <v>1680.6148808945568</v>
      </c>
      <c r="J74" s="27">
        <v>27972.457138876536</v>
      </c>
      <c r="K74" s="27">
        <v>-557808.76994141785</v>
      </c>
    </row>
    <row r="75" spans="1:11">
      <c r="A75" s="47">
        <v>45191.625</v>
      </c>
      <c r="B75" s="58">
        <v>3738.9326999999998</v>
      </c>
      <c r="C75" s="77">
        <v>228000000</v>
      </c>
      <c r="D75" s="77">
        <v>228000000</v>
      </c>
      <c r="E75" s="77">
        <v>228000000</v>
      </c>
      <c r="F75" s="27">
        <v>1895578.8829972439</v>
      </c>
      <c r="G75" s="27">
        <v>2336445.5979810944</v>
      </c>
      <c r="H75" s="27">
        <v>-73399.419723975865</v>
      </c>
      <c r="I75" s="27">
        <v>-2857.2625261300886</v>
      </c>
      <c r="J75" s="27">
        <v>28551.008345660401</v>
      </c>
      <c r="K75" s="27">
        <v>-548454.36593410932</v>
      </c>
    </row>
    <row r="76" spans="1:11">
      <c r="A76" s="47">
        <v>45194.625</v>
      </c>
      <c r="B76" s="58">
        <v>3714.6037000000001</v>
      </c>
      <c r="C76" s="77">
        <v>228000000</v>
      </c>
      <c r="D76" s="77">
        <v>228000000</v>
      </c>
      <c r="E76" s="77">
        <v>228000000</v>
      </c>
      <c r="F76" s="27">
        <v>1908558.1968262722</v>
      </c>
      <c r="G76" s="27">
        <v>2388030.4104408021</v>
      </c>
      <c r="H76" s="27">
        <v>-18896.695249413173</v>
      </c>
      <c r="I76" s="27">
        <v>-883.88732449497036</v>
      </c>
      <c r="J76" s="27">
        <v>28292.837952960203</v>
      </c>
      <c r="K76" s="27">
        <v>-538950.49208914628</v>
      </c>
    </row>
    <row r="77" spans="1:11">
      <c r="A77" s="47">
        <v>45195.625</v>
      </c>
      <c r="B77" s="58">
        <v>3692.8928000000001</v>
      </c>
      <c r="C77" s="77">
        <v>228000000</v>
      </c>
      <c r="D77" s="77">
        <v>228000000</v>
      </c>
      <c r="E77" s="77">
        <v>228000000</v>
      </c>
      <c r="F77" s="27">
        <v>1922670.4042036161</v>
      </c>
      <c r="G77" s="27">
        <v>2405469.5065834895</v>
      </c>
      <c r="H77" s="27">
        <v>30260.226648616223</v>
      </c>
      <c r="I77" s="27">
        <v>842.30984487672583</v>
      </c>
      <c r="J77" s="27">
        <v>28063.894481678712</v>
      </c>
      <c r="K77" s="27">
        <v>-529532.29205628543</v>
      </c>
    </row>
    <row r="78" spans="1:11">
      <c r="A78" s="47">
        <v>45196.625</v>
      </c>
      <c r="B78" s="58">
        <v>3700.4949999999999</v>
      </c>
      <c r="C78" s="77">
        <v>228000000</v>
      </c>
      <c r="D78" s="77">
        <v>228000000</v>
      </c>
      <c r="E78" s="77">
        <v>228000000</v>
      </c>
      <c r="F78" s="27">
        <v>1955748.80119992</v>
      </c>
      <c r="G78" s="27">
        <v>2450292.7799162529</v>
      </c>
      <c r="H78" s="27">
        <v>20620.836875310833</v>
      </c>
      <c r="I78" s="27">
        <v>482.46975710682659</v>
      </c>
      <c r="J78" s="27">
        <v>28107.250092262711</v>
      </c>
      <c r="K78" s="27">
        <v>-520106.35081633989</v>
      </c>
    </row>
    <row r="79" spans="1:11">
      <c r="A79" s="47">
        <v>45197.625</v>
      </c>
      <c r="B79" s="58">
        <v>3689.5171999999998</v>
      </c>
      <c r="C79" s="77">
        <v>228000000</v>
      </c>
      <c r="D79" s="77">
        <v>228000000</v>
      </c>
      <c r="E79" s="77">
        <v>228000000</v>
      </c>
      <c r="F79" s="27">
        <v>1976480.7704522798</v>
      </c>
      <c r="G79" s="27">
        <v>2467588.8157805107</v>
      </c>
      <c r="H79" s="27">
        <v>49543.394512954415</v>
      </c>
      <c r="I79" s="27">
        <v>1440.9539993101844</v>
      </c>
      <c r="J79" s="27">
        <v>27973.214239576431</v>
      </c>
      <c r="K79" s="27">
        <v>-510707.87148824095</v>
      </c>
    </row>
    <row r="80" spans="1:11">
      <c r="A80" s="47">
        <v>45208.625</v>
      </c>
      <c r="B80" s="58">
        <v>3684.7271999999998</v>
      </c>
      <c r="C80" s="77">
        <v>228000000</v>
      </c>
      <c r="D80" s="77">
        <v>228000000</v>
      </c>
      <c r="E80" s="77">
        <v>228000000</v>
      </c>
      <c r="F80" s="27">
        <v>2001193.8308168573</v>
      </c>
      <c r="G80" s="27">
        <v>2491072.7712055324</v>
      </c>
      <c r="H80" s="27">
        <v>66348.068329909263</v>
      </c>
      <c r="I80" s="27">
        <v>1961.0648174768951</v>
      </c>
      <c r="J80" s="27">
        <v>27895.240017708562</v>
      </c>
      <c r="K80" s="27">
        <v>-501306.55121728603</v>
      </c>
    </row>
    <row r="81" spans="1:11">
      <c r="A81" s="47">
        <v>45209.625</v>
      </c>
      <c r="B81" s="58">
        <v>3657.1259</v>
      </c>
      <c r="C81" s="77">
        <v>228000000</v>
      </c>
      <c r="D81" s="77">
        <v>228000000</v>
      </c>
      <c r="E81" s="77">
        <v>228000000</v>
      </c>
      <c r="F81" s="27">
        <v>2010413.3549830997</v>
      </c>
      <c r="G81" s="27">
        <v>2430702.4265231285</v>
      </c>
      <c r="H81" s="27">
        <v>126895.92408940697</v>
      </c>
      <c r="I81" s="27">
        <v>3901.9575612855251</v>
      </c>
      <c r="J81" s="27">
        <v>27622.382657026177</v>
      </c>
      <c r="K81" s="27">
        <v>-492043.40001419408</v>
      </c>
    </row>
    <row r="82" spans="1:11">
      <c r="A82" s="47">
        <v>45210.625</v>
      </c>
      <c r="B82" s="58">
        <v>3667.5482999999999</v>
      </c>
      <c r="C82" s="77">
        <v>228000000</v>
      </c>
      <c r="D82" s="77">
        <v>228000000</v>
      </c>
      <c r="E82" s="77">
        <v>228000000</v>
      </c>
      <c r="F82" s="27">
        <v>2045075.9208816274</v>
      </c>
      <c r="G82" s="27">
        <v>2502041.2329018312</v>
      </c>
      <c r="H82" s="27">
        <v>116630.56938763781</v>
      </c>
      <c r="I82" s="27">
        <v>3479.3539845112873</v>
      </c>
      <c r="J82" s="27">
        <v>27665.55587267159</v>
      </c>
      <c r="K82" s="27">
        <v>-482564.35753256915</v>
      </c>
    </row>
    <row r="83" spans="1:11">
      <c r="A83" s="47">
        <v>45211.625</v>
      </c>
      <c r="B83" s="58">
        <v>3702.3824</v>
      </c>
      <c r="C83" s="77">
        <v>248000000</v>
      </c>
      <c r="D83" s="77">
        <v>248000000</v>
      </c>
      <c r="E83" s="77">
        <v>248000000</v>
      </c>
      <c r="F83" s="27">
        <v>2080857.3504257111</v>
      </c>
      <c r="G83" s="27">
        <v>2997341.2502462054</v>
      </c>
      <c r="H83" s="27">
        <v>42616.565151834751</v>
      </c>
      <c r="I83" s="27">
        <v>1000.8057993851387</v>
      </c>
      <c r="J83" s="27">
        <v>30432.01234138586</v>
      </c>
      <c r="K83" s="27">
        <v>-523281.38674682053</v>
      </c>
    </row>
    <row r="84" spans="1:11">
      <c r="A84" s="47">
        <v>45212.625</v>
      </c>
      <c r="B84" s="58">
        <v>3663.4104000000002</v>
      </c>
      <c r="C84" s="77">
        <v>248000000</v>
      </c>
      <c r="D84" s="77">
        <v>248000000</v>
      </c>
      <c r="E84" s="77">
        <v>248000000</v>
      </c>
      <c r="F84" s="27">
        <v>2079718.959736197</v>
      </c>
      <c r="G84" s="27">
        <v>2905170.3950357968</v>
      </c>
      <c r="H84" s="27">
        <v>143618.16225667854</v>
      </c>
      <c r="I84" s="27">
        <v>4152.9883946551945</v>
      </c>
      <c r="J84" s="27">
        <v>29973.745097787967</v>
      </c>
      <c r="K84" s="27">
        <v>-513234.83434510627</v>
      </c>
    </row>
    <row r="85" spans="1:11">
      <c r="A85" s="47">
        <v>45215.625</v>
      </c>
      <c r="B85" s="58">
        <v>3626.5972000000002</v>
      </c>
      <c r="C85" s="77">
        <v>248000000</v>
      </c>
      <c r="D85" s="77">
        <v>248000000</v>
      </c>
      <c r="E85" s="77">
        <v>248000000</v>
      </c>
      <c r="F85" s="27">
        <v>2081036.4413699973</v>
      </c>
      <c r="G85" s="27">
        <v>2719095.1862441255</v>
      </c>
      <c r="H85" s="27">
        <v>221682.98879793362</v>
      </c>
      <c r="I85" s="27">
        <v>6512.9078560996713</v>
      </c>
      <c r="J85" s="27">
        <v>29634.061719496793</v>
      </c>
      <c r="K85" s="27">
        <v>-503380.45469462097</v>
      </c>
    </row>
    <row r="86" spans="1:11">
      <c r="A86" s="47">
        <v>45216.625</v>
      </c>
      <c r="B86" s="58">
        <v>3639.4018000000001</v>
      </c>
      <c r="C86" s="77">
        <v>248000000</v>
      </c>
      <c r="D86" s="77">
        <v>248000000</v>
      </c>
      <c r="E86" s="77">
        <v>248000000</v>
      </c>
      <c r="F86" s="27">
        <v>2120466.6077637183</v>
      </c>
      <c r="G86" s="27">
        <v>2830289.3405627096</v>
      </c>
      <c r="H86" s="27">
        <v>212261.7385461244</v>
      </c>
      <c r="I86" s="27">
        <v>6058.317377413714</v>
      </c>
      <c r="J86" s="27">
        <v>29668.95821677256</v>
      </c>
      <c r="K86" s="27">
        <v>-493019.42205314984</v>
      </c>
    </row>
    <row r="87" spans="1:11">
      <c r="A87" s="47">
        <v>45217.625</v>
      </c>
      <c r="B87" s="58">
        <v>3610.5767000000001</v>
      </c>
      <c r="C87" s="77">
        <v>248000000</v>
      </c>
      <c r="D87" s="77">
        <v>248000000</v>
      </c>
      <c r="E87" s="77">
        <v>248000000</v>
      </c>
      <c r="F87" s="27">
        <v>2128234.2386112395</v>
      </c>
      <c r="G87" s="27">
        <v>2638938.4190769033</v>
      </c>
      <c r="H87" s="27">
        <v>266763.97901537444</v>
      </c>
      <c r="I87" s="27">
        <v>7593.3665512907592</v>
      </c>
      <c r="J87" s="27">
        <v>29440.272166295228</v>
      </c>
      <c r="K87" s="27">
        <v>-483173.00434759771</v>
      </c>
    </row>
    <row r="88" spans="1:11">
      <c r="A88" s="47">
        <v>45218.625</v>
      </c>
      <c r="B88" s="58">
        <v>3533.5445</v>
      </c>
      <c r="C88" s="77">
        <v>248000000</v>
      </c>
      <c r="D88" s="77">
        <v>248000000</v>
      </c>
      <c r="E88" s="77">
        <v>248000000</v>
      </c>
      <c r="F88" s="27">
        <v>2107912.9501565504</v>
      </c>
      <c r="G88" s="27">
        <v>1946393.5665587285</v>
      </c>
      <c r="H88" s="27">
        <v>315373.46270883782</v>
      </c>
      <c r="I88" s="27">
        <v>9033.2340288543401</v>
      </c>
      <c r="J88" s="27">
        <v>29297.660759224891</v>
      </c>
      <c r="K88" s="27">
        <v>-474211.90644591255</v>
      </c>
    </row>
    <row r="89" spans="1:11">
      <c r="A89" s="47">
        <v>45219.625</v>
      </c>
      <c r="B89" s="58">
        <v>3510.5889000000002</v>
      </c>
      <c r="C89" s="77">
        <v>248000000</v>
      </c>
      <c r="D89" s="77">
        <v>248000000</v>
      </c>
      <c r="E89" s="77">
        <v>248000000</v>
      </c>
      <c r="F89" s="27">
        <v>2125276.0037992676</v>
      </c>
      <c r="G89" s="27">
        <v>1718999.360581697</v>
      </c>
      <c r="H89" s="27">
        <v>314820.68393361621</v>
      </c>
      <c r="I89" s="27">
        <v>8883.1255364839326</v>
      </c>
      <c r="J89" s="27">
        <v>29330.58547141563</v>
      </c>
      <c r="K89" s="27">
        <v>-464413.59265677829</v>
      </c>
    </row>
    <row r="90" spans="1:11">
      <c r="A90" s="47">
        <v>45222.625</v>
      </c>
      <c r="B90" s="58">
        <v>3474.2438000000002</v>
      </c>
      <c r="C90" s="77">
        <v>248000000</v>
      </c>
      <c r="D90" s="77">
        <v>248000000</v>
      </c>
      <c r="E90" s="77">
        <v>248000000</v>
      </c>
      <c r="F90" s="27">
        <v>2138621.3952974533</v>
      </c>
      <c r="G90" s="27">
        <v>1369364.0544606664</v>
      </c>
      <c r="H90" s="27">
        <v>292766.05430695013</v>
      </c>
      <c r="I90" s="27">
        <v>8155.3861101220718</v>
      </c>
      <c r="J90" s="27">
        <v>29478.132511796743</v>
      </c>
      <c r="K90" s="27">
        <v>-454817.19954209018</v>
      </c>
    </row>
    <row r="91" spans="1:11">
      <c r="A91" s="47">
        <v>45223.625</v>
      </c>
      <c r="B91" s="58">
        <v>3487.1302000000001</v>
      </c>
      <c r="C91" s="77">
        <v>248000000</v>
      </c>
      <c r="D91" s="77">
        <v>248000000</v>
      </c>
      <c r="E91" s="77">
        <v>248000000</v>
      </c>
      <c r="F91" s="27">
        <v>2173307.3319252436</v>
      </c>
      <c r="G91" s="27">
        <v>1467183.4331819369</v>
      </c>
      <c r="H91" s="27">
        <v>308772.96969648357</v>
      </c>
      <c r="I91" s="27">
        <v>8396.419033910337</v>
      </c>
      <c r="J91" s="27">
        <v>29395.887392895689</v>
      </c>
      <c r="K91" s="27">
        <v>-444420.13237635605</v>
      </c>
    </row>
    <row r="92" spans="1:11">
      <c r="A92" s="47">
        <v>45224.625</v>
      </c>
      <c r="B92" s="58">
        <v>3504.4576000000002</v>
      </c>
      <c r="C92" s="77">
        <v>248000000</v>
      </c>
      <c r="D92" s="77">
        <v>248000000</v>
      </c>
      <c r="E92" s="77">
        <v>248000000</v>
      </c>
      <c r="F92" s="27">
        <v>2210282.1739668092</v>
      </c>
      <c r="G92" s="27">
        <v>1614671.2933401605</v>
      </c>
      <c r="H92" s="27">
        <v>329015.17628950061</v>
      </c>
      <c r="I92" s="27">
        <v>8718.6747024925444</v>
      </c>
      <c r="J92" s="27">
        <v>29288.07589652211</v>
      </c>
      <c r="K92" s="27">
        <v>-433944.60109589482</v>
      </c>
    </row>
    <row r="93" spans="1:11">
      <c r="A93" s="47">
        <v>45225.625</v>
      </c>
      <c r="B93" s="58">
        <v>3514.1448</v>
      </c>
      <c r="C93" s="77">
        <v>248000000</v>
      </c>
      <c r="D93" s="77">
        <v>248000000</v>
      </c>
      <c r="E93" s="77">
        <v>248000000</v>
      </c>
      <c r="F93" s="27">
        <v>2244101.1668906761</v>
      </c>
      <c r="G93" s="27">
        <v>1694351.3923295662</v>
      </c>
      <c r="H93" s="27">
        <v>343043.21638315206</v>
      </c>
      <c r="I93" s="27">
        <v>8868.5650056067843</v>
      </c>
      <c r="J93" s="27">
        <v>29217.17154191251</v>
      </c>
      <c r="K93" s="27">
        <v>-423589.93978336809</v>
      </c>
    </row>
    <row r="94" spans="1:11">
      <c r="A94" s="47">
        <v>45226.625</v>
      </c>
      <c r="B94" s="58">
        <v>3562.3851</v>
      </c>
      <c r="C94" s="77">
        <v>248000000</v>
      </c>
      <c r="D94" s="77">
        <v>248000000</v>
      </c>
      <c r="E94" s="77">
        <v>248000000</v>
      </c>
      <c r="F94" s="27">
        <v>2299687.5688582705</v>
      </c>
      <c r="G94" s="27">
        <v>2201499.2277537477</v>
      </c>
      <c r="H94" s="27">
        <v>377070.58438543719</v>
      </c>
      <c r="I94" s="27">
        <v>9392.6957691239732</v>
      </c>
      <c r="J94" s="27">
        <v>29002.970463908183</v>
      </c>
      <c r="K94" s="27">
        <v>-412561.0797359813</v>
      </c>
    </row>
    <row r="95" spans="1:11">
      <c r="A95" s="47">
        <v>45229.625</v>
      </c>
      <c r="B95" s="58">
        <v>3583.7718</v>
      </c>
      <c r="C95" s="77">
        <v>248000000</v>
      </c>
      <c r="D95" s="77">
        <v>248000000</v>
      </c>
      <c r="E95" s="77">
        <v>248000000</v>
      </c>
      <c r="F95" s="27">
        <v>2342531.4369133669</v>
      </c>
      <c r="G95" s="27">
        <v>2440014.2156111435</v>
      </c>
      <c r="H95" s="27">
        <v>389564.49373134878</v>
      </c>
      <c r="I95" s="27">
        <v>9402.997656318581</v>
      </c>
      <c r="J95" s="27">
        <v>28920.614221441534</v>
      </c>
      <c r="K95" s="27">
        <v>-401989.47426865913</v>
      </c>
    </row>
    <row r="96" spans="1:11">
      <c r="A96" s="47">
        <v>45230.625</v>
      </c>
      <c r="B96" s="58">
        <v>3572.5056</v>
      </c>
      <c r="C96" s="77">
        <v>248000000</v>
      </c>
      <c r="D96" s="77">
        <v>248000000</v>
      </c>
      <c r="E96" s="77">
        <v>248000000</v>
      </c>
      <c r="F96" s="27">
        <v>2363961.6809396571</v>
      </c>
      <c r="G96" s="27">
        <v>2302614.6831722674</v>
      </c>
      <c r="H96" s="27">
        <v>402183.39336233761</v>
      </c>
      <c r="I96" s="27">
        <v>9520.6494390210701</v>
      </c>
      <c r="J96" s="27">
        <v>28881.64966771553</v>
      </c>
      <c r="K96" s="27">
        <v>-391991.49595363595</v>
      </c>
    </row>
    <row r="97" spans="1:11">
      <c r="A97" s="47">
        <v>45231.625</v>
      </c>
      <c r="B97" s="58">
        <v>3571.0268000000001</v>
      </c>
      <c r="C97" s="77">
        <v>248000000</v>
      </c>
      <c r="D97" s="77">
        <v>248000000</v>
      </c>
      <c r="E97" s="77">
        <v>248000000</v>
      </c>
      <c r="F97" s="27">
        <v>2391871.2405238608</v>
      </c>
      <c r="G97" s="27">
        <v>2275404.6940982197</v>
      </c>
      <c r="H97" s="27">
        <v>414037.08125855791</v>
      </c>
      <c r="I97" s="27">
        <v>9570.6220846670039</v>
      </c>
      <c r="J97" s="27">
        <v>28833.37799180935</v>
      </c>
      <c r="K97" s="27">
        <v>-381821.85019188852</v>
      </c>
    </row>
    <row r="98" spans="1:11">
      <c r="A98" s="47">
        <v>45232.625</v>
      </c>
      <c r="B98" s="58">
        <v>3554.1889000000001</v>
      </c>
      <c r="C98" s="77">
        <v>248000000</v>
      </c>
      <c r="D98" s="77">
        <v>248000000</v>
      </c>
      <c r="E98" s="77">
        <v>248000000</v>
      </c>
      <c r="F98" s="27">
        <v>2410477.214238131</v>
      </c>
      <c r="G98" s="27">
        <v>2054279.2217346455</v>
      </c>
      <c r="H98" s="27">
        <v>415782.57023632951</v>
      </c>
      <c r="I98" s="27">
        <v>9430.7515777857298</v>
      </c>
      <c r="J98" s="27">
        <v>28854.998792098457</v>
      </c>
      <c r="K98" s="27">
        <v>-371926.19180506689</v>
      </c>
    </row>
    <row r="99" spans="1:11">
      <c r="A99" s="47">
        <v>45233.625</v>
      </c>
      <c r="B99" s="58">
        <v>3584.1363999999999</v>
      </c>
      <c r="C99" s="77">
        <v>248000000</v>
      </c>
      <c r="D99" s="77">
        <v>248000000</v>
      </c>
      <c r="E99" s="77">
        <v>248000000</v>
      </c>
      <c r="F99" s="27">
        <v>2457989.4777199375</v>
      </c>
      <c r="G99" s="27">
        <v>2420100.3732681829</v>
      </c>
      <c r="H99" s="27">
        <v>444322.5890011455</v>
      </c>
      <c r="I99" s="27">
        <v>9715.9021318717059</v>
      </c>
      <c r="J99" s="27">
        <v>28682.831625206414</v>
      </c>
      <c r="K99" s="27">
        <v>-361193.15274140303</v>
      </c>
    </row>
    <row r="100" spans="1:11">
      <c r="A100" s="47">
        <v>45236.625</v>
      </c>
      <c r="B100" s="58">
        <v>3632.6084000000001</v>
      </c>
      <c r="C100" s="77">
        <v>248000000</v>
      </c>
      <c r="D100" s="77">
        <v>248000000</v>
      </c>
      <c r="E100" s="77">
        <v>248000000</v>
      </c>
      <c r="F100" s="27">
        <v>2523386.7103639422</v>
      </c>
      <c r="G100" s="27">
        <v>3061204.6522127725</v>
      </c>
      <c r="H100" s="27">
        <v>447539.41093856649</v>
      </c>
      <c r="I100" s="27">
        <v>9289.874639431484</v>
      </c>
      <c r="J100" s="27">
        <v>28596.457763240975</v>
      </c>
      <c r="K100" s="27">
        <v>-350131.40792727732</v>
      </c>
    </row>
    <row r="101" spans="1:11">
      <c r="A101" s="47">
        <v>45237.625</v>
      </c>
      <c r="B101" s="58">
        <v>3619.7593000000002</v>
      </c>
      <c r="C101" s="77">
        <v>248000000</v>
      </c>
      <c r="D101" s="77">
        <v>248000000</v>
      </c>
      <c r="E101" s="77">
        <v>248000000</v>
      </c>
      <c r="F101" s="27">
        <v>2541370.5842267694</v>
      </c>
      <c r="G101" s="27">
        <v>2892542.6333994903</v>
      </c>
      <c r="H101" s="27">
        <v>476252.61172032758</v>
      </c>
      <c r="I101" s="27">
        <v>9709.8930799727841</v>
      </c>
      <c r="J101" s="27">
        <v>28486.12286385824</v>
      </c>
      <c r="K101" s="27">
        <v>-340151.68568360666</v>
      </c>
    </row>
    <row r="102" spans="1:11">
      <c r="A102" s="47">
        <v>45238.625</v>
      </c>
      <c r="B102" s="58">
        <v>3611.0722999999998</v>
      </c>
      <c r="C102" s="77">
        <v>248000000</v>
      </c>
      <c r="D102" s="77">
        <v>248000000</v>
      </c>
      <c r="E102" s="77">
        <v>248000000</v>
      </c>
      <c r="F102" s="27">
        <v>2563014.8930580635</v>
      </c>
      <c r="G102" s="27">
        <v>2766227.4123213058</v>
      </c>
      <c r="H102" s="27">
        <v>497050.4336450586</v>
      </c>
      <c r="I102" s="27">
        <v>9912.3957901465601</v>
      </c>
      <c r="J102" s="27">
        <v>28407.786820448215</v>
      </c>
      <c r="K102" s="27">
        <v>-330108.29963168997</v>
      </c>
    </row>
    <row r="103" spans="1:11">
      <c r="A103" s="47">
        <v>45239.625</v>
      </c>
      <c r="B103" s="58">
        <v>3612.8263000000002</v>
      </c>
      <c r="C103" s="77">
        <v>248000000</v>
      </c>
      <c r="D103" s="77">
        <v>248000000</v>
      </c>
      <c r="E103" s="77">
        <v>248000000</v>
      </c>
      <c r="F103" s="27">
        <v>2592727.6031534858</v>
      </c>
      <c r="G103" s="27">
        <v>2785097.5251447624</v>
      </c>
      <c r="H103" s="27">
        <v>515976.3790232116</v>
      </c>
      <c r="I103" s="27">
        <v>10000.156783463986</v>
      </c>
      <c r="J103" s="27">
        <v>28321.14327014262</v>
      </c>
      <c r="K103" s="27">
        <v>-319877.03622355411</v>
      </c>
    </row>
    <row r="104" spans="1:11">
      <c r="A104" s="47">
        <v>45240.625</v>
      </c>
      <c r="B104" s="58">
        <v>3586.4893000000002</v>
      </c>
      <c r="C104" s="77">
        <v>248000000</v>
      </c>
      <c r="D104" s="77">
        <v>248000000</v>
      </c>
      <c r="E104" s="77">
        <v>248000000</v>
      </c>
      <c r="F104" s="27">
        <v>2602191.4466636223</v>
      </c>
      <c r="G104" s="27">
        <v>2370227.2054730854</v>
      </c>
      <c r="H104" s="27">
        <v>517847.54719275079</v>
      </c>
      <c r="I104" s="27">
        <v>9861.5831493958558</v>
      </c>
      <c r="J104" s="27">
        <v>28365.083332577815</v>
      </c>
      <c r="K104" s="27">
        <v>-310166.98216747888</v>
      </c>
    </row>
    <row r="105" spans="1:11">
      <c r="A105" s="47">
        <v>45243.625</v>
      </c>
      <c r="B105" s="58">
        <v>3579.4141</v>
      </c>
      <c r="C105" s="77">
        <v>248000000</v>
      </c>
      <c r="D105" s="77">
        <v>248000000</v>
      </c>
      <c r="E105" s="77">
        <v>248000000</v>
      </c>
      <c r="F105" s="27">
        <v>2626002.880183002</v>
      </c>
      <c r="G105" s="27">
        <v>2236161.0261606951</v>
      </c>
      <c r="H105" s="27">
        <v>523304.59455544531</v>
      </c>
      <c r="I105" s="27">
        <v>9690.3154727301389</v>
      </c>
      <c r="J105" s="27">
        <v>28359.297825995891</v>
      </c>
      <c r="K105" s="27">
        <v>-300099.51147794968</v>
      </c>
    </row>
    <row r="106" spans="1:11">
      <c r="A106" s="47">
        <v>45244.625</v>
      </c>
      <c r="B106" s="58">
        <v>3582.0583999999999</v>
      </c>
      <c r="C106" s="77">
        <v>248000000</v>
      </c>
      <c r="D106" s="77">
        <v>248000000</v>
      </c>
      <c r="E106" s="77">
        <v>248000000</v>
      </c>
      <c r="F106" s="27">
        <v>2655978.2758943648</v>
      </c>
      <c r="G106" s="27">
        <v>2245995.3700361876</v>
      </c>
      <c r="H106" s="27">
        <v>540726.39631508954</v>
      </c>
      <c r="I106" s="27">
        <v>9691.3734363792792</v>
      </c>
      <c r="J106" s="27">
        <v>28280.800518415861</v>
      </c>
      <c r="K106" s="27">
        <v>-289855.34702193137</v>
      </c>
    </row>
    <row r="107" spans="1:11">
      <c r="A107" s="47">
        <v>45245.625</v>
      </c>
      <c r="B107" s="58">
        <v>3607.2453999999998</v>
      </c>
      <c r="C107" s="77">
        <v>248000000</v>
      </c>
      <c r="D107" s="77">
        <v>248000000</v>
      </c>
      <c r="E107" s="77">
        <v>248000000</v>
      </c>
      <c r="F107" s="27">
        <v>2701177.8167158919</v>
      </c>
      <c r="G107" s="27">
        <v>2630643.2545504132</v>
      </c>
      <c r="H107" s="27">
        <v>590810.82596337085</v>
      </c>
      <c r="I107" s="27">
        <v>10164.230499776266</v>
      </c>
      <c r="J107" s="27">
        <v>28005.84001350711</v>
      </c>
      <c r="K107" s="27">
        <v>-279195.78887284163</v>
      </c>
    </row>
    <row r="108" spans="1:11">
      <c r="A108" s="47">
        <v>45246.625</v>
      </c>
      <c r="B108" s="58">
        <v>3572.3640999999998</v>
      </c>
      <c r="C108" s="77">
        <v>248000000</v>
      </c>
      <c r="D108" s="77">
        <v>248000000</v>
      </c>
      <c r="E108" s="77">
        <v>248000000</v>
      </c>
      <c r="F108" s="27">
        <v>2706755.3551977123</v>
      </c>
      <c r="G108" s="27">
        <v>2015821.4909261377</v>
      </c>
      <c r="H108" s="27">
        <v>546831.90823888697</v>
      </c>
      <c r="I108" s="27">
        <v>9177.5800677280222</v>
      </c>
      <c r="J108" s="27">
        <v>28287.272332958317</v>
      </c>
      <c r="K108" s="27">
        <v>-269631.15044803696</v>
      </c>
    </row>
    <row r="109" spans="1:11">
      <c r="A109" s="47">
        <v>45247.625</v>
      </c>
      <c r="B109" s="58">
        <v>3568.0684999999999</v>
      </c>
      <c r="C109" s="77">
        <v>248000000</v>
      </c>
      <c r="D109" s="77">
        <v>248000000</v>
      </c>
      <c r="E109" s="77">
        <v>248000000</v>
      </c>
      <c r="F109" s="27">
        <v>2732696.013040429</v>
      </c>
      <c r="G109" s="27">
        <v>1900487.3891641335</v>
      </c>
      <c r="H109" s="27">
        <v>545729.42410686368</v>
      </c>
      <c r="I109" s="27">
        <v>8841.5480912795374</v>
      </c>
      <c r="J109" s="27">
        <v>28309.929127394189</v>
      </c>
      <c r="K109" s="27">
        <v>-259503.01314523377</v>
      </c>
    </row>
    <row r="110" spans="1:11">
      <c r="A110" s="47">
        <v>45250.625</v>
      </c>
      <c r="B110" s="58">
        <v>3576.3233</v>
      </c>
      <c r="C110" s="77">
        <v>248000000</v>
      </c>
      <c r="D110" s="77">
        <v>248000000</v>
      </c>
      <c r="E110" s="77">
        <v>248000000</v>
      </c>
      <c r="F110" s="27">
        <v>2765417.8143485799</v>
      </c>
      <c r="G110" s="27">
        <v>1982906.743152394</v>
      </c>
      <c r="H110" s="27">
        <v>576654.92552625516</v>
      </c>
      <c r="I110" s="27">
        <v>8970.5479809913377</v>
      </c>
      <c r="J110" s="27">
        <v>28159.994367683015</v>
      </c>
      <c r="K110" s="27">
        <v>-249164.82507766239</v>
      </c>
    </row>
    <row r="111" spans="1:11">
      <c r="A111" s="47">
        <v>45251.625</v>
      </c>
      <c r="B111" s="58">
        <v>3581.0673999999999</v>
      </c>
      <c r="C111" s="77">
        <v>248000000</v>
      </c>
      <c r="D111" s="77">
        <v>248000000</v>
      </c>
      <c r="E111" s="77">
        <v>248000000</v>
      </c>
      <c r="F111" s="27">
        <v>2796170.4967068452</v>
      </c>
      <c r="G111" s="27">
        <v>2007931.2464926818</v>
      </c>
      <c r="H111" s="27">
        <v>599566.83503704378</v>
      </c>
      <c r="I111" s="27">
        <v>8950.7205756693984</v>
      </c>
      <c r="J111" s="27">
        <v>28054.193205562384</v>
      </c>
      <c r="K111" s="27">
        <v>-238885.76706244494</v>
      </c>
    </row>
    <row r="112" spans="1:11">
      <c r="A112" s="47">
        <v>45252.625</v>
      </c>
      <c r="B112" s="58">
        <v>3544.4162000000001</v>
      </c>
      <c r="C112" s="77">
        <v>248000000</v>
      </c>
      <c r="D112" s="77">
        <v>248000000</v>
      </c>
      <c r="E112" s="77">
        <v>248000000</v>
      </c>
      <c r="F112" s="27">
        <v>2807264.2880807901</v>
      </c>
      <c r="G112" s="27">
        <v>1371069.0908632069</v>
      </c>
      <c r="H112" s="27">
        <v>478466.66427880048</v>
      </c>
      <c r="I112" s="27">
        <v>6966.6487423583085</v>
      </c>
      <c r="J112" s="27">
        <v>28697.590229681227</v>
      </c>
      <c r="K112" s="27">
        <v>-229223.41993815676</v>
      </c>
    </row>
    <row r="113" spans="1:11">
      <c r="A113" s="47">
        <v>45253.625</v>
      </c>
      <c r="B113" s="58">
        <v>3561.5203999999999</v>
      </c>
      <c r="C113" s="77">
        <v>248000000</v>
      </c>
      <c r="D113" s="77">
        <v>240000000</v>
      </c>
      <c r="E113" s="77">
        <v>240000000</v>
      </c>
      <c r="F113" s="27">
        <v>2841852.5889307698</v>
      </c>
      <c r="G113" s="27">
        <v>1555292.8851938057</v>
      </c>
      <c r="H113" s="27">
        <v>538788.73838476511</v>
      </c>
      <c r="I113" s="27">
        <v>7466.2341159872312</v>
      </c>
      <c r="J113" s="27">
        <v>27402.518661952483</v>
      </c>
      <c r="K113" s="27">
        <v>-219105.03353152587</v>
      </c>
    </row>
    <row r="114" spans="1:11">
      <c r="A114" s="47">
        <v>45254.625</v>
      </c>
      <c r="B114" s="58">
        <v>3538.0086999999999</v>
      </c>
      <c r="C114" s="77">
        <v>248000000</v>
      </c>
      <c r="D114" s="77">
        <v>240000000</v>
      </c>
      <c r="E114" s="77">
        <v>240000000</v>
      </c>
      <c r="F114" s="27">
        <v>2860583.6982563962</v>
      </c>
      <c r="G114" s="27">
        <v>1150989.5161722917</v>
      </c>
      <c r="H114" s="27">
        <v>440653.57048838027</v>
      </c>
      <c r="I114" s="27">
        <v>5934.3031689692798</v>
      </c>
      <c r="J114" s="27">
        <v>27911.235984110885</v>
      </c>
      <c r="K114" s="27">
        <v>-209507.41332014502</v>
      </c>
    </row>
    <row r="115" spans="1:11">
      <c r="A115" s="47">
        <v>45257.625</v>
      </c>
      <c r="B115" s="58">
        <v>3511.9423999999999</v>
      </c>
      <c r="C115" s="77">
        <v>268000000</v>
      </c>
      <c r="D115" s="77">
        <v>260000000</v>
      </c>
      <c r="E115" s="77">
        <v>260000000</v>
      </c>
      <c r="F115" s="27">
        <v>2880582.0807418474</v>
      </c>
      <c r="G115" s="27">
        <v>2768628.3755260138</v>
      </c>
      <c r="H115" s="27">
        <v>98636.571978048887</v>
      </c>
      <c r="I115" s="27">
        <v>1530.8820266466382</v>
      </c>
      <c r="J115" s="27">
        <v>31525.502213525506</v>
      </c>
      <c r="K115" s="27">
        <v>-294193.77764413133</v>
      </c>
    </row>
    <row r="116" spans="1:11">
      <c r="A116" s="47">
        <v>45258.625</v>
      </c>
      <c r="B116" s="58">
        <v>3518.5232000000001</v>
      </c>
      <c r="C116" s="77">
        <v>268000000</v>
      </c>
      <c r="D116" s="77">
        <v>260000000</v>
      </c>
      <c r="E116" s="77">
        <v>260000000</v>
      </c>
      <c r="F116" s="27">
        <v>2917244.550561931</v>
      </c>
      <c r="G116" s="27">
        <v>2735403.5127404113</v>
      </c>
      <c r="H116" s="27">
        <v>102862.47283334367</v>
      </c>
      <c r="I116" s="27">
        <v>1235.8071373559605</v>
      </c>
      <c r="J116" s="27">
        <v>31520.516780480757</v>
      </c>
      <c r="K116" s="27">
        <v>-281993.79587920196</v>
      </c>
    </row>
    <row r="117" spans="1:11">
      <c r="A117" s="47">
        <v>45259.625</v>
      </c>
      <c r="B117" s="58">
        <v>3488.3072999999999</v>
      </c>
      <c r="C117" s="77">
        <v>268000000</v>
      </c>
      <c r="D117" s="77">
        <v>260000000</v>
      </c>
      <c r="E117" s="77">
        <v>260000000</v>
      </c>
      <c r="F117" s="27">
        <v>2926007.3394954801</v>
      </c>
      <c r="G117" s="27">
        <v>2622974.7825671709</v>
      </c>
      <c r="H117" s="27">
        <v>-6495.6960611915274</v>
      </c>
      <c r="I117" s="27">
        <v>851.49261306450603</v>
      </c>
      <c r="J117" s="27">
        <v>32044.067998824281</v>
      </c>
      <c r="K117" s="27">
        <v>-277545.97066603351</v>
      </c>
    </row>
    <row r="118" spans="1:11">
      <c r="A118" s="47">
        <v>45260.625</v>
      </c>
      <c r="B118" s="58">
        <v>3496.2028</v>
      </c>
      <c r="C118" s="77">
        <v>268000000</v>
      </c>
      <c r="D118" s="77">
        <v>260000000</v>
      </c>
      <c r="E118" s="77">
        <v>260000000</v>
      </c>
      <c r="F118" s="27">
        <v>2963933.7968704314</v>
      </c>
      <c r="G118" s="27">
        <v>2585130.4999751202</v>
      </c>
      <c r="H118" s="27">
        <v>-6180.9836034098116</v>
      </c>
      <c r="I118" s="27">
        <v>502.0810793674832</v>
      </c>
      <c r="J118" s="27">
        <v>32051.087517900738</v>
      </c>
      <c r="K118" s="27">
        <v>-265005.19261528965</v>
      </c>
    </row>
    <row r="119" spans="1:11">
      <c r="A119" s="47">
        <v>45261.625</v>
      </c>
      <c r="B119" s="58">
        <v>3482.8813</v>
      </c>
      <c r="C119" s="77">
        <v>268000000</v>
      </c>
      <c r="D119" s="77">
        <v>260000000</v>
      </c>
      <c r="E119" s="77">
        <v>260000000</v>
      </c>
      <c r="F119" s="27">
        <v>2986313.8539075362</v>
      </c>
      <c r="G119" s="27">
        <v>2549974.3107706704</v>
      </c>
      <c r="H119" s="27">
        <v>-57684.608366007509</v>
      </c>
      <c r="I119" s="27">
        <v>364.09573258078603</v>
      </c>
      <c r="J119" s="27">
        <v>32296.483902753149</v>
      </c>
      <c r="K119" s="27">
        <v>-257053.05222909301</v>
      </c>
    </row>
    <row r="120" spans="1:11">
      <c r="A120" s="47">
        <v>45264.625</v>
      </c>
      <c r="B120" s="58">
        <v>3460.1379999999999</v>
      </c>
      <c r="C120" s="77">
        <v>268000000</v>
      </c>
      <c r="D120" s="77">
        <v>260000000</v>
      </c>
      <c r="E120" s="77">
        <v>260000000</v>
      </c>
      <c r="F120" s="27">
        <v>3002037.3634166196</v>
      </c>
      <c r="G120" s="27">
        <v>2563029.1607267279</v>
      </c>
      <c r="H120" s="27">
        <v>-105539.56462953094</v>
      </c>
      <c r="I120" s="27">
        <v>667.80437280102012</v>
      </c>
      <c r="J120" s="27">
        <v>32545.564317796401</v>
      </c>
      <c r="K120" s="27">
        <v>-251289.40072268865</v>
      </c>
    </row>
    <row r="121" spans="1:11">
      <c r="A121" s="47">
        <v>45265.625</v>
      </c>
      <c r="B121" s="58">
        <v>3394.2570999999998</v>
      </c>
      <c r="C121" s="77">
        <v>268000000</v>
      </c>
      <c r="D121" s="77">
        <v>260000000</v>
      </c>
      <c r="E121" s="77">
        <v>260000000</v>
      </c>
      <c r="F121" s="27">
        <v>2983708.9587377175</v>
      </c>
      <c r="G121" s="27">
        <v>2746659.1733926916</v>
      </c>
      <c r="H121" s="27">
        <v>-125797.01701515733</v>
      </c>
      <c r="I121" s="27">
        <v>3363.0989020287029</v>
      </c>
      <c r="J121" s="27">
        <v>32690.671787992833</v>
      </c>
      <c r="K121" s="27">
        <v>-255744.97345363122</v>
      </c>
    </row>
    <row r="122" spans="1:11">
      <c r="A122" s="47">
        <v>45266.625</v>
      </c>
      <c r="B122" s="58">
        <v>3399.598</v>
      </c>
      <c r="C122" s="77">
        <v>268000000</v>
      </c>
      <c r="D122" s="77">
        <v>260000000</v>
      </c>
      <c r="E122" s="77">
        <v>260000000</v>
      </c>
      <c r="F122" s="27">
        <v>3020724.0076725618</v>
      </c>
      <c r="G122" s="27">
        <v>2733744.2254294283</v>
      </c>
      <c r="H122" s="27">
        <v>-134351.80548485933</v>
      </c>
      <c r="I122" s="27">
        <v>3061.538083217335</v>
      </c>
      <c r="J122" s="27">
        <v>32758.846223406745</v>
      </c>
      <c r="K122" s="27">
        <v>-243750.70641485241</v>
      </c>
    </row>
    <row r="123" spans="1:11">
      <c r="A123" s="47">
        <v>45267.625</v>
      </c>
      <c r="B123" s="58">
        <v>3391.2822999999999</v>
      </c>
      <c r="C123" s="77">
        <v>268000000</v>
      </c>
      <c r="D123" s="77">
        <v>260000000</v>
      </c>
      <c r="E123" s="77">
        <v>260000000</v>
      </c>
      <c r="F123" s="27">
        <v>3046721.0431742053</v>
      </c>
      <c r="G123" s="27">
        <v>2764628.3328151912</v>
      </c>
      <c r="H123" s="27">
        <v>-135300.17620439286</v>
      </c>
      <c r="I123" s="27">
        <v>3491.2860886237804</v>
      </c>
      <c r="J123" s="27">
        <v>32768.482717170453</v>
      </c>
      <c r="K123" s="27">
        <v>-234971.59109996515</v>
      </c>
    </row>
    <row r="124" spans="1:11">
      <c r="A124" s="47">
        <v>45268.625</v>
      </c>
      <c r="B124" s="58">
        <v>3399.4618</v>
      </c>
      <c r="C124" s="77">
        <v>268000000</v>
      </c>
      <c r="D124" s="77">
        <v>260000000</v>
      </c>
      <c r="E124" s="77">
        <v>260000000</v>
      </c>
      <c r="F124" s="27">
        <v>3086138.7143975259</v>
      </c>
      <c r="G124" s="27">
        <v>2744084.9131751219</v>
      </c>
      <c r="H124" s="27">
        <v>-144437.08879415682</v>
      </c>
      <c r="I124" s="27">
        <v>3033.0191108910167</v>
      </c>
      <c r="J124" s="27">
        <v>32777.605155743702</v>
      </c>
      <c r="K124" s="27">
        <v>-222286.75250117609</v>
      </c>
    </row>
    <row r="125" spans="1:11">
      <c r="A125" s="47">
        <v>45271.625</v>
      </c>
      <c r="B125" s="58">
        <v>3419.4548</v>
      </c>
      <c r="C125" s="77">
        <v>268000000</v>
      </c>
      <c r="D125" s="77">
        <v>260000000</v>
      </c>
      <c r="E125" s="77">
        <v>260000000</v>
      </c>
      <c r="F125" s="27">
        <v>3134844.0661331238</v>
      </c>
      <c r="G125" s="27">
        <v>2675790.3243366564</v>
      </c>
      <c r="H125" s="27">
        <v>-157734.01585475495</v>
      </c>
      <c r="I125" s="27">
        <v>1968.4134243175408</v>
      </c>
      <c r="J125" s="27">
        <v>32825.778256305137</v>
      </c>
      <c r="K125" s="27">
        <v>-206738.81804418185</v>
      </c>
    </row>
    <row r="126" spans="1:11">
      <c r="A126" s="47">
        <v>45272.625</v>
      </c>
      <c r="B126" s="58">
        <v>3426.8029999999999</v>
      </c>
      <c r="C126" s="77">
        <v>268000000</v>
      </c>
      <c r="D126" s="77">
        <v>260000000</v>
      </c>
      <c r="E126" s="77">
        <v>260000000</v>
      </c>
      <c r="F126" s="27">
        <v>3173396.7279834296</v>
      </c>
      <c r="G126" s="27">
        <v>2650919.4188416856</v>
      </c>
      <c r="H126" s="27">
        <v>-165643.2421373488</v>
      </c>
      <c r="I126" s="27">
        <v>1610.0601874917247</v>
      </c>
      <c r="J126" s="27">
        <v>32854.63916067125</v>
      </c>
      <c r="K126" s="27">
        <v>-194182.09374096536</v>
      </c>
    </row>
    <row r="127" spans="1:11">
      <c r="A127" s="47">
        <v>45273.625</v>
      </c>
      <c r="B127" s="58">
        <v>3369.605</v>
      </c>
      <c r="C127" s="77">
        <v>268000000</v>
      </c>
      <c r="D127" s="77">
        <v>260000000</v>
      </c>
      <c r="E127" s="77">
        <v>260000000</v>
      </c>
      <c r="F127" s="27">
        <v>3159682.9648379534</v>
      </c>
      <c r="G127" s="27">
        <v>2865338.1619508527</v>
      </c>
      <c r="H127" s="27">
        <v>-131786.3167449593</v>
      </c>
      <c r="I127" s="27">
        <v>4767.5151686115305</v>
      </c>
      <c r="J127" s="27">
        <v>32759.205829877184</v>
      </c>
      <c r="K127" s="27">
        <v>-197263.40837302251</v>
      </c>
    </row>
    <row r="128" spans="1:11">
      <c r="A128" s="47">
        <v>45274.625</v>
      </c>
      <c r="B128" s="58">
        <v>3351.9639000000002</v>
      </c>
      <c r="C128" s="77">
        <v>268000000</v>
      </c>
      <c r="D128" s="77">
        <v>260000000</v>
      </c>
      <c r="E128" s="77">
        <v>260000000</v>
      </c>
      <c r="F128" s="27">
        <v>3177184.783636726</v>
      </c>
      <c r="G128" s="27">
        <v>2925525.2570629111</v>
      </c>
      <c r="H128" s="27">
        <v>-114702.25978940354</v>
      </c>
      <c r="I128" s="27">
        <v>5948.7598992029079</v>
      </c>
      <c r="J128" s="27">
        <v>32727.388262659333</v>
      </c>
      <c r="K128" s="27">
        <v>-190794.69583453814</v>
      </c>
    </row>
    <row r="129" spans="1:11">
      <c r="A129" s="47">
        <v>45275.625</v>
      </c>
      <c r="B129" s="58">
        <v>3341.5517</v>
      </c>
      <c r="C129" s="77">
        <v>268000000</v>
      </c>
      <c r="D129" s="77">
        <v>260000000</v>
      </c>
      <c r="E129" s="77">
        <v>260000000</v>
      </c>
      <c r="F129" s="27">
        <v>3200697.3956655562</v>
      </c>
      <c r="G129" s="27">
        <v>2962677.8355972283</v>
      </c>
      <c r="H129" s="27">
        <v>-103168.34890196682</v>
      </c>
      <c r="I129" s="27">
        <v>6677.5490618812346</v>
      </c>
      <c r="J129" s="27">
        <v>32705.189288030753</v>
      </c>
      <c r="K129" s="27">
        <v>-182596.51484511685</v>
      </c>
    </row>
    <row r="130" spans="1:11">
      <c r="A130" s="47">
        <v>45278.625</v>
      </c>
      <c r="B130" s="58">
        <v>3329.3656999999998</v>
      </c>
      <c r="C130" s="77">
        <v>268000000</v>
      </c>
      <c r="D130" s="77">
        <v>260000000</v>
      </c>
      <c r="E130" s="77">
        <v>260000000</v>
      </c>
      <c r="F130" s="27">
        <v>3222476.1816491364</v>
      </c>
      <c r="G130" s="27">
        <v>3001308.5888604498</v>
      </c>
      <c r="H130" s="27">
        <v>-90679.588307101672</v>
      </c>
      <c r="I130" s="27">
        <v>7524.0440532722159</v>
      </c>
      <c r="J130" s="27">
        <v>32638.631422419436</v>
      </c>
      <c r="K130" s="27">
        <v>-174809.64969695741</v>
      </c>
    </row>
    <row r="131" spans="1:11">
      <c r="A131" s="47">
        <v>45279.625</v>
      </c>
      <c r="B131" s="58">
        <v>3334.0412000000001</v>
      </c>
      <c r="C131" s="77">
        <v>268000000</v>
      </c>
      <c r="D131" s="77">
        <v>260000000</v>
      </c>
      <c r="E131" s="77">
        <v>260000000</v>
      </c>
      <c r="F131" s="27">
        <v>3259363.7577373232</v>
      </c>
      <c r="G131" s="27">
        <v>3006483.3147719898</v>
      </c>
      <c r="H131" s="27">
        <v>-97343.398474693066</v>
      </c>
      <c r="I131" s="27">
        <v>7243.3333361395444</v>
      </c>
      <c r="J131" s="27">
        <v>32663.949991238242</v>
      </c>
      <c r="K131" s="27">
        <v>-163062.85787546268</v>
      </c>
    </row>
    <row r="132" spans="1:11">
      <c r="A132" s="47">
        <v>45280.625</v>
      </c>
      <c r="B132" s="58">
        <v>3297.5021999999999</v>
      </c>
      <c r="C132" s="77">
        <v>268000000</v>
      </c>
      <c r="D132" s="77">
        <v>260000000</v>
      </c>
      <c r="E132" s="77">
        <v>260000000</v>
      </c>
      <c r="F132" s="27">
        <v>3258409.599103359</v>
      </c>
      <c r="G132" s="27">
        <v>3069362.0652899584</v>
      </c>
      <c r="H132" s="27">
        <v>-49984.929032545479</v>
      </c>
      <c r="I132" s="27">
        <v>9794.51646749051</v>
      </c>
      <c r="J132" s="27">
        <v>32487.932991647565</v>
      </c>
      <c r="K132" s="27">
        <v>-160834.31153227371</v>
      </c>
    </row>
    <row r="133" spans="1:11">
      <c r="A133" s="47">
        <v>45281.625</v>
      </c>
      <c r="B133" s="58">
        <v>3330.8697999999999</v>
      </c>
      <c r="C133" s="77">
        <v>268000000</v>
      </c>
      <c r="D133" s="77">
        <v>260000000</v>
      </c>
      <c r="E133" s="77">
        <v>260000000</v>
      </c>
      <c r="F133" s="27">
        <v>3321829.948231353</v>
      </c>
      <c r="G133" s="27">
        <v>3042158.4101043311</v>
      </c>
      <c r="H133" s="27">
        <v>-96813.104568777664</v>
      </c>
      <c r="I133" s="27">
        <v>7555.311580947945</v>
      </c>
      <c r="J133" s="27">
        <v>32648.051547929426</v>
      </c>
      <c r="K133" s="27">
        <v>-142525.68163552848</v>
      </c>
    </row>
    <row r="134" spans="1:11">
      <c r="A134" s="47">
        <v>45282.625</v>
      </c>
      <c r="B134" s="58">
        <v>3337.2280999999998</v>
      </c>
      <c r="C134" s="77">
        <v>268000000</v>
      </c>
      <c r="D134" s="77">
        <v>260000000</v>
      </c>
      <c r="E134" s="77">
        <v>260000000</v>
      </c>
      <c r="F134" s="27">
        <v>3360331.0533939647</v>
      </c>
      <c r="G134" s="27">
        <v>3044550.2287035612</v>
      </c>
      <c r="H134" s="27">
        <v>-102763.2404715404</v>
      </c>
      <c r="I134" s="27">
        <v>7164.0957335177973</v>
      </c>
      <c r="J134" s="27">
        <v>7500.8217756767681</v>
      </c>
      <c r="K134" s="27">
        <v>-130356.88097076173</v>
      </c>
    </row>
    <row r="135" spans="1:11">
      <c r="A135" s="47">
        <v>45285.625</v>
      </c>
      <c r="B135" s="58">
        <v>3347.4508000000001</v>
      </c>
      <c r="C135" s="77">
        <v>268000000</v>
      </c>
      <c r="D135" s="77">
        <v>60000000</v>
      </c>
      <c r="E135" s="77">
        <v>60000000</v>
      </c>
      <c r="F135" s="27">
        <v>3377167.1273550629</v>
      </c>
      <c r="G135" s="27">
        <v>3035681.933118477</v>
      </c>
      <c r="H135" s="27">
        <v>-120604.29703021987</v>
      </c>
      <c r="I135" s="27">
        <v>6549.6441480466228</v>
      </c>
      <c r="J135" s="27">
        <v>5036.3161687684242</v>
      </c>
      <c r="K135" s="27">
        <v>-125601.30207919002</v>
      </c>
    </row>
    <row r="136" spans="1:11">
      <c r="A136" s="47">
        <v>45286.625</v>
      </c>
      <c r="B136" s="58">
        <v>3324.7901999999999</v>
      </c>
      <c r="C136" s="77">
        <v>268000000</v>
      </c>
      <c r="D136" s="77">
        <v>40000000</v>
      </c>
      <c r="E136" s="77">
        <v>40000000</v>
      </c>
      <c r="F136" s="27">
        <v>3361280.7857578755</v>
      </c>
      <c r="G136" s="27">
        <v>3101031.387210452</v>
      </c>
      <c r="H136" s="27">
        <v>-87922.392991481218</v>
      </c>
      <c r="I136" s="27">
        <v>8225.8999472943124</v>
      </c>
      <c r="J136" s="27">
        <v>4949.0759285394643</v>
      </c>
      <c r="K136" s="27">
        <v>-129703.98696390061</v>
      </c>
    </row>
    <row r="137" spans="1:11">
      <c r="A137" s="47">
        <v>45287.625</v>
      </c>
      <c r="B137" s="58">
        <v>3336.3571999999999</v>
      </c>
      <c r="C137" s="77">
        <v>268000000</v>
      </c>
      <c r="D137" s="77">
        <v>40000000</v>
      </c>
      <c r="E137" s="77">
        <v>40000000</v>
      </c>
      <c r="F137" s="27">
        <v>3377043.9455109825</v>
      </c>
      <c r="G137" s="27">
        <v>3096131.996677733</v>
      </c>
      <c r="H137" s="27">
        <v>-102979.23737192561</v>
      </c>
      <c r="I137" s="27">
        <v>7480.6530792747408</v>
      </c>
      <c r="J137" s="27">
        <v>4978.4453946797703</v>
      </c>
      <c r="K137" s="27">
        <v>-125505.03914451411</v>
      </c>
    </row>
    <row r="138" spans="1:11">
      <c r="A138" s="47">
        <v>45288.625</v>
      </c>
      <c r="B138" s="58">
        <v>3414.5403000000001</v>
      </c>
      <c r="C138" s="77">
        <v>268000000</v>
      </c>
      <c r="D138" s="77">
        <v>40000000</v>
      </c>
      <c r="E138" s="77">
        <v>40000000</v>
      </c>
      <c r="F138" s="27">
        <v>3454125.7128002751</v>
      </c>
      <c r="G138" s="27">
        <v>2828178.2552710474</v>
      </c>
      <c r="H138" s="27">
        <v>-216963.29282907199</v>
      </c>
      <c r="I138" s="27">
        <v>2403.3867518182215</v>
      </c>
      <c r="J138" s="27">
        <v>5445.1148312462219</v>
      </c>
      <c r="K138" s="27">
        <v>-103120.26042855874</v>
      </c>
    </row>
    <row r="139" spans="1:11">
      <c r="A139" s="47">
        <v>45289.625</v>
      </c>
      <c r="B139" s="58">
        <v>3431.1098999999999</v>
      </c>
      <c r="C139" s="77">
        <v>268000000</v>
      </c>
      <c r="D139" s="77">
        <v>40000000</v>
      </c>
      <c r="E139" s="77">
        <v>40000000</v>
      </c>
      <c r="F139" s="27">
        <v>3473110.1013929104</v>
      </c>
      <c r="G139" s="27">
        <v>2746246.5658710292</v>
      </c>
      <c r="H139" s="27">
        <v>-243211.51168665077</v>
      </c>
      <c r="I139" s="27">
        <v>1425.0642008588075</v>
      </c>
      <c r="J139" s="27">
        <v>5515.2768995604383</v>
      </c>
      <c r="K139" s="27">
        <v>-97086.884406244018</v>
      </c>
    </row>
    <row r="140" spans="1:11">
      <c r="A140" s="47">
        <v>45293.625</v>
      </c>
      <c r="B140" s="58">
        <v>3386.3521999999998</v>
      </c>
      <c r="C140" s="77">
        <v>268000000</v>
      </c>
      <c r="D140" s="77">
        <v>40000000</v>
      </c>
      <c r="E140" s="77">
        <v>40000000</v>
      </c>
      <c r="F140" s="27">
        <v>3440644.2254479434</v>
      </c>
      <c r="G140" s="27">
        <v>3005417.5741150947</v>
      </c>
      <c r="H140" s="27">
        <v>-179869.22176211458</v>
      </c>
      <c r="I140" s="27">
        <v>4283.4681730214243</v>
      </c>
      <c r="J140" s="27">
        <v>5280.2129540097121</v>
      </c>
      <c r="K140" s="27">
        <v>-107711.3290579773</v>
      </c>
    </row>
    <row r="141" spans="1:11">
      <c r="A141" s="47">
        <v>45294.625</v>
      </c>
      <c r="B141" s="58">
        <v>3378.2970999999998</v>
      </c>
      <c r="C141" s="77">
        <v>268000000</v>
      </c>
      <c r="D141" s="77">
        <v>40000000</v>
      </c>
      <c r="E141" s="77">
        <v>40000000</v>
      </c>
      <c r="F141" s="27">
        <v>3438647.5511041502</v>
      </c>
      <c r="G141" s="27">
        <v>3058722.5852409471</v>
      </c>
      <c r="H141" s="27">
        <v>-166492.3266608234</v>
      </c>
      <c r="I141" s="27">
        <v>4936.8342584791599</v>
      </c>
      <c r="J141" s="27">
        <v>5234.2860591879034</v>
      </c>
      <c r="K141" s="27">
        <v>-108430.38713654471</v>
      </c>
    </row>
    <row r="142" spans="1:11">
      <c r="A142" s="47">
        <v>45295.625</v>
      </c>
      <c r="B142" s="58">
        <v>3347.0518999999999</v>
      </c>
      <c r="C142" s="77">
        <v>268000000</v>
      </c>
      <c r="D142" s="77">
        <v>40000000</v>
      </c>
      <c r="E142" s="77">
        <v>40000000</v>
      </c>
      <c r="F142" s="27">
        <v>3414759.8283903478</v>
      </c>
      <c r="G142" s="27">
        <v>3181688.7856956883</v>
      </c>
      <c r="H142" s="27">
        <v>-114122.97018863584</v>
      </c>
      <c r="I142" s="27">
        <v>7148.4943345035108</v>
      </c>
      <c r="J142" s="27">
        <v>5069.912078542422</v>
      </c>
      <c r="K142" s="27">
        <v>-115303.90511228405</v>
      </c>
    </row>
    <row r="143" spans="1:11">
      <c r="A143" s="47">
        <v>45296.625</v>
      </c>
      <c r="B143" s="58">
        <v>3329.1113999999998</v>
      </c>
      <c r="C143" s="77">
        <v>268000000</v>
      </c>
      <c r="D143" s="77">
        <v>40000000</v>
      </c>
      <c r="E143" s="77">
        <v>40000000</v>
      </c>
      <c r="F143" s="27">
        <v>3402508.213813433</v>
      </c>
      <c r="G143" s="27">
        <v>3238031.377858609</v>
      </c>
      <c r="H143" s="27">
        <v>-85045.185688487385</v>
      </c>
      <c r="I143" s="27">
        <v>8499.3002418014239</v>
      </c>
      <c r="J143" s="27">
        <v>4913.1238855269257</v>
      </c>
      <c r="K143" s="27">
        <v>-118523.04496037487</v>
      </c>
    </row>
    <row r="144" spans="1:11">
      <c r="A144" s="47">
        <v>45299.625</v>
      </c>
      <c r="B144" s="58">
        <v>3286.0563999999999</v>
      </c>
      <c r="C144" s="77">
        <v>268000000</v>
      </c>
      <c r="D144" s="77">
        <v>40000000</v>
      </c>
      <c r="E144" s="77">
        <v>40000000</v>
      </c>
      <c r="F144" s="27">
        <v>3364790.0073281853</v>
      </c>
      <c r="G144" s="27">
        <v>3275989.974456463</v>
      </c>
      <c r="H144" s="27">
        <v>-11716.65802317306</v>
      </c>
      <c r="I144" s="27">
        <v>11591.126325341715</v>
      </c>
      <c r="J144" s="27">
        <v>4699.3609201393811</v>
      </c>
      <c r="K144" s="27">
        <v>-127416.13595844466</v>
      </c>
    </row>
    <row r="145" spans="1:12">
      <c r="A145" s="47">
        <v>45300.625</v>
      </c>
      <c r="B145" s="58">
        <v>3292.4994000000002</v>
      </c>
      <c r="C145" s="77">
        <v>268000000</v>
      </c>
      <c r="D145" s="77">
        <v>40000000</v>
      </c>
      <c r="E145" s="77">
        <v>40000000</v>
      </c>
      <c r="F145" s="27">
        <v>3375942.1969543914</v>
      </c>
      <c r="G145" s="27">
        <v>3295327.0508226771</v>
      </c>
      <c r="H145" s="27">
        <v>-19859.483446470324</v>
      </c>
      <c r="I145" s="27">
        <v>11241.575959867667</v>
      </c>
      <c r="J145" s="27">
        <v>2225.9739626607052</v>
      </c>
      <c r="K145" s="27">
        <v>-124661.94932693972</v>
      </c>
    </row>
    <row r="146" spans="1:12">
      <c r="A146" s="47">
        <v>45301.625</v>
      </c>
      <c r="B146" s="58">
        <v>3277.1289999999999</v>
      </c>
      <c r="C146" s="77">
        <v>268000000</v>
      </c>
      <c r="D146" s="77">
        <v>20000000</v>
      </c>
      <c r="E146" s="77">
        <v>20000000</v>
      </c>
      <c r="F146" s="27">
        <v>3362684.3082149811</v>
      </c>
      <c r="G146" s="27">
        <v>3300463.3576265159</v>
      </c>
      <c r="H146" s="27">
        <v>3495.2104904747994</v>
      </c>
      <c r="I146" s="27">
        <v>12396.760933668949</v>
      </c>
      <c r="J146" s="27">
        <v>2147.2836801427188</v>
      </c>
      <c r="K146" s="27">
        <v>-127604.72395965995</v>
      </c>
    </row>
    <row r="147" spans="1:12">
      <c r="A147" s="47">
        <v>45302.625</v>
      </c>
      <c r="B147" s="58">
        <v>3295.6716999999999</v>
      </c>
      <c r="C147" s="77">
        <v>268000000</v>
      </c>
      <c r="D147" s="77">
        <v>20000000</v>
      </c>
      <c r="E147" s="77">
        <v>20000000</v>
      </c>
      <c r="F147" s="27">
        <v>3383587.2780810245</v>
      </c>
      <c r="G147" s="27">
        <v>3331027.7924588332</v>
      </c>
      <c r="H147" s="27">
        <v>-21190.043101122756</v>
      </c>
      <c r="I147" s="27">
        <v>11207.598949607531</v>
      </c>
      <c r="J147" s="27">
        <v>2236.570041018972</v>
      </c>
      <c r="K147" s="27">
        <v>-123007.07499406904</v>
      </c>
    </row>
    <row r="148" spans="1:12">
      <c r="A148" s="47">
        <v>45303.625</v>
      </c>
      <c r="B148" s="58">
        <v>3284.1667000000002</v>
      </c>
      <c r="C148" s="77">
        <v>268000000</v>
      </c>
      <c r="D148" s="77">
        <v>20000000</v>
      </c>
      <c r="E148" s="77">
        <v>20000000</v>
      </c>
      <c r="F148" s="27">
        <v>3374087.1751055261</v>
      </c>
      <c r="G148" s="27">
        <v>3338998.0652369047</v>
      </c>
      <c r="H148" s="27">
        <v>142.8742610209317</v>
      </c>
      <c r="I148" s="27">
        <v>12112.049253273341</v>
      </c>
      <c r="J148" s="27">
        <v>2129.6266265229983</v>
      </c>
      <c r="K148" s="27">
        <v>-125152.56049152405</v>
      </c>
    </row>
    <row r="149" spans="1:12">
      <c r="A149" s="47">
        <v>45306.625</v>
      </c>
      <c r="B149" s="58">
        <v>3280.9195</v>
      </c>
      <c r="C149" s="77">
        <v>268000000</v>
      </c>
      <c r="D149" s="77">
        <v>20000000</v>
      </c>
      <c r="E149" s="77">
        <v>20000000</v>
      </c>
      <c r="F149" s="27">
        <v>3372892.4410549621</v>
      </c>
      <c r="G149" s="27">
        <v>3350847.5222682534</v>
      </c>
      <c r="H149" s="27">
        <v>8835.3529758114819</v>
      </c>
      <c r="I149" s="27">
        <v>12457.579036542007</v>
      </c>
      <c r="J149" s="27">
        <v>2130.6343867157361</v>
      </c>
      <c r="K149" s="27">
        <v>-125419.21842752218</v>
      </c>
    </row>
    <row r="150" spans="1:12">
      <c r="A150" s="47">
        <v>45307.625</v>
      </c>
      <c r="B150" s="58">
        <v>3300.8762000000002</v>
      </c>
      <c r="C150" s="77">
        <v>268000000</v>
      </c>
      <c r="D150" s="77">
        <v>20000000</v>
      </c>
      <c r="E150" s="77">
        <v>20000000</v>
      </c>
      <c r="F150" s="27">
        <v>3395549.1328773587</v>
      </c>
      <c r="G150" s="27">
        <v>3384947.5887724175</v>
      </c>
      <c r="H150" s="27">
        <v>-20049.97535083002</v>
      </c>
      <c r="I150" s="27">
        <v>11148.800352419141</v>
      </c>
      <c r="J150" s="27">
        <v>2212.9819281659975</v>
      </c>
      <c r="K150" s="27">
        <v>-120458.06499143867</v>
      </c>
    </row>
    <row r="151" spans="1:12">
      <c r="A151" s="47">
        <v>45308.625</v>
      </c>
      <c r="B151" s="58">
        <v>3229.0819999999999</v>
      </c>
      <c r="C151" s="77">
        <v>268000000</v>
      </c>
      <c r="D151" s="77">
        <v>20000000</v>
      </c>
      <c r="E151" s="77">
        <v>20000000</v>
      </c>
      <c r="F151" s="27">
        <v>3324176.9723983598</v>
      </c>
      <c r="G151" s="27">
        <v>3253035.4569457499</v>
      </c>
      <c r="H151" s="27">
        <v>80373.611900128701</v>
      </c>
      <c r="I151" s="27">
        <v>15767.035807192746</v>
      </c>
      <c r="J151" s="27">
        <v>1884.9634208444281</v>
      </c>
      <c r="K151" s="27">
        <v>-134681.82435661144</v>
      </c>
    </row>
    <row r="152" spans="1:12">
      <c r="A152" s="47">
        <v>45309.625</v>
      </c>
      <c r="B152" s="58">
        <v>3274.7285999999999</v>
      </c>
      <c r="C152" s="77">
        <v>268000000</v>
      </c>
      <c r="D152" s="77">
        <v>20000000</v>
      </c>
      <c r="E152" s="77">
        <v>20000000</v>
      </c>
      <c r="F152" s="27">
        <v>3372867.9110252205</v>
      </c>
      <c r="G152" s="27">
        <v>3388712.7408993295</v>
      </c>
      <c r="H152" s="27">
        <v>26033.88339578217</v>
      </c>
      <c r="I152" s="27">
        <v>13076.060604972723</v>
      </c>
      <c r="J152" s="27">
        <v>2069.8091963258239</v>
      </c>
      <c r="K152" s="27">
        <v>-125437.37284082864</v>
      </c>
    </row>
    <row r="153" spans="1:12">
      <c r="A153" s="47">
        <v>45310.625</v>
      </c>
      <c r="B153" s="58">
        <v>3269.7763</v>
      </c>
      <c r="C153" s="77">
        <v>268000000</v>
      </c>
      <c r="D153" s="77">
        <v>20000000</v>
      </c>
      <c r="E153" s="77">
        <v>20000000</v>
      </c>
      <c r="F153" s="27">
        <v>3369800.1005003373</v>
      </c>
      <c r="G153" s="27">
        <v>3393773.6964278324</v>
      </c>
      <c r="H153" s="27">
        <v>35943.374962979928</v>
      </c>
      <c r="I153" s="27">
        <v>13442.902897675029</v>
      </c>
      <c r="J153" s="27">
        <v>2041.8244349099964</v>
      </c>
      <c r="K153" s="27">
        <v>-126041.79900916864</v>
      </c>
    </row>
    <row r="154" spans="1:12">
      <c r="A154" s="47">
        <v>45313.625</v>
      </c>
      <c r="B154" s="58">
        <v>3218.9016000000001</v>
      </c>
      <c r="C154" s="77">
        <v>268000000</v>
      </c>
      <c r="D154" s="77">
        <v>20000000</v>
      </c>
      <c r="E154" s="77">
        <v>20000000</v>
      </c>
      <c r="F154" s="27">
        <v>3319480.8095868994</v>
      </c>
      <c r="G154" s="27">
        <v>3245642.1866451818</v>
      </c>
      <c r="H154" s="27">
        <v>99370.116432800278</v>
      </c>
      <c r="I154" s="27">
        <v>16579.552542251397</v>
      </c>
      <c r="J154" s="27">
        <v>1833.5526758431017</v>
      </c>
      <c r="K154" s="27">
        <v>-134955.40547165804</v>
      </c>
      <c r="L154" s="27">
        <v>-20028.829950982632</v>
      </c>
    </row>
    <row r="155" spans="1:12">
      <c r="A155" s="47">
        <v>45314.625</v>
      </c>
      <c r="B155" s="58">
        <v>3231.9328999999998</v>
      </c>
      <c r="C155" s="77">
        <v>268000000</v>
      </c>
      <c r="D155" s="77">
        <v>20000000</v>
      </c>
      <c r="E155" s="77">
        <v>20000000</v>
      </c>
      <c r="F155" s="27">
        <v>3334572.9322221326</v>
      </c>
      <c r="G155" s="27">
        <v>3305851.910169072</v>
      </c>
      <c r="H155" s="27">
        <v>87244.321716830673</v>
      </c>
      <c r="I155" s="27">
        <v>15947.403931068859</v>
      </c>
      <c r="J155" s="27">
        <v>1878.9230128468744</v>
      </c>
      <c r="K155" s="27">
        <v>-132295.02446309463</v>
      </c>
      <c r="L155" s="27">
        <v>-20020.918420901962</v>
      </c>
    </row>
    <row r="156" spans="1:12">
      <c r="A156" s="47">
        <v>45315.625</v>
      </c>
      <c r="B156" s="58">
        <v>3277.1089000000002</v>
      </c>
      <c r="C156" s="77">
        <v>268000000</v>
      </c>
      <c r="D156" s="77">
        <v>20000000</v>
      </c>
      <c r="E156" s="77">
        <v>20000000</v>
      </c>
      <c r="F156" s="27">
        <v>3383558.8554325257</v>
      </c>
      <c r="G156" s="27">
        <v>3451935.0704765334</v>
      </c>
      <c r="H156" s="27">
        <v>35987.840158966188</v>
      </c>
      <c r="I156" s="27">
        <v>13247.826432865861</v>
      </c>
      <c r="J156" s="27">
        <v>2026.1070685403042</v>
      </c>
      <c r="K156" s="27">
        <v>-123249.05968028866</v>
      </c>
      <c r="L156" s="27">
        <v>-19711.422602413924</v>
      </c>
    </row>
    <row r="157" spans="1:12">
      <c r="A157" s="47">
        <v>45316.625</v>
      </c>
      <c r="B157" s="58">
        <v>3342.9189000000001</v>
      </c>
      <c r="C157" s="77">
        <v>268000000</v>
      </c>
      <c r="D157" s="77">
        <v>20000000</v>
      </c>
      <c r="E157" s="77">
        <v>20000000</v>
      </c>
      <c r="F157" s="27">
        <v>3455330.1022759923</v>
      </c>
      <c r="G157" s="27">
        <v>3512903.8850002782</v>
      </c>
      <c r="H157" s="27">
        <v>-67430.406914906809</v>
      </c>
      <c r="I157" s="27">
        <v>8728.7986646128556</v>
      </c>
      <c r="J157" s="27">
        <v>2365.0426683514479</v>
      </c>
      <c r="K157" s="27">
        <v>-106986.50764148223</v>
      </c>
      <c r="L157" s="27">
        <v>-18014.029590372251</v>
      </c>
    </row>
    <row r="158" spans="1:12">
      <c r="A158" s="47">
        <v>45317.625</v>
      </c>
      <c r="B158" s="58">
        <v>3333.8213000000001</v>
      </c>
      <c r="C158" s="77">
        <v>268000000</v>
      </c>
      <c r="D158" s="77">
        <v>20000000</v>
      </c>
      <c r="E158" s="77">
        <v>20000000</v>
      </c>
      <c r="F158" s="27">
        <v>3448068.6533734994</v>
      </c>
      <c r="G158" s="27">
        <v>3540697.1248588073</v>
      </c>
      <c r="H158" s="27">
        <v>-45413.145780227343</v>
      </c>
      <c r="I158" s="27">
        <v>9484.5235952976836</v>
      </c>
      <c r="J158" s="27">
        <v>2286.5764182834046</v>
      </c>
      <c r="K158" s="27">
        <v>-109083.6823431735</v>
      </c>
      <c r="L158" s="27">
        <v>-18341.524990087604</v>
      </c>
    </row>
    <row r="159" spans="1:12">
      <c r="A159" s="47">
        <v>45320.625</v>
      </c>
      <c r="B159" s="58">
        <v>3303.9603999999999</v>
      </c>
      <c r="C159" s="77">
        <v>268000000</v>
      </c>
      <c r="D159" s="77">
        <v>20000000</v>
      </c>
      <c r="E159" s="77">
        <v>20000000</v>
      </c>
      <c r="F159" s="27">
        <v>3418379.685343578</v>
      </c>
      <c r="G159" s="27">
        <v>3543533.5514118681</v>
      </c>
      <c r="H159" s="27">
        <v>8518.1452391134371</v>
      </c>
      <c r="I159" s="27">
        <v>11645.356057717572</v>
      </c>
      <c r="J159" s="27">
        <v>2113.4106180243475</v>
      </c>
      <c r="K159" s="27">
        <v>-116145.40232370707</v>
      </c>
      <c r="L159" s="27">
        <v>-19186.209939792869</v>
      </c>
    </row>
    <row r="160" spans="1:12">
      <c r="A160" s="47">
        <v>45321.625</v>
      </c>
      <c r="B160" s="58">
        <v>3245.0387000000001</v>
      </c>
      <c r="C160" s="77">
        <v>268000000</v>
      </c>
      <c r="D160" s="77">
        <v>20000000</v>
      </c>
      <c r="E160" s="77">
        <v>20000000</v>
      </c>
      <c r="F160" s="27">
        <v>3357543.5746901678</v>
      </c>
      <c r="G160" s="27">
        <v>3407945.6584508461</v>
      </c>
      <c r="H160" s="27">
        <v>84977.403125079305</v>
      </c>
      <c r="I160" s="27">
        <v>15553.673436483181</v>
      </c>
      <c r="J160" s="27">
        <v>1879.543800978129</v>
      </c>
      <c r="K160" s="27">
        <v>-127683.18008101246</v>
      </c>
      <c r="L160" s="27">
        <v>-19885.492554443408</v>
      </c>
    </row>
    <row r="161" spans="1:12">
      <c r="A161" s="47">
        <v>45322.625</v>
      </c>
      <c r="B161" s="58">
        <v>3215.3517999999999</v>
      </c>
      <c r="C161" s="77">
        <v>268000000</v>
      </c>
      <c r="D161" s="77">
        <v>20000000</v>
      </c>
      <c r="E161" s="77">
        <v>20000000</v>
      </c>
      <c r="F161" s="27">
        <v>3328532.7798863966</v>
      </c>
      <c r="G161" s="27">
        <v>3296180.4429283664</v>
      </c>
      <c r="H161" s="27">
        <v>117908.05233996382</v>
      </c>
      <c r="I161" s="27">
        <v>17242.424457592802</v>
      </c>
      <c r="J161" s="27">
        <v>1772.7892450823051</v>
      </c>
      <c r="K161" s="27">
        <v>-132039.30865992935</v>
      </c>
      <c r="L161" s="27">
        <v>-19766.527470207071</v>
      </c>
    </row>
    <row r="162" spans="1:12">
      <c r="A162" s="47">
        <v>45323.625</v>
      </c>
      <c r="B162" s="58">
        <v>3217.7109</v>
      </c>
      <c r="C162" s="77">
        <v>268000000</v>
      </c>
      <c r="D162" s="77">
        <v>20000000</v>
      </c>
      <c r="E162" s="77">
        <v>20000000</v>
      </c>
      <c r="F162" s="27">
        <v>3332734.5572843049</v>
      </c>
      <c r="G162" s="27">
        <v>3316340.3919201116</v>
      </c>
      <c r="H162" s="27">
        <v>114338.81869101257</v>
      </c>
      <c r="I162" s="27">
        <v>17196.299855617875</v>
      </c>
      <c r="J162" s="27">
        <v>1770.5450020647922</v>
      </c>
      <c r="K162" s="27">
        <v>-131173.85456845886</v>
      </c>
      <c r="L162" s="27">
        <v>-19747.656591737079</v>
      </c>
    </row>
    <row r="163" spans="1:12">
      <c r="A163" s="47">
        <v>45324.625</v>
      </c>
      <c r="B163" s="58">
        <v>3179.6275999999998</v>
      </c>
      <c r="C163" s="77">
        <v>268000000</v>
      </c>
      <c r="D163" s="77">
        <v>20000000</v>
      </c>
      <c r="E163" s="77">
        <v>20000000</v>
      </c>
      <c r="F163" s="27">
        <v>3296031.8975500055</v>
      </c>
      <c r="G163" s="27">
        <v>3125876.2313969415</v>
      </c>
      <c r="H163" s="27">
        <v>153370.33097568381</v>
      </c>
      <c r="I163" s="27">
        <v>18967.151941042641</v>
      </c>
      <c r="J163" s="27">
        <v>1672.7062202217351</v>
      </c>
      <c r="K163" s="27">
        <v>-135896.21765233797</v>
      </c>
      <c r="L163" s="27">
        <v>-19205.29064170715</v>
      </c>
    </row>
    <row r="164" spans="1:12">
      <c r="A164" s="47">
        <v>45327.625</v>
      </c>
      <c r="B164" s="58">
        <v>3200.4218000000001</v>
      </c>
      <c r="C164" s="77">
        <v>268000000</v>
      </c>
      <c r="D164" s="77">
        <v>20000000</v>
      </c>
      <c r="E164" s="77">
        <v>20000000</v>
      </c>
      <c r="F164" s="27">
        <v>3318523.0937017291</v>
      </c>
      <c r="G164" s="27">
        <v>3248968.9790452779</v>
      </c>
      <c r="H164" s="27">
        <v>135810.22711592267</v>
      </c>
      <c r="I164" s="27">
        <v>18194.015190136935</v>
      </c>
      <c r="J164" s="27">
        <v>1707.7262589740749</v>
      </c>
      <c r="K164" s="27">
        <v>-132629.4335309724</v>
      </c>
      <c r="L164" s="27">
        <v>-19482.454786869122</v>
      </c>
    </row>
    <row r="165" spans="1:12">
      <c r="A165" s="47">
        <v>45328.625</v>
      </c>
      <c r="B165" s="58">
        <v>3311.6922</v>
      </c>
      <c r="C165" s="77">
        <v>268000000</v>
      </c>
      <c r="D165" s="77">
        <v>20000000</v>
      </c>
      <c r="E165" s="77">
        <v>20000000</v>
      </c>
      <c r="F165" s="27">
        <v>3439360.0608761311</v>
      </c>
      <c r="G165" s="27">
        <v>3638888.1182237822</v>
      </c>
      <c r="H165" s="27">
        <v>11288.069372618158</v>
      </c>
      <c r="I165" s="27">
        <v>11583.423200898447</v>
      </c>
      <c r="J165" s="27">
        <v>2100.7680413260227</v>
      </c>
      <c r="K165" s="27">
        <v>-112213.92473490302</v>
      </c>
      <c r="L165" s="27">
        <v>-18987.655217165167</v>
      </c>
    </row>
    <row r="166" spans="1:12">
      <c r="A166" s="47">
        <v>45329.625</v>
      </c>
      <c r="B166" s="58">
        <v>3343.6302999999998</v>
      </c>
      <c r="C166" s="77">
        <v>268000000</v>
      </c>
      <c r="D166" s="77">
        <v>20000000</v>
      </c>
      <c r="E166" s="77">
        <v>20000000</v>
      </c>
      <c r="F166" s="27">
        <v>3476732.4618934919</v>
      </c>
      <c r="G166" s="27">
        <v>3680279.0603252938</v>
      </c>
      <c r="H166" s="27">
        <v>-25231.665672571824</v>
      </c>
      <c r="I166" s="27">
        <v>9253.1741916956362</v>
      </c>
      <c r="J166" s="27">
        <v>2205.3027679415754</v>
      </c>
      <c r="K166" s="27">
        <v>-104114.58874598317</v>
      </c>
      <c r="L166" s="27">
        <v>-18060.974930077053</v>
      </c>
    </row>
    <row r="167" spans="1:12">
      <c r="A167" s="47">
        <v>45330.625</v>
      </c>
      <c r="B167" s="58">
        <v>3364.9297000000001</v>
      </c>
      <c r="C167" s="77">
        <v>268000000</v>
      </c>
      <c r="D167" s="77">
        <v>20000000</v>
      </c>
      <c r="E167" s="77">
        <v>20000000</v>
      </c>
      <c r="F167" s="27">
        <v>3502435.7361825742</v>
      </c>
      <c r="G167" s="27">
        <v>3693619.5412150132</v>
      </c>
      <c r="H167" s="27">
        <v>-44533.890804382398</v>
      </c>
      <c r="I167" s="27">
        <v>7733.8188631498597</v>
      </c>
      <c r="J167" s="27">
        <v>2258.4021132994699</v>
      </c>
      <c r="K167" s="27">
        <v>-98080.76303482533</v>
      </c>
      <c r="L167" s="27">
        <v>-17258.703848788653</v>
      </c>
    </row>
    <row r="168" spans="1:12">
      <c r="A168" s="47">
        <v>45341.625</v>
      </c>
      <c r="B168" s="58">
        <v>3403.8078</v>
      </c>
      <c r="C168" s="77">
        <v>268000000</v>
      </c>
      <c r="D168" s="77">
        <v>20000000</v>
      </c>
      <c r="E168" s="77">
        <v>20000000</v>
      </c>
      <c r="F168" s="27">
        <v>3547089.3294641934</v>
      </c>
      <c r="G168" s="27">
        <v>3679434.8953088922</v>
      </c>
      <c r="H168" s="27">
        <v>-72208.739843514544</v>
      </c>
      <c r="I168" s="27">
        <v>4957.5502145050405</v>
      </c>
      <c r="J168" s="27">
        <v>2342.263255661368</v>
      </c>
      <c r="K168" s="27">
        <v>-85803.6098818678</v>
      </c>
      <c r="L168" s="27">
        <v>-15301.143476576508</v>
      </c>
    </row>
    <row r="169" spans="1:12">
      <c r="A169" s="47">
        <v>45342.625</v>
      </c>
      <c r="B169" s="58">
        <v>3410.8542000000002</v>
      </c>
      <c r="C169" s="77">
        <v>268000000</v>
      </c>
      <c r="D169" s="77">
        <v>20000000</v>
      </c>
      <c r="E169" s="77">
        <v>20000000</v>
      </c>
      <c r="F169" s="27">
        <v>3557121.0972666517</v>
      </c>
      <c r="G169" s="27">
        <v>3688409.3032056242</v>
      </c>
      <c r="H169" s="27">
        <v>-53481.196802533923</v>
      </c>
      <c r="I169" s="27">
        <v>4449.0589869328132</v>
      </c>
      <c r="J169" s="27">
        <v>2280.2950709403731</v>
      </c>
      <c r="K169" s="27">
        <v>-83437.494491252088</v>
      </c>
      <c r="L169" s="27">
        <v>-14927.821012199503</v>
      </c>
    </row>
    <row r="170" spans="1:12">
      <c r="A170" s="47">
        <v>45343.625</v>
      </c>
      <c r="B170" s="58">
        <v>3456.8712999999998</v>
      </c>
      <c r="C170" s="77">
        <v>268000000</v>
      </c>
      <c r="D170" s="77">
        <v>20000000</v>
      </c>
      <c r="E170" s="77">
        <v>20000000</v>
      </c>
      <c r="F170" s="27">
        <v>3608775.2237796215</v>
      </c>
      <c r="G170" s="27">
        <v>3673114.1337418999</v>
      </c>
      <c r="H170" s="27">
        <v>-136429.82753741951</v>
      </c>
      <c r="I170" s="27">
        <v>1756.2743332035022</v>
      </c>
      <c r="J170" s="27">
        <v>2362.8104594565871</v>
      </c>
      <c r="K170" s="27">
        <v>-64807.207314570522</v>
      </c>
      <c r="L170" s="27">
        <v>-11584.814154039204</v>
      </c>
    </row>
    <row r="171" spans="1:12">
      <c r="A171" s="47">
        <v>45344.625</v>
      </c>
      <c r="B171" s="58">
        <v>3486.6747</v>
      </c>
      <c r="C171" s="77">
        <v>418000000</v>
      </c>
      <c r="D171" s="77">
        <v>170000000</v>
      </c>
      <c r="E171" s="77">
        <v>65000000</v>
      </c>
      <c r="F171" s="27">
        <v>2003839.4915381749</v>
      </c>
      <c r="G171" s="27">
        <v>94892000.579419956</v>
      </c>
      <c r="H171" s="27">
        <v>-7857145.5804531667</v>
      </c>
      <c r="I171" s="27">
        <v>-813504.3048296686</v>
      </c>
      <c r="J171" s="27">
        <v>56222.989110696464</v>
      </c>
      <c r="K171" s="27">
        <v>-364065.9758685343</v>
      </c>
      <c r="L171" s="27">
        <v>-1069841.7275746665</v>
      </c>
    </row>
    <row r="172" spans="1:12">
      <c r="A172" s="47">
        <v>45345.625</v>
      </c>
      <c r="B172" s="58">
        <v>3489.7415999999998</v>
      </c>
      <c r="C172" s="77">
        <v>488000000</v>
      </c>
      <c r="D172" s="77">
        <v>240000000</v>
      </c>
      <c r="E172" s="77">
        <v>79000000</v>
      </c>
      <c r="F172" s="27">
        <v>2143562.7575887321</v>
      </c>
      <c r="G172" s="27">
        <v>128255233.10201854</v>
      </c>
      <c r="H172" s="27">
        <v>-11000690.524392609</v>
      </c>
      <c r="I172" s="27">
        <v>-1191685.0159419815</v>
      </c>
      <c r="J172" s="27">
        <v>74513.760475034273</v>
      </c>
      <c r="K172" s="27">
        <v>-450504.20757715037</v>
      </c>
      <c r="L172" s="27">
        <v>-1475097.1623231289</v>
      </c>
    </row>
    <row r="173" spans="1:12">
      <c r="A173" s="47">
        <v>45348.625</v>
      </c>
      <c r="B173" s="58">
        <v>3453.3584999999998</v>
      </c>
      <c r="C173" s="77">
        <v>488000000</v>
      </c>
      <c r="D173" s="77">
        <v>240000000</v>
      </c>
      <c r="E173" s="77">
        <v>79000000</v>
      </c>
      <c r="F173" s="27">
        <v>823164.39623810863</v>
      </c>
      <c r="G173" s="27">
        <v>137821183.67213446</v>
      </c>
      <c r="H173" s="27">
        <v>-10176570.585047422</v>
      </c>
      <c r="I173" s="27">
        <v>-1237625.7430505261</v>
      </c>
      <c r="J173" s="27">
        <v>74826.924968468884</v>
      </c>
      <c r="K173" s="27">
        <v>-488973.13134291745</v>
      </c>
      <c r="L173" s="27">
        <v>-1619654.3255711852</v>
      </c>
    </row>
    <row r="174" spans="1:12">
      <c r="A174" s="47">
        <v>45349.625</v>
      </c>
      <c r="B174" s="58">
        <v>3494.7874000000002</v>
      </c>
      <c r="C174" s="77">
        <v>488000000</v>
      </c>
      <c r="D174" s="77">
        <v>240000000</v>
      </c>
      <c r="E174" s="77">
        <v>79000000</v>
      </c>
      <c r="F174" s="27">
        <v>2469452.2062271414</v>
      </c>
      <c r="G174" s="27">
        <v>131781938.51013109</v>
      </c>
      <c r="H174" s="27">
        <v>12348315.531928483</v>
      </c>
      <c r="I174" s="27">
        <v>-1176932.8409131812</v>
      </c>
      <c r="J174" s="27">
        <v>77285.941680381613</v>
      </c>
      <c r="K174" s="27">
        <v>-454530.66765670024</v>
      </c>
      <c r="L174" s="27">
        <v>-1442972.5632949674</v>
      </c>
    </row>
    <row r="175" spans="1:12">
      <c r="A175" s="47">
        <v>45350.625</v>
      </c>
      <c r="B175" s="58">
        <v>3450.2597999999998</v>
      </c>
      <c r="C175" s="77">
        <v>488000000</v>
      </c>
      <c r="D175" s="77">
        <v>240000000</v>
      </c>
      <c r="E175" s="77">
        <v>79000000</v>
      </c>
      <c r="F175" s="27">
        <v>850060.10901654616</v>
      </c>
      <c r="G175" s="27">
        <v>138611198.69799963</v>
      </c>
      <c r="H175" s="27">
        <v>-11010562.233199092</v>
      </c>
      <c r="I175" s="27">
        <v>-1234706.4115971394</v>
      </c>
      <c r="J175" s="27">
        <v>76313.291360028845</v>
      </c>
      <c r="K175" s="27">
        <v>-487654.57082577358</v>
      </c>
      <c r="L175" s="27">
        <v>-1619990.4343715287</v>
      </c>
    </row>
    <row r="176" spans="1:12">
      <c r="A176" s="47">
        <v>45351.625</v>
      </c>
      <c r="B176" s="58">
        <v>3516.0826000000002</v>
      </c>
      <c r="C176" s="77">
        <v>488000000</v>
      </c>
      <c r="D176" s="77">
        <v>240000000</v>
      </c>
      <c r="E176" s="77">
        <v>79000000</v>
      </c>
      <c r="F176" s="27">
        <v>3370691.6989305392</v>
      </c>
      <c r="G176" s="27">
        <v>119705475.61285886</v>
      </c>
      <c r="H176" s="27">
        <v>-11599532.63275901</v>
      </c>
      <c r="I176" s="27">
        <v>-1134493.6675728837</v>
      </c>
      <c r="J176" s="27">
        <v>78321.936691626615</v>
      </c>
      <c r="K176" s="27">
        <v>-430880.0712983713</v>
      </c>
      <c r="L176" s="27">
        <v>-1342261.8618429406</v>
      </c>
    </row>
    <row r="177" spans="1:24">
      <c r="A177" s="47">
        <v>45352.625</v>
      </c>
      <c r="B177" s="58">
        <v>3537.8038000000001</v>
      </c>
      <c r="C177" s="77">
        <v>488000000</v>
      </c>
      <c r="D177" s="77">
        <v>240000000</v>
      </c>
      <c r="E177" s="77">
        <v>79000000</v>
      </c>
      <c r="F177" s="27">
        <v>4166412.0883922121</v>
      </c>
      <c r="G177" s="27">
        <v>113222819.2128264</v>
      </c>
      <c r="H177" s="27">
        <v>-11739584.579584559</v>
      </c>
      <c r="I177" s="27">
        <v>-1093030.036365838</v>
      </c>
      <c r="J177" s="27">
        <v>78696.90775523441</v>
      </c>
      <c r="K177" s="27">
        <v>-409331.75711280917</v>
      </c>
      <c r="L177" s="27">
        <v>-1247701.5231361545</v>
      </c>
    </row>
    <row r="178" spans="1:24">
      <c r="A178" s="47">
        <v>45355.625</v>
      </c>
      <c r="B178" s="58">
        <v>3540.8685999999998</v>
      </c>
      <c r="C178" s="77">
        <v>488000000</v>
      </c>
      <c r="D178" s="77">
        <v>240000000</v>
      </c>
      <c r="E178" s="77">
        <v>79000000</v>
      </c>
      <c r="F178" s="27">
        <v>4342704.024908822</v>
      </c>
      <c r="G178" s="27">
        <v>112258386.61137214</v>
      </c>
      <c r="H178" s="27">
        <v>-11832135.353835454</v>
      </c>
      <c r="I178" s="27">
        <v>-1082548.7622067314</v>
      </c>
      <c r="J178" s="27">
        <v>79148.197083593026</v>
      </c>
      <c r="K178" s="27">
        <v>-403170.38569647848</v>
      </c>
      <c r="L178" s="27">
        <v>-1227869.2392778213</v>
      </c>
    </row>
    <row r="179" spans="1:24">
      <c r="A179" s="47">
        <v>45356.625</v>
      </c>
      <c r="B179" s="58">
        <v>3565.5142999999998</v>
      </c>
      <c r="C179" s="77">
        <v>488000000</v>
      </c>
      <c r="D179" s="77">
        <v>240000000</v>
      </c>
      <c r="E179" s="77">
        <v>79000000</v>
      </c>
      <c r="F179" s="27">
        <v>5173998.5292991828</v>
      </c>
      <c r="G179" s="27">
        <v>104700123.79722629</v>
      </c>
      <c r="H179" s="27">
        <v>-11892287.96325263</v>
      </c>
      <c r="I179" s="27">
        <v>-1031822.8315314869</v>
      </c>
      <c r="J179" s="27">
        <v>79101.541531849027</v>
      </c>
      <c r="K179" s="27">
        <v>-378708.95153482619</v>
      </c>
      <c r="L179" s="27">
        <v>-1123320.9410665235</v>
      </c>
    </row>
    <row r="180" spans="1:24">
      <c r="A180" s="47">
        <v>45357.625</v>
      </c>
      <c r="B180" s="58">
        <v>3551.0481</v>
      </c>
      <c r="C180" s="77">
        <v>488000000</v>
      </c>
      <c r="D180" s="77">
        <v>240000000</v>
      </c>
      <c r="E180" s="77">
        <v>79000000</v>
      </c>
      <c r="F180" s="27">
        <v>4818928.1926692426</v>
      </c>
      <c r="G180" s="27">
        <v>109033655.08833106</v>
      </c>
      <c r="H180" s="27">
        <v>-12027123.497058507</v>
      </c>
      <c r="I180" s="27">
        <v>-1053474.7758546928</v>
      </c>
      <c r="J180" s="27">
        <v>79899.258430894435</v>
      </c>
      <c r="K180" s="27">
        <v>-387009.58049843292</v>
      </c>
      <c r="L180" s="27">
        <v>-1171918.7317516003</v>
      </c>
    </row>
    <row r="181" spans="1:24">
      <c r="A181" s="47">
        <v>45358.625</v>
      </c>
      <c r="B181" s="58">
        <v>3529.7195000000002</v>
      </c>
      <c r="C181" s="77">
        <v>488000000</v>
      </c>
      <c r="D181" s="77">
        <v>240000000</v>
      </c>
      <c r="E181" s="77">
        <v>79000000</v>
      </c>
      <c r="F181" s="27">
        <v>4222485.8100064052</v>
      </c>
      <c r="G181" s="27">
        <v>115591313.01062375</v>
      </c>
      <c r="H181" s="27">
        <v>-12115568.803077349</v>
      </c>
      <c r="I181" s="27">
        <v>-1086892.5997071613</v>
      </c>
      <c r="J181" s="27">
        <v>80727.105903905816</v>
      </c>
      <c r="K181" s="27">
        <v>-402086.50708325231</v>
      </c>
      <c r="L181" s="27">
        <v>-1249683.8682768333</v>
      </c>
    </row>
    <row r="182" spans="1:24">
      <c r="A182" s="47">
        <v>45359.625</v>
      </c>
      <c r="B182" s="58">
        <v>3544.9099000000001</v>
      </c>
      <c r="C182" s="77">
        <v>488000000</v>
      </c>
      <c r="D182" s="77">
        <v>240000000</v>
      </c>
      <c r="E182" s="77">
        <v>79000000</v>
      </c>
      <c r="F182" s="27">
        <v>4789253.1909354823</v>
      </c>
      <c r="G182" s="27">
        <v>110818792.26205894</v>
      </c>
      <c r="H182" s="27">
        <v>-12251090.444461999</v>
      </c>
      <c r="I182" s="27">
        <v>-1053740.9621687639</v>
      </c>
      <c r="J182" s="27">
        <v>81201.042741737401</v>
      </c>
      <c r="K182" s="27">
        <v>-384679.17925498582</v>
      </c>
      <c r="L182" s="27">
        <v>-1180529.6018840077</v>
      </c>
    </row>
    <row r="183" spans="1:24">
      <c r="A183" s="47">
        <v>45362.625</v>
      </c>
      <c r="B183" s="58">
        <v>3589.2635</v>
      </c>
      <c r="C183" s="77">
        <v>488000000</v>
      </c>
      <c r="D183" s="77">
        <v>240000000</v>
      </c>
      <c r="E183" s="77">
        <v>79000000</v>
      </c>
      <c r="F183" s="27">
        <v>6160525.5144701041</v>
      </c>
      <c r="G183" s="27">
        <v>96761752.275533691</v>
      </c>
      <c r="H183" s="27">
        <v>-12180751.971354146</v>
      </c>
      <c r="I183" s="27">
        <v>-961074.31834748446</v>
      </c>
      <c r="J183" s="27">
        <v>80161.554479404018</v>
      </c>
      <c r="K183" s="27">
        <v>-342119.48050294415</v>
      </c>
      <c r="L183" s="27">
        <v>-999367.89007169264</v>
      </c>
    </row>
    <row r="184" spans="1:24">
      <c r="A184" s="47">
        <v>45363.625</v>
      </c>
      <c r="B184" s="58">
        <v>3597.4938999999999</v>
      </c>
      <c r="C184" s="77">
        <v>488000000</v>
      </c>
      <c r="D184" s="77">
        <v>240000000</v>
      </c>
      <c r="E184" s="77">
        <v>79000000</v>
      </c>
      <c r="F184" s="27">
        <v>6458833.011021696</v>
      </c>
      <c r="G184" s="27">
        <v>93970331.623220831</v>
      </c>
      <c r="H184" s="27">
        <v>-12212606.569328906</v>
      </c>
      <c r="I184" s="27">
        <v>-937549.14646745881</v>
      </c>
      <c r="J184" s="27">
        <v>80187.290373733093</v>
      </c>
      <c r="K184" s="27">
        <v>-330825.1246836998</v>
      </c>
      <c r="L184" s="27">
        <v>-959872.0902702827</v>
      </c>
    </row>
    <row r="185" spans="1:24">
      <c r="A185" s="47">
        <v>45364.625</v>
      </c>
      <c r="B185" s="58">
        <v>3572.3609999999999</v>
      </c>
      <c r="C185" s="77">
        <v>488000000</v>
      </c>
      <c r="D185" s="77">
        <v>240000000</v>
      </c>
      <c r="E185" s="77">
        <v>79000000</v>
      </c>
      <c r="F185" s="27">
        <v>5853850.8649407383</v>
      </c>
      <c r="G185" s="27">
        <v>101773694.52989137</v>
      </c>
      <c r="H185" s="27">
        <v>-12555917.096293794</v>
      </c>
      <c r="I185" s="27">
        <v>-982871.49194180826</v>
      </c>
      <c r="J185" s="27">
        <v>82286.627334777877</v>
      </c>
      <c r="K185" s="27">
        <v>-347504.02758811129</v>
      </c>
      <c r="L185" s="27">
        <v>-1047172.6148731825</v>
      </c>
    </row>
    <row r="186" spans="1:24">
      <c r="A186" s="47">
        <v>45365.625</v>
      </c>
      <c r="B186" s="58">
        <v>3562.2229000000002</v>
      </c>
      <c r="C186" s="77">
        <v>488000000</v>
      </c>
      <c r="D186" s="77">
        <v>240000000</v>
      </c>
      <c r="E186" s="77">
        <v>79000000</v>
      </c>
      <c r="F186" s="27">
        <v>5642638.6761006471</v>
      </c>
      <c r="G186" s="27">
        <v>104940220.94705512</v>
      </c>
      <c r="H186" s="27">
        <v>-12754268.225047806</v>
      </c>
      <c r="I186" s="27">
        <v>-997197.98141705431</v>
      </c>
      <c r="J186" s="27">
        <v>83354.136700369811</v>
      </c>
      <c r="K186" s="27">
        <v>-352137.95028801181</v>
      </c>
      <c r="L186" s="27">
        <v>-1078661.2565419553</v>
      </c>
    </row>
    <row r="187" spans="1:24">
      <c r="A187" s="47">
        <v>45366.625</v>
      </c>
      <c r="B187" s="58">
        <v>3569.9929999999999</v>
      </c>
      <c r="C187" s="77">
        <v>488000000</v>
      </c>
      <c r="D187" s="77">
        <v>240000000</v>
      </c>
      <c r="E187" s="77">
        <v>79000000</v>
      </c>
      <c r="F187" s="27">
        <v>5951521.3676728578</v>
      </c>
      <c r="G187" s="27">
        <v>102238842.71970557</v>
      </c>
      <c r="H187" s="27">
        <v>-12872490.585036835</v>
      </c>
      <c r="I187" s="27">
        <v>-975129.49587635836</v>
      </c>
      <c r="J187" s="27">
        <v>83793.995862972341</v>
      </c>
      <c r="K187" s="27">
        <v>-340319.99899836205</v>
      </c>
      <c r="L187" s="27">
        <v>-1039336.3269800933</v>
      </c>
    </row>
    <row r="188" spans="1:24">
      <c r="A188" s="47">
        <v>45369.625</v>
      </c>
      <c r="B188" s="58">
        <v>3603.5279999999998</v>
      </c>
      <c r="C188" s="77">
        <v>708000000</v>
      </c>
      <c r="D188" s="77">
        <v>460000000</v>
      </c>
      <c r="E188" s="77">
        <v>299000000</v>
      </c>
      <c r="F188" s="27">
        <v>6937191.4182003727</v>
      </c>
      <c r="G188" s="27">
        <v>132083881.53481758</v>
      </c>
      <c r="H188" s="27">
        <v>-18159684.808650475</v>
      </c>
      <c r="I188" s="27">
        <v>-1632648.8951470482</v>
      </c>
      <c r="J188" s="27">
        <v>145223.82916290362</v>
      </c>
      <c r="K188" s="27">
        <v>-2042837.7015227329</v>
      </c>
      <c r="L188" s="27">
        <v>-1547304.3226083068</v>
      </c>
      <c r="N188">
        <v>6937191.4182003727</v>
      </c>
      <c r="O188" s="118">
        <f t="shared" ref="O188:O196" si="0">F188-N188</f>
        <v>0</v>
      </c>
      <c r="P188">
        <v>553937191.41820037</v>
      </c>
      <c r="Q188">
        <v>36655.612882638139</v>
      </c>
      <c r="R188">
        <v>132089527.37974724</v>
      </c>
      <c r="S188">
        <v>-17163673.358711317</v>
      </c>
      <c r="T188">
        <v>-1616260.2384488082</v>
      </c>
      <c r="U188">
        <v>143122.20227827341</v>
      </c>
      <c r="V188" s="119">
        <f>J188-U188</f>
        <v>2101.6268846302119</v>
      </c>
      <c r="W188">
        <v>-2122024.3399770558</v>
      </c>
      <c r="X188">
        <v>-1521057.6443594443</v>
      </c>
    </row>
    <row r="189" spans="1:24">
      <c r="A189" s="47">
        <v>45370.625</v>
      </c>
      <c r="B189" s="58">
        <v>3577.6302999999998</v>
      </c>
      <c r="C189" s="77">
        <v>708000000</v>
      </c>
      <c r="D189" s="77">
        <v>460000000</v>
      </c>
      <c r="E189" s="77">
        <v>299000000</v>
      </c>
      <c r="F189" s="27">
        <v>6083834.5008305144</v>
      </c>
      <c r="G189" s="27">
        <v>143930990.32586831</v>
      </c>
      <c r="H189" s="27">
        <v>-18975664.210586224</v>
      </c>
      <c r="I189" s="27">
        <v>-1721262.7198409543</v>
      </c>
      <c r="J189" s="27">
        <v>150145.64355758438</v>
      </c>
      <c r="K189" s="27">
        <v>-2140241.9787905174</v>
      </c>
      <c r="L189" s="27">
        <v>-1690504.7262245808</v>
      </c>
      <c r="N189">
        <v>6101960.6687938916</v>
      </c>
      <c r="O189" s="118">
        <f t="shared" si="0"/>
        <v>-18126.1679633772</v>
      </c>
      <c r="P189">
        <v>553101960.66879392</v>
      </c>
      <c r="Q189">
        <v>38912.410767870948</v>
      </c>
      <c r="R189">
        <v>139214219.80918136</v>
      </c>
      <c r="S189">
        <v>-17911718.318079874</v>
      </c>
      <c r="T189">
        <v>-1625864.5100609343</v>
      </c>
      <c r="U189">
        <v>147000.06857516718</v>
      </c>
      <c r="V189" s="119">
        <f t="shared" ref="V189:V196" si="1">J189-U189</f>
        <v>3145.5749824171944</v>
      </c>
      <c r="W189">
        <v>-1987618.0950402126</v>
      </c>
      <c r="X189">
        <v>-1582436.5589274252</v>
      </c>
    </row>
    <row r="190" spans="1:24">
      <c r="A190" s="47">
        <v>45371.625</v>
      </c>
      <c r="B190" s="58">
        <v>3585.3838000000001</v>
      </c>
      <c r="C190" s="77">
        <v>758000000</v>
      </c>
      <c r="D190" s="77">
        <v>510000000</v>
      </c>
      <c r="E190" s="77">
        <v>349000000</v>
      </c>
      <c r="F190" s="27">
        <v>6540025.2490643198</v>
      </c>
      <c r="G190" s="27">
        <v>150882581.86662227</v>
      </c>
      <c r="H190" s="27">
        <v>-20165346.353776112</v>
      </c>
      <c r="I190" s="27">
        <v>-1916357.3699470763</v>
      </c>
      <c r="J190" s="27">
        <v>164238.71735992376</v>
      </c>
      <c r="K190" s="27">
        <v>-2685465.4660611697</v>
      </c>
      <c r="L190" s="27">
        <v>-1826562.7932963457</v>
      </c>
      <c r="N190">
        <v>6545222.2554840008</v>
      </c>
      <c r="O190" s="118">
        <f t="shared" si="0"/>
        <v>-5197.0064196810126</v>
      </c>
      <c r="P190">
        <v>603545222.25548398</v>
      </c>
      <c r="Q190">
        <v>40480.548194754439</v>
      </c>
      <c r="R190">
        <v>145138301.7125918</v>
      </c>
      <c r="S190">
        <v>-18920773.676757127</v>
      </c>
      <c r="T190">
        <v>-1796585.9981987423</v>
      </c>
      <c r="U190">
        <v>159847.89433927127</v>
      </c>
      <c r="V190" s="119">
        <f t="shared" si="1"/>
        <v>4390.8230206524895</v>
      </c>
      <c r="W190">
        <v>-2493397.6178757194</v>
      </c>
      <c r="X190">
        <v>-1692655.7925012007</v>
      </c>
    </row>
    <row r="191" spans="1:24">
      <c r="A191" s="47">
        <v>45372.625</v>
      </c>
      <c r="B191" s="58">
        <v>3581.0902000000001</v>
      </c>
      <c r="C191" s="77">
        <v>858000000</v>
      </c>
      <c r="D191" s="77">
        <v>610000000</v>
      </c>
      <c r="E191" s="77">
        <v>449000000</v>
      </c>
      <c r="F191" s="27">
        <v>6521906.81177352</v>
      </c>
      <c r="G191" s="27">
        <v>173620205.46832398</v>
      </c>
      <c r="H191" s="27">
        <v>-22774861.166414086</v>
      </c>
      <c r="I191" s="27">
        <v>-2377567.7787810359</v>
      </c>
      <c r="J191" s="27">
        <v>193332.55646860821</v>
      </c>
      <c r="K191" s="27">
        <v>-3867211.1158726355</v>
      </c>
      <c r="L191" s="27">
        <v>-2210941.1049626209</v>
      </c>
      <c r="N191">
        <v>6529492.3566873558</v>
      </c>
      <c r="O191" s="118">
        <f t="shared" si="0"/>
        <v>-7585.5449138358235</v>
      </c>
      <c r="P191">
        <v>703529492.35668743</v>
      </c>
      <c r="Q191">
        <v>46491.126561448742</v>
      </c>
      <c r="R191">
        <v>166488917.71616378</v>
      </c>
      <c r="S191">
        <v>-21288081.594195217</v>
      </c>
      <c r="T191">
        <v>-2228468.6040824959</v>
      </c>
      <c r="U191">
        <v>188311.04095621945</v>
      </c>
      <c r="V191" s="119">
        <f t="shared" si="1"/>
        <v>5021.5155123887525</v>
      </c>
      <c r="W191">
        <v>-3625951.3705725614</v>
      </c>
      <c r="X191">
        <v>-2044959.1929480312</v>
      </c>
    </row>
    <row r="192" spans="1:24">
      <c r="A192" s="47">
        <v>45373.625</v>
      </c>
      <c r="B192" s="58">
        <v>3545.0023000000001</v>
      </c>
      <c r="C192" s="77">
        <v>858000000</v>
      </c>
      <c r="D192" s="77">
        <v>610000000</v>
      </c>
      <c r="E192" s="77">
        <v>449000000</v>
      </c>
      <c r="F192" s="27">
        <v>4852293.3827285403</v>
      </c>
      <c r="G192" s="27">
        <v>194956821.88862637</v>
      </c>
      <c r="H192" s="27">
        <v>-24468689.807764616</v>
      </c>
      <c r="I192" s="27">
        <v>-2535987.5766147962</v>
      </c>
      <c r="J192" s="27">
        <v>203990.93131368904</v>
      </c>
      <c r="K192" s="27">
        <v>-4070932.7900964967</v>
      </c>
      <c r="L192" s="27">
        <v>-2474316.0857590325</v>
      </c>
      <c r="N192">
        <v>4933688.0171770966</v>
      </c>
      <c r="O192" s="118">
        <f t="shared" si="0"/>
        <v>-81394.634448556229</v>
      </c>
      <c r="P192">
        <v>701933688.0171771</v>
      </c>
      <c r="Q192">
        <v>52585.486487461829</v>
      </c>
      <c r="R192">
        <v>186415670.54467112</v>
      </c>
      <c r="S192">
        <v>-22891128.59398317</v>
      </c>
      <c r="T192">
        <v>-2376251.4351403955</v>
      </c>
      <c r="U192">
        <v>198221.14273634393</v>
      </c>
      <c r="V192" s="119">
        <f t="shared" si="1"/>
        <v>5769.7885773451126</v>
      </c>
      <c r="W192">
        <v>-3803874.5691071386</v>
      </c>
      <c r="X192">
        <v>-2284746.0135173798</v>
      </c>
    </row>
    <row r="193" spans="1:24">
      <c r="A193" s="47">
        <v>45376.625</v>
      </c>
      <c r="B193" s="58">
        <v>3525.7633999999998</v>
      </c>
      <c r="C193" s="77">
        <v>868000000</v>
      </c>
      <c r="D193" s="77">
        <v>620000000</v>
      </c>
      <c r="E193" s="77">
        <v>451000000</v>
      </c>
      <c r="F193" s="27">
        <v>3945248.9721237049</v>
      </c>
      <c r="G193" s="27">
        <v>209960875.38829517</v>
      </c>
      <c r="H193" s="27">
        <v>-26390569.632938303</v>
      </c>
      <c r="I193" s="27">
        <v>-2627117.8622880345</v>
      </c>
      <c r="J193" s="27">
        <v>228169.74153671853</v>
      </c>
      <c r="K193" s="27">
        <v>-4182097.9551337543</v>
      </c>
      <c r="L193" s="27">
        <v>-2645432.4818850197</v>
      </c>
      <c r="N193">
        <v>4070269.6049436266</v>
      </c>
      <c r="O193" s="118">
        <f t="shared" si="0"/>
        <v>-125020.63281992171</v>
      </c>
      <c r="P193">
        <v>703070269.60494375</v>
      </c>
      <c r="Q193">
        <v>56876.684207232989</v>
      </c>
      <c r="R193">
        <v>200533731.49122009</v>
      </c>
      <c r="S193">
        <v>-24722890.429158483</v>
      </c>
      <c r="T193">
        <v>-2460640.8542054356</v>
      </c>
      <c r="U193">
        <v>221920.02336059432</v>
      </c>
      <c r="V193" s="119">
        <f t="shared" si="1"/>
        <v>6249.71817612421</v>
      </c>
      <c r="W193">
        <v>-3901675.3625246878</v>
      </c>
      <c r="X193">
        <v>-2441655.0314988536</v>
      </c>
    </row>
    <row r="194" spans="1:24">
      <c r="A194" s="47">
        <v>45377.625</v>
      </c>
      <c r="B194" s="58">
        <v>3543.7467000000001</v>
      </c>
      <c r="C194" s="77">
        <v>958000000</v>
      </c>
      <c r="D194" s="77">
        <v>710000000</v>
      </c>
      <c r="E194" s="77">
        <v>541000000</v>
      </c>
      <c r="F194" s="27">
        <v>5191716.3181621106</v>
      </c>
      <c r="G194" s="27">
        <v>212326911.51005498</v>
      </c>
      <c r="H194" s="27">
        <v>-25042538.433370914</v>
      </c>
      <c r="I194" s="27">
        <v>-2920782.456426261</v>
      </c>
      <c r="J194" s="27">
        <v>220569.5951255507</v>
      </c>
      <c r="K194" s="27">
        <v>-5075429.3437006604</v>
      </c>
      <c r="L194" s="27">
        <v>-2785216.5917637609</v>
      </c>
      <c r="N194">
        <v>5265121.203456237</v>
      </c>
      <c r="O194" s="118">
        <f t="shared" si="0"/>
        <v>-73404.885294126347</v>
      </c>
      <c r="P194">
        <v>794265121.2034564</v>
      </c>
      <c r="Q194">
        <v>57231.602535362523</v>
      </c>
      <c r="R194">
        <v>202814302.62040234</v>
      </c>
      <c r="S194">
        <v>-23212030.413756292</v>
      </c>
      <c r="T194">
        <v>-2735326.5011366047</v>
      </c>
      <c r="U194">
        <v>213807.70025723454</v>
      </c>
      <c r="V194" s="119">
        <f t="shared" si="1"/>
        <v>6761.894868316158</v>
      </c>
      <c r="W194">
        <v>-4767611.9720034907</v>
      </c>
      <c r="X194">
        <v>-2571924.1079358459</v>
      </c>
    </row>
    <row r="195" spans="1:24">
      <c r="A195" s="47">
        <v>45378.625</v>
      </c>
      <c r="B195" s="58">
        <v>3502.7865999999999</v>
      </c>
      <c r="C195" s="77">
        <v>973000000</v>
      </c>
      <c r="D195" s="77">
        <v>705000000</v>
      </c>
      <c r="E195" s="77">
        <v>524000000</v>
      </c>
      <c r="F195" s="27">
        <v>2766723.6219038609</v>
      </c>
      <c r="G195" s="27">
        <v>242845306.9451564</v>
      </c>
      <c r="H195" s="27">
        <v>-26349204.848485794</v>
      </c>
      <c r="I195" s="27">
        <v>-3139902.438509278</v>
      </c>
      <c r="J195" s="27">
        <v>230994.70013420942</v>
      </c>
      <c r="K195" s="27">
        <v>-5360868.8403717848</v>
      </c>
      <c r="L195" s="27">
        <v>-3188104.8796358081</v>
      </c>
      <c r="N195">
        <v>2945514.2326266905</v>
      </c>
      <c r="O195" s="118">
        <f t="shared" si="0"/>
        <v>-178790.61072282959</v>
      </c>
      <c r="P195">
        <v>794945514.2326268</v>
      </c>
      <c r="Q195">
        <v>65963.38383324309</v>
      </c>
      <c r="R195">
        <v>231055656.98174033</v>
      </c>
      <c r="S195">
        <v>-24343306.480716176</v>
      </c>
      <c r="T195">
        <v>-2940272.9417130305</v>
      </c>
      <c r="U195">
        <v>223033.17442147897</v>
      </c>
      <c r="V195" s="119">
        <f t="shared" si="1"/>
        <v>7961.5257127304503</v>
      </c>
      <c r="W195">
        <v>-5021709.1446732236</v>
      </c>
      <c r="X195">
        <v>-2939788.1149498969</v>
      </c>
    </row>
    <row r="196" spans="1:24">
      <c r="A196" s="47">
        <v>45379.625</v>
      </c>
      <c r="B196" s="58">
        <v>3520.9648000000002</v>
      </c>
      <c r="C196" s="77">
        <v>1033051000</v>
      </c>
      <c r="D196" s="77">
        <v>765051000</v>
      </c>
      <c r="E196" s="77">
        <v>574449470</v>
      </c>
      <c r="F196" s="27">
        <v>4262736.870798585</v>
      </c>
      <c r="G196" s="27">
        <v>248948640.98068172</v>
      </c>
      <c r="H196" s="27">
        <v>-29145400.251031995</v>
      </c>
      <c r="I196" s="27">
        <v>-3378408.1790669807</v>
      </c>
      <c r="J196" s="27">
        <v>250875.82437879808</v>
      </c>
      <c r="K196" s="27">
        <v>-5536936.7153130872</v>
      </c>
      <c r="L196" s="27">
        <v>-3303348.9373251004</v>
      </c>
      <c r="N196">
        <v>4376040.0471657701</v>
      </c>
      <c r="O196" s="118">
        <f t="shared" si="0"/>
        <v>-113303.17636718508</v>
      </c>
      <c r="P196">
        <v>846825510.04716587</v>
      </c>
      <c r="Q196">
        <v>67509.415388072695</v>
      </c>
      <c r="R196">
        <v>237698275.24998203</v>
      </c>
      <c r="S196">
        <v>-27071694.467740107</v>
      </c>
      <c r="T196">
        <v>-3171268.0832403856</v>
      </c>
      <c r="U196">
        <v>243221.69116790139</v>
      </c>
      <c r="V196" s="119">
        <f t="shared" si="1"/>
        <v>7654.133210896689</v>
      </c>
      <c r="W196">
        <v>-5207537.1871873308</v>
      </c>
      <c r="X196">
        <v>-3062189.8846121607</v>
      </c>
    </row>
    <row r="197" spans="1:24">
      <c r="A197" s="47">
        <v>45380.625</v>
      </c>
      <c r="B197" s="58">
        <v>3537.4843000000001</v>
      </c>
      <c r="C197" s="77">
        <v>1093051000</v>
      </c>
      <c r="D197" s="77">
        <v>825051000</v>
      </c>
      <c r="E197" s="77">
        <v>580449470</v>
      </c>
      <c r="F197" s="27">
        <v>5691960.29353227</v>
      </c>
      <c r="G197" s="27">
        <v>249270047.09633383</v>
      </c>
      <c r="H197" s="27">
        <v>-30921254.531795245</v>
      </c>
      <c r="I197" s="27">
        <v>-3588154.7908865339</v>
      </c>
      <c r="J197" s="27">
        <v>260229.12039872617</v>
      </c>
      <c r="K197" s="27">
        <v>-5402951.5805361988</v>
      </c>
      <c r="L197" s="27">
        <v>-3318329.3226915142</v>
      </c>
    </row>
    <row r="198" spans="1:24">
      <c r="A198" s="47">
        <v>45383.625</v>
      </c>
      <c r="B198" s="58">
        <v>3595.6466</v>
      </c>
      <c r="C198" s="77">
        <v>1183051000</v>
      </c>
      <c r="D198" s="77">
        <v>915051000</v>
      </c>
      <c r="E198" s="77">
        <v>589449470</v>
      </c>
      <c r="F198" s="27">
        <v>9627637.8782308847</v>
      </c>
      <c r="G198" s="27">
        <v>223508076.10072166</v>
      </c>
      <c r="H198" s="27">
        <v>-32047567.846111156</v>
      </c>
      <c r="I198" s="27">
        <v>-3631653.6555616818</v>
      </c>
      <c r="J198" s="27">
        <v>262913.38067952584</v>
      </c>
      <c r="K198" s="27">
        <v>-4934143.4359975616</v>
      </c>
      <c r="L198" s="27">
        <v>-2993287.0452097077</v>
      </c>
    </row>
    <row r="199" spans="1:24">
      <c r="A199" s="47">
        <v>45384.625</v>
      </c>
      <c r="B199" s="58">
        <v>3580.6759000000002</v>
      </c>
      <c r="C199" s="77">
        <v>1183051000</v>
      </c>
      <c r="D199" s="77">
        <v>915051000</v>
      </c>
      <c r="E199" s="77">
        <v>589449470</v>
      </c>
      <c r="F199" s="27">
        <v>8936796.286743544</v>
      </c>
      <c r="G199" s="27">
        <v>234992710.78738505</v>
      </c>
      <c r="H199" s="27">
        <v>-32917776.212614432</v>
      </c>
      <c r="I199" s="27">
        <v>-3745687.2815650199</v>
      </c>
      <c r="J199" s="27">
        <v>268228.62041950313</v>
      </c>
      <c r="K199" s="27">
        <v>-5027590.2850475339</v>
      </c>
      <c r="L199" s="27">
        <v>-3139930.0006800536</v>
      </c>
    </row>
    <row r="200" spans="1:24">
      <c r="A200" s="47">
        <v>45385.625</v>
      </c>
      <c r="B200" s="58">
        <v>3567.8031000000001</v>
      </c>
      <c r="C200" s="77">
        <v>1228051000</v>
      </c>
      <c r="D200" s="77">
        <v>960051000</v>
      </c>
      <c r="E200" s="77">
        <v>634449470</v>
      </c>
      <c r="F200" s="27">
        <v>8342971.52364193</v>
      </c>
      <c r="G200" s="27">
        <v>258743918.7994861</v>
      </c>
      <c r="H200" s="27">
        <v>-36525446.70079682</v>
      </c>
      <c r="I200" s="27">
        <v>-3967833.4541046005</v>
      </c>
      <c r="J200" s="27">
        <v>295182.19739606744</v>
      </c>
      <c r="K200" s="27">
        <v>-5291265.9381771861</v>
      </c>
      <c r="L200" s="27">
        <v>-3422448.8677409738</v>
      </c>
    </row>
    <row r="201" spans="1:24">
      <c r="A201" s="47">
        <v>45390.625</v>
      </c>
      <c r="B201" s="58">
        <v>3536.4077000000002</v>
      </c>
      <c r="C201" s="77">
        <v>1228051000</v>
      </c>
      <c r="D201" s="77">
        <v>960051000</v>
      </c>
      <c r="E201" s="77">
        <v>634449470</v>
      </c>
      <c r="F201" s="27">
        <v>6226923.4599530511</v>
      </c>
      <c r="G201" s="27">
        <v>288316566.62187821</v>
      </c>
      <c r="H201" s="27">
        <v>-38084766.117163487</v>
      </c>
      <c r="I201" s="27">
        <v>-4251249.6445061397</v>
      </c>
      <c r="J201" s="27">
        <v>304968.53783327568</v>
      </c>
      <c r="K201" s="27">
        <v>-5560615.1567958146</v>
      </c>
      <c r="L201" s="27">
        <v>-3818029.1602423294</v>
      </c>
    </row>
    <row r="202" spans="1:24">
      <c r="A202" s="47">
        <v>45391.625</v>
      </c>
      <c r="B202" s="58">
        <v>3533.4870999999998</v>
      </c>
      <c r="C202" s="77">
        <v>1228051000</v>
      </c>
      <c r="D202" s="77">
        <v>960051000</v>
      </c>
      <c r="E202" s="77">
        <v>634449470</v>
      </c>
      <c r="F202" s="27">
        <v>6293245.9793662522</v>
      </c>
      <c r="G202" s="27">
        <v>290371320.56990004</v>
      </c>
      <c r="H202" s="27">
        <v>-38454799.553745635</v>
      </c>
      <c r="I202" s="27">
        <v>-4257924.5683664121</v>
      </c>
      <c r="J202" s="27">
        <v>307553.8881716046</v>
      </c>
      <c r="K202" s="27">
        <v>-5557873.1300263815</v>
      </c>
      <c r="L202" s="27">
        <v>-3830965.6586398385</v>
      </c>
    </row>
    <row r="203" spans="1:24">
      <c r="A203" s="47">
        <v>45392.625</v>
      </c>
      <c r="B203" s="58">
        <v>3504.7085999999999</v>
      </c>
      <c r="C203" s="77">
        <v>1228051000</v>
      </c>
      <c r="D203" s="77">
        <v>960051000</v>
      </c>
      <c r="E203" s="77">
        <v>634449470</v>
      </c>
      <c r="F203" s="27">
        <v>4113287.0277379174</v>
      </c>
      <c r="G203" s="27">
        <v>319021928.80408096</v>
      </c>
      <c r="H203" s="27">
        <v>-39482824.631967358</v>
      </c>
      <c r="I203" s="27">
        <v>-4515591.1589550348</v>
      </c>
      <c r="J203" s="27">
        <v>314898.02552218537</v>
      </c>
      <c r="K203" s="27">
        <v>-5813165.7401454421</v>
      </c>
      <c r="L203" s="27">
        <v>-4217187.1524998024</v>
      </c>
    </row>
    <row r="204" spans="1:24">
      <c r="A204" s="47">
        <v>45393.625</v>
      </c>
      <c r="B204" s="58">
        <v>3504.2447000000002</v>
      </c>
      <c r="C204" s="77">
        <v>1243051000</v>
      </c>
      <c r="D204" s="77">
        <v>975051000</v>
      </c>
      <c r="E204" s="77">
        <v>649449470</v>
      </c>
      <c r="F204" s="27">
        <v>4386012.23454428</v>
      </c>
      <c r="G204" s="27">
        <v>325268237.44861144</v>
      </c>
      <c r="H204" s="27">
        <v>-41124559.381955571</v>
      </c>
      <c r="I204" s="27">
        <v>-4561761.008058751</v>
      </c>
      <c r="J204" s="27">
        <v>325183.28485014854</v>
      </c>
      <c r="K204" s="27">
        <v>-5859125.2264947668</v>
      </c>
      <c r="L204" s="27">
        <v>-4273784.5718067754</v>
      </c>
    </row>
    <row r="205" spans="1:24">
      <c r="A205" s="47">
        <v>45394.625</v>
      </c>
      <c r="B205" s="58">
        <v>3475.8389000000002</v>
      </c>
      <c r="C205" s="77">
        <v>1243051000</v>
      </c>
      <c r="D205" s="77">
        <v>975051000</v>
      </c>
      <c r="E205" s="77">
        <v>649449470</v>
      </c>
      <c r="F205" s="27">
        <v>1941579.8446171789</v>
      </c>
      <c r="G205" s="27">
        <v>355772762.54473984</v>
      </c>
      <c r="H205" s="27">
        <v>-41760058.292805031</v>
      </c>
      <c r="I205" s="27">
        <v>-4819482.6840987438</v>
      </c>
      <c r="J205" s="27">
        <v>330231.22076803149</v>
      </c>
      <c r="K205" s="27">
        <v>-6127836.7296612589</v>
      </c>
      <c r="L205" s="27">
        <v>-4689152.9622680144</v>
      </c>
    </row>
    <row r="206" spans="1:24">
      <c r="A206" s="47">
        <v>45397.625</v>
      </c>
      <c r="B206" s="58">
        <v>3549.0758999999998</v>
      </c>
      <c r="C206" s="77">
        <v>1243051000</v>
      </c>
      <c r="D206" s="77">
        <v>975051000</v>
      </c>
      <c r="E206" s="77">
        <v>649449470</v>
      </c>
      <c r="F206" s="27">
        <v>8845907.1732048448</v>
      </c>
      <c r="G206" s="27">
        <v>275466642.2862767</v>
      </c>
      <c r="H206" s="27">
        <v>-40481415.85844326</v>
      </c>
      <c r="I206" s="27">
        <v>-4056747.1424295437</v>
      </c>
      <c r="J206" s="27">
        <v>317980.08756198495</v>
      </c>
      <c r="K206" s="27">
        <v>-5323540.2465026481</v>
      </c>
      <c r="L206" s="27">
        <v>-3549625.3662184426</v>
      </c>
    </row>
    <row r="207" spans="1:24">
      <c r="A207" s="47">
        <v>45398.625</v>
      </c>
      <c r="B207" s="58">
        <v>3511.1145999999999</v>
      </c>
      <c r="C207" s="77">
        <v>1243051000</v>
      </c>
      <c r="D207" s="77">
        <v>975051000</v>
      </c>
      <c r="E207" s="77">
        <v>649449470</v>
      </c>
      <c r="F207" s="27">
        <v>5991346.0585826226</v>
      </c>
      <c r="G207" s="27">
        <v>315901203.61310798</v>
      </c>
      <c r="H207" s="27">
        <v>-42043007.446418956</v>
      </c>
      <c r="I207" s="27">
        <v>-4431132.362529764</v>
      </c>
      <c r="J207" s="27">
        <v>328822.99275032338</v>
      </c>
      <c r="K207" s="27">
        <v>-5697499.4965071175</v>
      </c>
      <c r="L207" s="27">
        <v>-4086844.8273088443</v>
      </c>
    </row>
    <row r="208" spans="1:24">
      <c r="A208" s="47">
        <v>45399.625</v>
      </c>
      <c r="B208" s="58">
        <v>3565.4029999999998</v>
      </c>
      <c r="C208" s="77">
        <v>1243051000</v>
      </c>
      <c r="D208" s="77">
        <v>975051000</v>
      </c>
      <c r="E208" s="77">
        <v>649449470</v>
      </c>
      <c r="F208" s="27">
        <v>10698160.897504495</v>
      </c>
      <c r="G208" s="27">
        <v>255747122.55039561</v>
      </c>
      <c r="H208" s="27">
        <v>-40550258.464551575</v>
      </c>
      <c r="I208" s="27">
        <v>-3827362.6872899397</v>
      </c>
      <c r="J208" s="27">
        <v>317248.40796005615</v>
      </c>
      <c r="K208" s="27">
        <v>-5077747.2916198159</v>
      </c>
      <c r="L208" s="27">
        <v>-3252530.562483395</v>
      </c>
    </row>
    <row r="209" spans="1:12">
      <c r="A209" s="47">
        <v>45400.625</v>
      </c>
      <c r="B209" s="58">
        <v>3569.8018000000002</v>
      </c>
      <c r="C209" s="77">
        <v>1243051000</v>
      </c>
      <c r="D209" s="77">
        <v>975051000</v>
      </c>
      <c r="E209" s="77">
        <v>649449470</v>
      </c>
      <c r="F209" s="27">
        <v>11326227.52017872</v>
      </c>
      <c r="G209" s="27">
        <v>249685847.36762527</v>
      </c>
      <c r="H209" s="27">
        <v>-40890019.598373123</v>
      </c>
      <c r="I209" s="27">
        <v>-3749349.6944737872</v>
      </c>
      <c r="J209" s="27">
        <v>-849570.64767469116</v>
      </c>
      <c r="K209" s="27">
        <v>-4992497.5059737628</v>
      </c>
      <c r="L209" s="27">
        <v>-3156555.127561436</v>
      </c>
    </row>
    <row r="210" spans="1:12">
      <c r="A210" s="47">
        <v>45401.625</v>
      </c>
      <c r="B210" s="58">
        <v>3541.6619000000001</v>
      </c>
      <c r="C210" s="77">
        <v>1243051000</v>
      </c>
      <c r="D210" s="77">
        <v>975051000</v>
      </c>
      <c r="E210" s="77">
        <v>649449470</v>
      </c>
      <c r="F210" s="27">
        <v>9556926.5519388709</v>
      </c>
      <c r="G210" s="27">
        <v>279556398.50775892</v>
      </c>
      <c r="H210" s="27">
        <v>-42757414.582734674</v>
      </c>
      <c r="I210" s="27">
        <v>-4033549.393646643</v>
      </c>
      <c r="J210" s="27">
        <v>330994.57157031185</v>
      </c>
      <c r="K210" s="27">
        <v>-5266293.4752414674</v>
      </c>
      <c r="L210" s="27">
        <v>-3533684.0513642416</v>
      </c>
    </row>
    <row r="211" spans="1:12">
      <c r="A211" s="47">
        <v>45404.625</v>
      </c>
      <c r="B211" s="58">
        <v>3530.9045000000001</v>
      </c>
      <c r="C211" s="77">
        <v>1243051000</v>
      </c>
      <c r="D211" s="77">
        <v>975051000</v>
      </c>
      <c r="E211" s="77">
        <v>649449470</v>
      </c>
      <c r="F211" s="27">
        <v>9021488.1168332398</v>
      </c>
      <c r="G211" s="27">
        <v>291034357.35852325</v>
      </c>
      <c r="H211" s="27">
        <v>-43640068.87007992</v>
      </c>
      <c r="I211" s="27">
        <v>-4128626.2117010038</v>
      </c>
      <c r="J211" s="27">
        <v>-458021.34056919249</v>
      </c>
      <c r="K211" s="27">
        <v>-5355243.533690759</v>
      </c>
      <c r="L211" s="27">
        <v>-3667552.3194124061</v>
      </c>
    </row>
    <row r="212" spans="1:12">
      <c r="A212" s="47">
        <v>45405.625</v>
      </c>
      <c r="B212" s="58">
        <v>3506.2249000000002</v>
      </c>
      <c r="C212" s="77">
        <v>1243051000</v>
      </c>
      <c r="D212" s="77">
        <v>975051000</v>
      </c>
      <c r="E212" s="77">
        <v>649449470</v>
      </c>
      <c r="F212" s="27">
        <v>7220018.6655950602</v>
      </c>
      <c r="G212" s="27">
        <v>319472412.39470416</v>
      </c>
      <c r="H212" s="27">
        <v>-44349551.055573709</v>
      </c>
      <c r="I212" s="27">
        <v>-4383558.5571182342</v>
      </c>
      <c r="J212" s="27">
        <v>340975.20764123532</v>
      </c>
      <c r="K212" s="27">
        <v>-5609798.5528453011</v>
      </c>
      <c r="L212" s="27">
        <v>-4031690.7436721358</v>
      </c>
    </row>
    <row r="213" spans="1:12">
      <c r="A213" s="47">
        <v>45406.625</v>
      </c>
      <c r="B213" s="58">
        <v>3521.6219000000001</v>
      </c>
      <c r="C213" s="77">
        <v>1243051000</v>
      </c>
      <c r="D213" s="77">
        <v>975051000</v>
      </c>
      <c r="E213" s="77">
        <v>649449470</v>
      </c>
      <c r="F213" s="27">
        <v>8921483.1301666796</v>
      </c>
      <c r="G213" s="27">
        <v>301229644.42297226</v>
      </c>
      <c r="H213" s="27">
        <v>-45172151.981442519</v>
      </c>
      <c r="I213" s="27">
        <v>-4191293.8563333782</v>
      </c>
      <c r="J213" s="27">
        <v>343478.08702160435</v>
      </c>
      <c r="K213" s="27">
        <v>-5403774.1680559851</v>
      </c>
      <c r="L213" s="27">
        <v>-3758522.0561121856</v>
      </c>
    </row>
    <row r="214" spans="1:12">
      <c r="A214" s="47">
        <v>45407.625</v>
      </c>
      <c r="B214" s="58">
        <v>3530.2813000000001</v>
      </c>
      <c r="C214" s="77">
        <v>1243051000</v>
      </c>
      <c r="D214" s="77">
        <v>975051000</v>
      </c>
      <c r="E214" s="77">
        <v>649449470</v>
      </c>
      <c r="F214" s="27">
        <v>9992039.9049560707</v>
      </c>
      <c r="G214" s="27">
        <v>291434645.96765602</v>
      </c>
      <c r="H214" s="27">
        <v>-43550245.257300824</v>
      </c>
      <c r="I214" s="27">
        <v>-4072737.6661657132</v>
      </c>
      <c r="J214" s="27">
        <v>348238.61337954656</v>
      </c>
      <c r="K214" s="27">
        <v>-5274906.3883584877</v>
      </c>
      <c r="L214" s="27">
        <v>-3597918.1895208806</v>
      </c>
    </row>
    <row r="215" spans="1:12">
      <c r="A215" s="47">
        <v>45408.625</v>
      </c>
      <c r="B215" s="58">
        <v>3584.2685999999999</v>
      </c>
      <c r="C215" s="77">
        <v>1243051000</v>
      </c>
      <c r="D215" s="77">
        <v>975051000</v>
      </c>
      <c r="E215" s="77">
        <v>649449470</v>
      </c>
      <c r="F215" s="27">
        <v>14243786.787696026</v>
      </c>
      <c r="G215" s="27">
        <v>223565951.69026423</v>
      </c>
      <c r="H215" s="27">
        <v>-45231423.46921318</v>
      </c>
      <c r="I215" s="27">
        <v>-3386406.5176911</v>
      </c>
      <c r="J215" s="27">
        <v>-82337.514961632551</v>
      </c>
      <c r="K215" s="27">
        <v>-4585528.2017441653</v>
      </c>
      <c r="L215" s="27">
        <v>-2737632.6467763055</v>
      </c>
    </row>
    <row r="216" spans="1:12">
      <c r="A216" s="47">
        <v>45411.625</v>
      </c>
      <c r="B216" s="58">
        <v>3623.9124000000002</v>
      </c>
      <c r="C216" s="77">
        <v>1243051000</v>
      </c>
      <c r="D216" s="77">
        <v>975051000</v>
      </c>
      <c r="E216" s="77">
        <v>649449470</v>
      </c>
      <c r="F216" s="27">
        <v>16744522.24858894</v>
      </c>
      <c r="G216" s="27">
        <v>180184086.3670077</v>
      </c>
      <c r="H216" s="27">
        <v>-38776544.429887019</v>
      </c>
      <c r="I216" s="27">
        <v>-2835292.8060347633</v>
      </c>
      <c r="J216" s="27">
        <v>299501.1552716677</v>
      </c>
      <c r="K216" s="27">
        <v>-4047069.5884685605</v>
      </c>
      <c r="L216" s="27">
        <v>-2151641.6744933329</v>
      </c>
    </row>
    <row r="217" spans="1:12">
      <c r="A217" s="47">
        <v>45412.625</v>
      </c>
      <c r="B217" s="58">
        <v>3604.3942999999999</v>
      </c>
      <c r="C217" s="77">
        <v>1243051000</v>
      </c>
      <c r="D217" s="77">
        <v>930051000</v>
      </c>
      <c r="E217" s="77">
        <v>616449470</v>
      </c>
      <c r="F217" s="27">
        <v>16034414.299200149</v>
      </c>
      <c r="G217" s="27">
        <v>198113378.63975945</v>
      </c>
      <c r="H217" s="27">
        <v>-43129065.450404637</v>
      </c>
      <c r="I217" s="27">
        <v>-2998135.3136537573</v>
      </c>
      <c r="J217" s="27">
        <v>321346.33517794765</v>
      </c>
      <c r="K217" s="27">
        <v>-4184664.2557237968</v>
      </c>
      <c r="L217" s="27">
        <v>-2336915.2154670171</v>
      </c>
    </row>
    <row r="218" spans="1:12">
      <c r="A218" s="47">
        <v>45418.625</v>
      </c>
      <c r="B218" s="58">
        <v>3657.8766999999998</v>
      </c>
      <c r="C218" s="77">
        <v>1243051000</v>
      </c>
      <c r="D218" s="77">
        <v>930051000</v>
      </c>
      <c r="E218" s="77">
        <v>616449470</v>
      </c>
      <c r="F218" s="27">
        <v>18789526.194001731</v>
      </c>
      <c r="G218" s="27">
        <v>141973890.29343259</v>
      </c>
      <c r="H218" s="27">
        <v>-32589407.642815728</v>
      </c>
      <c r="I218" s="27">
        <v>-2404341.891749314</v>
      </c>
      <c r="J218" s="27">
        <v>257869.83791994338</v>
      </c>
      <c r="K218" s="27">
        <v>-3644627.4714108072</v>
      </c>
      <c r="L218" s="27">
        <v>-1712059.2750277605</v>
      </c>
    </row>
    <row r="219" spans="1:12">
      <c r="A219" s="47">
        <v>45419.625</v>
      </c>
      <c r="B219" s="58">
        <v>3659.0075999999999</v>
      </c>
      <c r="C219" s="77">
        <v>1243051000</v>
      </c>
      <c r="D219" s="77">
        <v>885051000</v>
      </c>
      <c r="E219" s="77">
        <v>571449470</v>
      </c>
      <c r="F219" s="27">
        <v>19090317.65635369</v>
      </c>
      <c r="G219" s="27">
        <v>138689554.4143658</v>
      </c>
      <c r="H219" s="27">
        <v>-32876060.842002947</v>
      </c>
      <c r="I219" s="27">
        <v>-2354428.0822010222</v>
      </c>
      <c r="J219" s="27">
        <v>259419.38107092411</v>
      </c>
      <c r="K219" s="27">
        <v>-3594148.598198405</v>
      </c>
      <c r="L219" s="27">
        <v>-1665374.2500657269</v>
      </c>
    </row>
    <row r="220" spans="1:12">
      <c r="A220" s="47">
        <v>45420.625</v>
      </c>
      <c r="B220" s="58">
        <v>3630.2233000000001</v>
      </c>
      <c r="C220" s="77">
        <v>1243051000</v>
      </c>
      <c r="D220" s="77">
        <v>885051000</v>
      </c>
      <c r="E220" s="77">
        <v>571449470</v>
      </c>
      <c r="F220" s="27">
        <v>18172841.555533435</v>
      </c>
      <c r="G220" s="27">
        <v>162627535.95867014</v>
      </c>
      <c r="H220" s="27">
        <v>-36394285.508080535</v>
      </c>
      <c r="I220" s="27">
        <v>-2599146.9393177098</v>
      </c>
      <c r="J220" s="27">
        <v>280331.93547842227</v>
      </c>
      <c r="K220" s="27">
        <v>-3800968.1035383525</v>
      </c>
      <c r="L220" s="27">
        <v>-1915786.3251616911</v>
      </c>
    </row>
    <row r="221" spans="1:12">
      <c r="A221" s="47">
        <v>45421.625</v>
      </c>
      <c r="B221" s="58">
        <v>3664.5610000000001</v>
      </c>
      <c r="C221" s="77">
        <v>1243051000</v>
      </c>
      <c r="D221" s="77">
        <v>885051000</v>
      </c>
      <c r="E221" s="77">
        <v>571449470</v>
      </c>
      <c r="F221" s="27">
        <v>19810440.105041713</v>
      </c>
      <c r="G221" s="27">
        <v>128798422.05453779</v>
      </c>
      <c r="H221" s="27">
        <v>-33217175.605121374</v>
      </c>
      <c r="I221" s="27">
        <v>-2218635.9635000401</v>
      </c>
      <c r="J221" s="27">
        <v>261042.07105690159</v>
      </c>
      <c r="K221" s="27">
        <v>-3464157.8160552965</v>
      </c>
      <c r="L221" s="27">
        <v>-1539126.0694198022</v>
      </c>
    </row>
    <row r="222" spans="1:12">
      <c r="A222" s="47">
        <v>45422.625</v>
      </c>
      <c r="B222" s="58">
        <v>3666.2770999999998</v>
      </c>
      <c r="C222" s="77">
        <v>1243051000</v>
      </c>
      <c r="D222" s="77">
        <v>885051000</v>
      </c>
      <c r="E222" s="77">
        <v>571449470</v>
      </c>
      <c r="F222" s="27">
        <v>20129993.869742621</v>
      </c>
      <c r="G222" s="27">
        <v>124445062.37651165</v>
      </c>
      <c r="H222" s="27">
        <v>-33646981.467962988</v>
      </c>
      <c r="I222" s="27">
        <v>-2158671.4368513636</v>
      </c>
      <c r="J222" s="27">
        <v>263191.35052607348</v>
      </c>
      <c r="K222" s="27">
        <v>-3406834.2068729452</v>
      </c>
      <c r="L222" s="27">
        <v>-1484303.3918411401</v>
      </c>
    </row>
    <row r="223" spans="1:12">
      <c r="A223" s="47">
        <v>45425.625</v>
      </c>
      <c r="B223" s="58">
        <v>3664.6907000000001</v>
      </c>
      <c r="C223" s="77">
        <v>1243051000</v>
      </c>
      <c r="D223" s="77">
        <v>885051000</v>
      </c>
      <c r="E223" s="77">
        <v>571449470</v>
      </c>
      <c r="F223" s="27">
        <v>20333124.87259198</v>
      </c>
      <c r="G223" s="27">
        <v>122738095.03193507</v>
      </c>
      <c r="H223" s="27">
        <v>-34674021.639375821</v>
      </c>
      <c r="I223" s="27">
        <v>-2127487.6142044012</v>
      </c>
      <c r="J223" s="27">
        <v>267715.10454909794</v>
      </c>
      <c r="K223" s="27">
        <v>-3376044.2640382573</v>
      </c>
      <c r="L223" s="27">
        <v>-1457501.784458664</v>
      </c>
    </row>
    <row r="224" spans="1:12">
      <c r="A224" s="47">
        <v>45426.625</v>
      </c>
      <c r="B224" s="58">
        <v>3657.0454</v>
      </c>
      <c r="C224" s="77">
        <v>1243051000</v>
      </c>
      <c r="D224" s="77">
        <v>870051000</v>
      </c>
      <c r="E224" s="77">
        <v>556449470</v>
      </c>
      <c r="F224" s="27">
        <v>20344801.405122273</v>
      </c>
      <c r="G224" s="27">
        <v>126579989.46055256</v>
      </c>
      <c r="H224" s="27">
        <v>-36952944.530364148</v>
      </c>
      <c r="I224" s="27">
        <v>-2154490.3475005329</v>
      </c>
      <c r="J224" s="27">
        <v>279985.05009074922</v>
      </c>
      <c r="K224" s="27">
        <v>-3396899.1595063992</v>
      </c>
      <c r="L224" s="27">
        <v>-1484317.3618978646</v>
      </c>
    </row>
    <row r="225" spans="1:12">
      <c r="A225" s="47">
        <v>45427.625</v>
      </c>
      <c r="B225" s="58">
        <v>3626.0558999999998</v>
      </c>
      <c r="C225" s="77">
        <v>1243051000</v>
      </c>
      <c r="D225" s="77">
        <v>870051000</v>
      </c>
      <c r="E225" s="77">
        <v>556449470</v>
      </c>
      <c r="F225" s="27">
        <v>19442013.078176953</v>
      </c>
      <c r="G225" s="27">
        <v>156395093.68845153</v>
      </c>
      <c r="H225" s="27">
        <v>-43229273.887086853</v>
      </c>
      <c r="I225" s="27">
        <v>-2428311.3529966515</v>
      </c>
      <c r="J225" s="27">
        <v>320180.43917571148</v>
      </c>
      <c r="K225" s="27">
        <v>-3633563.37217292</v>
      </c>
      <c r="L225" s="27">
        <v>-1755459.3301756929</v>
      </c>
    </row>
    <row r="226" spans="1:12">
      <c r="A226" s="47">
        <v>45428.625</v>
      </c>
      <c r="B226" s="58">
        <v>3640.3591999999999</v>
      </c>
      <c r="C226" s="77">
        <v>1243051000</v>
      </c>
      <c r="D226" s="77">
        <v>870051000</v>
      </c>
      <c r="E226" s="77">
        <v>556449470</v>
      </c>
      <c r="F226" s="27">
        <v>20332730.877709795</v>
      </c>
      <c r="G226" s="27">
        <v>136679369.57050008</v>
      </c>
      <c r="H226" s="27">
        <v>-43780604.496341638</v>
      </c>
      <c r="I226" s="27">
        <v>-2217534.0702660521</v>
      </c>
      <c r="J226" s="27">
        <v>322810.32589815173</v>
      </c>
      <c r="K226" s="27">
        <v>-3454339.5311338045</v>
      </c>
      <c r="L226" s="27">
        <v>-1549774.6281737539</v>
      </c>
    </row>
    <row r="227" spans="1:12">
      <c r="A227" s="47">
        <v>45429.625</v>
      </c>
      <c r="B227" s="58">
        <v>3677.9695999999999</v>
      </c>
      <c r="C227" s="77">
        <v>1243051000</v>
      </c>
      <c r="D227" s="77">
        <v>870051000</v>
      </c>
      <c r="E227" s="77">
        <v>556449470</v>
      </c>
      <c r="F227" s="27">
        <v>21784393.883557953</v>
      </c>
      <c r="G227" s="27">
        <v>90991170.268886074</v>
      </c>
      <c r="H227" s="27">
        <v>-34131140.448063284</v>
      </c>
      <c r="I227" s="27">
        <v>-1772849.9697283395</v>
      </c>
      <c r="J227" s="27">
        <v>254388.43980227047</v>
      </c>
      <c r="K227" s="27">
        <v>-3078238.7484593848</v>
      </c>
      <c r="L227" s="27">
        <v>-1157129.3115652264</v>
      </c>
    </row>
    <row r="228" spans="1:12">
      <c r="A228" s="47">
        <v>45432.625</v>
      </c>
      <c r="B228" s="58">
        <v>3690.9623000000001</v>
      </c>
      <c r="C228" s="77">
        <v>1243051000</v>
      </c>
      <c r="D228" s="77">
        <v>870051000</v>
      </c>
      <c r="E228" s="77">
        <v>556449470</v>
      </c>
      <c r="F228" s="27">
        <v>22308635.771417752</v>
      </c>
      <c r="G228" s="27">
        <v>72370838.563640937</v>
      </c>
      <c r="H228" s="27">
        <v>-26124473.541348003</v>
      </c>
      <c r="I228" s="27">
        <v>-1592816.2010510468</v>
      </c>
      <c r="J228" s="27">
        <v>-1244819.903575372</v>
      </c>
      <c r="K228" s="27">
        <v>-2926680.3230465101</v>
      </c>
      <c r="L228" s="27">
        <v>-1019824.7922420757</v>
      </c>
    </row>
    <row r="229" spans="1:12">
      <c r="A229" s="47">
        <v>45433.625</v>
      </c>
      <c r="B229" s="58">
        <v>3676.1610999999998</v>
      </c>
      <c r="C229" s="77">
        <v>1243051000</v>
      </c>
      <c r="D229" s="77">
        <v>870051000</v>
      </c>
      <c r="E229" s="77">
        <v>556449470</v>
      </c>
      <c r="F229" s="27">
        <v>22230852.007040471</v>
      </c>
      <c r="G229" s="27">
        <v>73078750.649446398</v>
      </c>
      <c r="H229" s="27">
        <v>-24976496.270700727</v>
      </c>
      <c r="I229" s="27">
        <v>-1640926.4737311034</v>
      </c>
      <c r="J229" s="27">
        <v>-343718.88257763284</v>
      </c>
      <c r="K229" s="27">
        <v>-2992259.0054447642</v>
      </c>
      <c r="L229" s="27">
        <v>-1068748.2279614767</v>
      </c>
    </row>
    <row r="230" spans="1:12">
      <c r="A230" s="47">
        <v>45434.625</v>
      </c>
      <c r="B230" s="58">
        <v>3684.451</v>
      </c>
      <c r="C230" s="77">
        <v>1243051000</v>
      </c>
      <c r="D230" s="77">
        <v>870051000</v>
      </c>
      <c r="E230" s="77">
        <v>556449470</v>
      </c>
      <c r="F230" s="27">
        <v>22556181.383663137</v>
      </c>
      <c r="G230" s="27">
        <v>63273858.637878202</v>
      </c>
      <c r="H230" s="27">
        <v>-15628742.65209345</v>
      </c>
      <c r="I230" s="27">
        <v>-1533371.1361556151</v>
      </c>
      <c r="J230" s="27">
        <v>145948.74484917425</v>
      </c>
      <c r="K230" s="27">
        <v>-2882976.7428509747</v>
      </c>
      <c r="L230" s="27">
        <v>-989311.88704937894</v>
      </c>
    </row>
    <row r="231" spans="1:12">
      <c r="A231" s="47">
        <v>45435.625</v>
      </c>
      <c r="B231" s="58">
        <v>3641.7917000000002</v>
      </c>
      <c r="C231" s="77">
        <v>1243051000</v>
      </c>
      <c r="D231" s="77">
        <v>720051000</v>
      </c>
      <c r="E231" s="77">
        <v>511449470</v>
      </c>
      <c r="F231" s="27">
        <v>21894887.071476322</v>
      </c>
      <c r="G231" s="27">
        <v>78135423.287172854</v>
      </c>
      <c r="H231" s="27">
        <v>-16507843.119494911</v>
      </c>
      <c r="I231" s="27">
        <v>-1793750.7227196055</v>
      </c>
      <c r="J231" s="27">
        <v>155904.18301159999</v>
      </c>
      <c r="K231" s="27">
        <v>-3183946.8659428973</v>
      </c>
      <c r="L231" s="27">
        <v>-1211941.5527858671</v>
      </c>
    </row>
    <row r="232" spans="1:12">
      <c r="A232" s="47">
        <v>45436.625</v>
      </c>
      <c r="B232" s="58">
        <v>3601.4753999999998</v>
      </c>
      <c r="C232" s="77">
        <v>1243051000</v>
      </c>
      <c r="D232" s="77">
        <v>650051000</v>
      </c>
      <c r="E232" s="77">
        <v>497449470</v>
      </c>
      <c r="F232" s="27">
        <v>21096173.522888415</v>
      </c>
      <c r="G232" s="27">
        <v>95576072.026986256</v>
      </c>
      <c r="H232" s="27">
        <v>-19321542.118281215</v>
      </c>
      <c r="I232" s="27">
        <v>-2067169.706840416</v>
      </c>
      <c r="J232" s="27">
        <v>171737.297079952</v>
      </c>
      <c r="K232" s="27">
        <v>-3504898.4505843977</v>
      </c>
      <c r="L232" s="27">
        <v>-1459269.3239323215</v>
      </c>
    </row>
    <row r="233" spans="1:12">
      <c r="A233" s="47">
        <v>45439.625</v>
      </c>
      <c r="B233" s="58">
        <v>3635.7078999999999</v>
      </c>
      <c r="C233" s="77">
        <v>1243051000</v>
      </c>
      <c r="D233" s="77">
        <v>650051000</v>
      </c>
      <c r="E233" s="77">
        <v>497449470</v>
      </c>
      <c r="F233" s="27">
        <v>22077430.863353133</v>
      </c>
      <c r="G233" s="27">
        <v>78046911.122255385</v>
      </c>
      <c r="H233" s="27">
        <v>-16428980.436441641</v>
      </c>
      <c r="I233" s="27">
        <v>-1788258.9845307027</v>
      </c>
      <c r="J233" s="27">
        <v>-293864.222871673</v>
      </c>
      <c r="K233" s="27">
        <v>-3160047.1600938179</v>
      </c>
      <c r="L233" s="27">
        <v>-1209496.7015676396</v>
      </c>
    </row>
    <row r="234" spans="1:12">
      <c r="A234" s="47">
        <v>45440.625</v>
      </c>
      <c r="B234" s="58">
        <v>3609.1723999999999</v>
      </c>
      <c r="C234" s="77">
        <v>1243051000</v>
      </c>
      <c r="D234" s="77">
        <v>640051000</v>
      </c>
      <c r="E234" s="77">
        <v>495449470</v>
      </c>
      <c r="F234" s="27">
        <v>21627896.570240308</v>
      </c>
      <c r="G234" s="27">
        <v>88868224.284230292</v>
      </c>
      <c r="H234" s="27">
        <v>-17865973.470811538</v>
      </c>
      <c r="I234" s="27">
        <v>-1962776.9728503954</v>
      </c>
      <c r="J234" s="27">
        <v>164802.91408421769</v>
      </c>
      <c r="K234" s="27">
        <v>-3363900.5715919659</v>
      </c>
      <c r="L234" s="27">
        <v>-1364970.5537955728</v>
      </c>
    </row>
    <row r="235" spans="1:12">
      <c r="A235" s="47">
        <v>45441.625</v>
      </c>
      <c r="B235" s="58">
        <v>3613.5223000000001</v>
      </c>
      <c r="C235" s="77">
        <v>1243051000</v>
      </c>
      <c r="D235" s="77">
        <v>640051000</v>
      </c>
      <c r="E235" s="77">
        <v>495449470</v>
      </c>
      <c r="F235" s="27">
        <v>21897015.530778758</v>
      </c>
      <c r="G235" s="27">
        <v>85708953.990817562</v>
      </c>
      <c r="H235" s="27">
        <v>-17761987.499975987</v>
      </c>
      <c r="I235" s="27">
        <v>-1906119.7341402802</v>
      </c>
      <c r="J235" s="27">
        <v>164094.81448937324</v>
      </c>
      <c r="K235" s="27">
        <v>-3286833.4267429477</v>
      </c>
      <c r="L235" s="27">
        <v>-1315522.7839525761</v>
      </c>
    </row>
    <row r="236" spans="1:12">
      <c r="A236" s="47">
        <v>45442.625</v>
      </c>
      <c r="B236" s="58">
        <v>3594.3121000000001</v>
      </c>
      <c r="C236" s="77">
        <v>1243051000</v>
      </c>
      <c r="D236" s="77">
        <v>640051000</v>
      </c>
      <c r="E236" s="77">
        <v>495449470</v>
      </c>
      <c r="F236" s="27">
        <v>21586578.948003992</v>
      </c>
      <c r="G236" s="27">
        <v>93869766.933976308</v>
      </c>
      <c r="H236" s="27">
        <v>-18846330.061184485</v>
      </c>
      <c r="I236" s="27">
        <v>-2034193.6753545443</v>
      </c>
      <c r="J236" s="27">
        <v>170072.08640968928</v>
      </c>
      <c r="K236" s="27">
        <v>-3437408.6242430131</v>
      </c>
      <c r="L236" s="27">
        <v>-1431789.7550297508</v>
      </c>
    </row>
    <row r="237" spans="1:12">
      <c r="A237" s="47">
        <v>45443.625</v>
      </c>
      <c r="B237" s="58">
        <v>3579.9247</v>
      </c>
      <c r="C237" s="77">
        <v>1243051000</v>
      </c>
      <c r="D237" s="77">
        <v>640051000</v>
      </c>
      <c r="E237" s="77">
        <v>495449470</v>
      </c>
      <c r="F237" s="27">
        <v>21370312.166256029</v>
      </c>
      <c r="G237" s="27">
        <v>100156155.67602375</v>
      </c>
      <c r="H237" s="27">
        <v>-19676906.281141419</v>
      </c>
      <c r="I237" s="27">
        <v>-2128937.8127882094</v>
      </c>
      <c r="J237" s="27">
        <v>175640.70693750674</v>
      </c>
      <c r="K237" s="27">
        <v>-3549890.4434529841</v>
      </c>
      <c r="L237" s="27">
        <v>-1520468.1759012861</v>
      </c>
    </row>
    <row r="238" spans="1:12">
      <c r="A238" s="47">
        <v>45446.625</v>
      </c>
      <c r="B238" s="58">
        <v>3588.7483000000002</v>
      </c>
      <c r="C238" s="77">
        <v>1243051000</v>
      </c>
      <c r="D238" s="77">
        <v>640051000</v>
      </c>
      <c r="E238" s="77">
        <v>495449470</v>
      </c>
      <c r="F238" s="27">
        <v>21784153.439320438</v>
      </c>
      <c r="G238" s="27">
        <v>94536197.673691988</v>
      </c>
      <c r="H238" s="27">
        <v>-19442125.975915343</v>
      </c>
      <c r="I238" s="27">
        <v>-2034195.8625481881</v>
      </c>
      <c r="J238" s="27">
        <v>174038.5043718185</v>
      </c>
      <c r="K238" s="27">
        <v>-3425983.0197056187</v>
      </c>
      <c r="L238" s="27">
        <v>-1434313.1643862145</v>
      </c>
    </row>
    <row r="239" spans="1:12">
      <c r="A239" s="47">
        <v>45447.625</v>
      </c>
      <c r="B239" s="58">
        <v>3615.6714000000002</v>
      </c>
      <c r="C239" s="77">
        <v>1243051000</v>
      </c>
      <c r="D239" s="77">
        <v>640051000</v>
      </c>
      <c r="E239" s="77">
        <v>495449470</v>
      </c>
      <c r="F239" s="27">
        <v>22604615.38978764</v>
      </c>
      <c r="G239" s="27">
        <v>79933608.57868813</v>
      </c>
      <c r="H239" s="27">
        <v>-18237834.550519634</v>
      </c>
      <c r="I239" s="27">
        <v>-1788033.9912223569</v>
      </c>
      <c r="J239" s="27">
        <v>166293.69334033297</v>
      </c>
      <c r="K239" s="27">
        <v>-3110304.6504621245</v>
      </c>
      <c r="L239" s="27">
        <v>-1217284.2273646633</v>
      </c>
    </row>
    <row r="240" spans="1:12">
      <c r="A240" s="47">
        <v>45448.625</v>
      </c>
      <c r="B240" s="58">
        <v>3594.7936</v>
      </c>
      <c r="C240" s="77">
        <v>1243051000</v>
      </c>
      <c r="D240" s="77">
        <v>640051000</v>
      </c>
      <c r="E240" s="77">
        <v>495449470</v>
      </c>
      <c r="F240" s="27">
        <v>22285877.016467895</v>
      </c>
      <c r="G240" s="27">
        <v>89191339.513851717</v>
      </c>
      <c r="H240" s="27">
        <v>-19592848.200355709</v>
      </c>
      <c r="I240" s="27">
        <v>-1935829.7445817527</v>
      </c>
      <c r="J240" s="27">
        <v>174448.70245243987</v>
      </c>
      <c r="K240" s="27">
        <v>-3291491.0595814548</v>
      </c>
      <c r="L240" s="27">
        <v>-1348205.4013903909</v>
      </c>
    </row>
    <row r="241" spans="1:12">
      <c r="A241" s="47">
        <v>45449.625</v>
      </c>
      <c r="B241" s="58">
        <v>3592.2453999999998</v>
      </c>
      <c r="C241" s="77">
        <v>1258051000</v>
      </c>
      <c r="D241" s="77">
        <v>655051000</v>
      </c>
      <c r="E241" s="77">
        <v>510449470</v>
      </c>
      <c r="F241" s="27">
        <v>22397433.484080613</v>
      </c>
      <c r="G241" s="27">
        <v>91706705.297217324</v>
      </c>
      <c r="H241" s="27">
        <v>-20387727.091762748</v>
      </c>
      <c r="I241" s="27">
        <v>-1992837.610070532</v>
      </c>
      <c r="J241" s="27">
        <v>179461.90876294041</v>
      </c>
      <c r="K241" s="27">
        <v>-3422979.2242223942</v>
      </c>
      <c r="L241" s="27">
        <v>-1387649.9711246153</v>
      </c>
    </row>
    <row r="242" spans="1:12">
      <c r="A242" s="47">
        <v>45450.625</v>
      </c>
      <c r="B242" s="58">
        <v>3574.1143000000002</v>
      </c>
      <c r="C242" s="77">
        <v>1258051000</v>
      </c>
      <c r="D242" s="77">
        <v>655051000</v>
      </c>
      <c r="E242" s="77">
        <v>510449470</v>
      </c>
      <c r="F242" s="27">
        <v>22089276.122946251</v>
      </c>
      <c r="G242" s="27">
        <v>100798087.36359769</v>
      </c>
      <c r="H242" s="27">
        <v>-21522369.499864653</v>
      </c>
      <c r="I242" s="27">
        <v>-2132940.2939771106</v>
      </c>
      <c r="J242" s="27">
        <v>186963.23595523991</v>
      </c>
      <c r="K242" s="27">
        <v>-3605342.020764248</v>
      </c>
      <c r="L242" s="27">
        <v>-1516236.2613416987</v>
      </c>
    </row>
    <row r="243" spans="1:12">
      <c r="A243" s="47">
        <v>45454.625</v>
      </c>
      <c r="B243" s="58">
        <v>3542.8771000000002</v>
      </c>
      <c r="C243" s="77">
        <v>1258051000</v>
      </c>
      <c r="D243" s="77">
        <v>655051000</v>
      </c>
      <c r="E243" s="77">
        <v>510449470</v>
      </c>
      <c r="F243" s="27">
        <v>21319083.783043027</v>
      </c>
      <c r="G243" s="27">
        <v>118541599.89400467</v>
      </c>
      <c r="H243" s="27">
        <v>-22776678.055915177</v>
      </c>
      <c r="I243" s="27">
        <v>-2410835.0743400361</v>
      </c>
      <c r="J243" s="27">
        <v>194965.91643069763</v>
      </c>
      <c r="K243" s="27">
        <v>-3969243.7182288254</v>
      </c>
      <c r="L243" s="27">
        <v>-1775188.243081782</v>
      </c>
    </row>
    <row r="244" spans="1:12">
      <c r="A244" s="47">
        <v>45455.625</v>
      </c>
      <c r="B244" s="58">
        <v>3544.1224999999999</v>
      </c>
      <c r="C244" s="77">
        <v>1258051000</v>
      </c>
      <c r="D244" s="77">
        <v>655051000</v>
      </c>
      <c r="E244" s="77">
        <v>510449470</v>
      </c>
      <c r="F244" s="27">
        <v>21555377.974788383</v>
      </c>
      <c r="G244" s="27">
        <v>117232223.90299325</v>
      </c>
      <c r="H244" s="27">
        <v>-22991390.217309639</v>
      </c>
      <c r="I244" s="27">
        <v>-2388811.725482781</v>
      </c>
      <c r="J244" s="27">
        <v>195729.0276256034</v>
      </c>
      <c r="K244" s="27">
        <v>-3944059.8339291885</v>
      </c>
      <c r="L244" s="27">
        <v>-1752014.7261675126</v>
      </c>
    </row>
    <row r="245" spans="1:12">
      <c r="A245" s="47">
        <v>45456.625</v>
      </c>
      <c r="B245" s="58">
        <v>3526.1306</v>
      </c>
      <c r="C245" s="77">
        <v>1258051000</v>
      </c>
      <c r="D245" s="77">
        <v>655051000</v>
      </c>
      <c r="E245" s="77">
        <v>510449470</v>
      </c>
      <c r="F245" s="27">
        <v>21128371.375496149</v>
      </c>
      <c r="G245" s="27">
        <v>128026949.78259464</v>
      </c>
      <c r="H245" s="27">
        <v>-23213657.651123397</v>
      </c>
      <c r="I245" s="27">
        <v>-2558068.9571424196</v>
      </c>
      <c r="J245" s="27">
        <v>194673.08087359299</v>
      </c>
      <c r="K245" s="27">
        <v>-4170565.9077484617</v>
      </c>
      <c r="L245" s="27">
        <v>-1912043.4202510787</v>
      </c>
    </row>
    <row r="246" spans="1:12">
      <c r="A246" s="47">
        <v>45457.625</v>
      </c>
      <c r="B246" s="58">
        <v>3541.5331000000001</v>
      </c>
      <c r="C246" s="77">
        <v>1358051000</v>
      </c>
      <c r="D246" s="77">
        <v>755051000</v>
      </c>
      <c r="E246" s="77">
        <v>610449470</v>
      </c>
      <c r="F246" s="27">
        <v>21861252.18216778</v>
      </c>
      <c r="G246" s="27">
        <v>124745565.40940475</v>
      </c>
      <c r="H246" s="27">
        <v>-24012454.606349085</v>
      </c>
      <c r="I246" s="27">
        <v>-2406321.5384621327</v>
      </c>
      <c r="J246" s="27">
        <v>206350.08705891747</v>
      </c>
      <c r="K246" s="27">
        <v>-4235758.678025363</v>
      </c>
      <c r="L246" s="27">
        <v>-1784568.784444317</v>
      </c>
    </row>
    <row r="247" spans="1:12">
      <c r="A247" s="47">
        <v>45460.625</v>
      </c>
      <c r="B247" s="58">
        <v>3536.1986000000002</v>
      </c>
      <c r="C247" s="77">
        <v>1358051000</v>
      </c>
      <c r="D247" s="77">
        <v>755051000</v>
      </c>
      <c r="E247" s="77">
        <v>610449470</v>
      </c>
      <c r="F247" s="27">
        <v>21876388.049072437</v>
      </c>
      <c r="G247" s="27">
        <v>128175769.19074172</v>
      </c>
      <c r="H247" s="27">
        <v>-23067889.866044234</v>
      </c>
      <c r="I247" s="27">
        <v>-2468322.5832726653</v>
      </c>
      <c r="J247" s="27">
        <v>205061.19524542408</v>
      </c>
      <c r="K247" s="27">
        <v>-4339751.2303986102</v>
      </c>
      <c r="L247" s="27">
        <v>-1839568.8689314313</v>
      </c>
    </row>
    <row r="248" spans="1:12">
      <c r="A248" s="47">
        <v>45461.625</v>
      </c>
      <c r="B248" s="58">
        <v>3545.5902000000001</v>
      </c>
      <c r="C248" s="77">
        <v>1358051000</v>
      </c>
      <c r="D248" s="77">
        <v>755051000</v>
      </c>
      <c r="E248" s="77">
        <v>610449470</v>
      </c>
      <c r="F248" s="27">
        <v>22411348.078257561</v>
      </c>
      <c r="G248" s="27">
        <v>121553959.54948236</v>
      </c>
      <c r="H248" s="27">
        <v>-22898346.082986441</v>
      </c>
      <c r="I248" s="27">
        <v>-2387938.9188742079</v>
      </c>
      <c r="J248" s="27">
        <v>-964102.77926269372</v>
      </c>
      <c r="K248" s="27">
        <v>-4243991.1644883724</v>
      </c>
      <c r="L248" s="27">
        <v>-1754298.8753868551</v>
      </c>
    </row>
    <row r="249" spans="1:12">
      <c r="A249" s="47">
        <v>45462.625</v>
      </c>
      <c r="B249" s="58">
        <v>3528.7489999999998</v>
      </c>
      <c r="C249" s="77">
        <v>1358051000</v>
      </c>
      <c r="D249" s="77">
        <v>755051000</v>
      </c>
      <c r="E249" s="77">
        <v>610449470</v>
      </c>
      <c r="F249" s="27">
        <v>22016052.887636524</v>
      </c>
      <c r="G249" s="27">
        <v>131270892.18889949</v>
      </c>
      <c r="H249" s="27">
        <v>-23602458.803708553</v>
      </c>
      <c r="I249" s="27">
        <v>-2520335.9821561007</v>
      </c>
      <c r="J249" s="27">
        <v>208980.32233141718</v>
      </c>
      <c r="K249" s="27">
        <v>-4394107.5587116331</v>
      </c>
      <c r="L249" s="27">
        <v>-1883493.5300285209</v>
      </c>
    </row>
    <row r="250" spans="1:12">
      <c r="A250" s="47">
        <v>45463.625</v>
      </c>
      <c r="B250" s="58">
        <v>3503.2817</v>
      </c>
      <c r="C250" s="77">
        <v>1358051000</v>
      </c>
      <c r="D250" s="77">
        <v>755051000</v>
      </c>
      <c r="E250" s="77">
        <v>610449470</v>
      </c>
      <c r="F250" s="27">
        <v>21220073.053940345</v>
      </c>
      <c r="G250" s="27">
        <v>147053289.1841751</v>
      </c>
      <c r="H250" s="27">
        <v>-24307467.794976946</v>
      </c>
      <c r="I250" s="27">
        <v>-2737926.7746158564</v>
      </c>
      <c r="J250" s="27">
        <v>-58455.853273250876</v>
      </c>
      <c r="K250" s="27">
        <v>-4642998.2119034547</v>
      </c>
      <c r="L250" s="27">
        <v>-2099746.7506264364</v>
      </c>
    </row>
    <row r="251" spans="1:12">
      <c r="A251" s="47">
        <v>45464.625</v>
      </c>
      <c r="B251" s="58">
        <v>3495.6197999999999</v>
      </c>
      <c r="C251" s="77">
        <v>1358051000</v>
      </c>
      <c r="D251" s="77">
        <v>755051000</v>
      </c>
      <c r="E251" s="77">
        <v>610449470</v>
      </c>
      <c r="F251" s="27">
        <v>21106929.015538283</v>
      </c>
      <c r="G251" s="27">
        <v>151644140.49862328</v>
      </c>
      <c r="H251" s="27">
        <v>-24420002.045209825</v>
      </c>
      <c r="I251" s="27">
        <v>-2798497.2092778217</v>
      </c>
      <c r="J251" s="27">
        <v>-308386.69100454991</v>
      </c>
      <c r="K251" s="27">
        <v>-4702668.8776918389</v>
      </c>
      <c r="L251" s="27">
        <v>-2159456.5899888524</v>
      </c>
    </row>
    <row r="252" spans="1:12">
      <c r="A252" s="47">
        <v>45467.625</v>
      </c>
      <c r="B252" s="58">
        <v>3476.8101999999999</v>
      </c>
      <c r="C252" s="77">
        <v>1358051000</v>
      </c>
      <c r="D252" s="77">
        <v>755051000</v>
      </c>
      <c r="E252" s="77">
        <v>610449470</v>
      </c>
      <c r="F252" s="27">
        <v>20471473.012747541</v>
      </c>
      <c r="G252" s="27">
        <v>163706107.92568427</v>
      </c>
      <c r="H252" s="27">
        <v>-24540131.733042181</v>
      </c>
      <c r="I252" s="27">
        <v>-2962859.2578526721</v>
      </c>
      <c r="J252" s="27">
        <v>216109.66404480286</v>
      </c>
      <c r="K252" s="27">
        <v>-4885414.7326966897</v>
      </c>
      <c r="L252" s="27">
        <v>-2327421.1648763143</v>
      </c>
    </row>
    <row r="253" spans="1:12">
      <c r="A253" s="47">
        <v>45468.625</v>
      </c>
      <c r="B253" s="58">
        <v>3457.9023000000002</v>
      </c>
      <c r="C253" s="77">
        <v>1358051000</v>
      </c>
      <c r="D253" s="77">
        <v>755051000</v>
      </c>
      <c r="E253" s="77">
        <v>610449470</v>
      </c>
      <c r="F253" s="27">
        <v>19762761.104546726</v>
      </c>
      <c r="G253" s="27">
        <v>175846699.19483873</v>
      </c>
      <c r="H253" s="27">
        <v>-24498998.698260181</v>
      </c>
      <c r="I253" s="27">
        <v>-3127065.8150694491</v>
      </c>
      <c r="J253" s="27">
        <v>217284.59177422841</v>
      </c>
      <c r="K253" s="27">
        <v>-5068384.273141494</v>
      </c>
      <c r="L253" s="27">
        <v>-2499129.0615111855</v>
      </c>
    </row>
    <row r="254" spans="1:12">
      <c r="A254" s="47">
        <v>45469.625</v>
      </c>
      <c r="B254" s="58">
        <v>3480.2647999999999</v>
      </c>
      <c r="C254" s="77">
        <v>1358051000</v>
      </c>
      <c r="D254" s="77">
        <v>755051000</v>
      </c>
      <c r="E254" s="77">
        <v>610449470</v>
      </c>
      <c r="F254" s="27">
        <v>21064026.751137711</v>
      </c>
      <c r="G254" s="27">
        <v>160924821.87650427</v>
      </c>
      <c r="H254" s="27">
        <v>-24247131.160117593</v>
      </c>
      <c r="I254" s="27">
        <v>-2932736.3081223364</v>
      </c>
      <c r="J254" s="27">
        <v>-236583.20554672062</v>
      </c>
      <c r="K254" s="27">
        <v>-4810103.8122506822</v>
      </c>
      <c r="L254" s="27">
        <v>-2281751.2453210796</v>
      </c>
    </row>
    <row r="255" spans="1:12">
      <c r="A255" s="47">
        <v>45470.625</v>
      </c>
      <c r="B255" s="58">
        <v>3454.1174999999998</v>
      </c>
      <c r="C255" s="77">
        <v>1408051000</v>
      </c>
      <c r="D255" s="77">
        <v>805051000</v>
      </c>
      <c r="E255" s="77">
        <v>660449470</v>
      </c>
      <c r="F255" s="27">
        <v>20002668.437101789</v>
      </c>
      <c r="G255" s="27">
        <v>178027878.57659963</v>
      </c>
      <c r="H255" s="27">
        <v>-24093902.321915798</v>
      </c>
      <c r="I255" s="27">
        <v>-3168946.0258260011</v>
      </c>
      <c r="J255" s="27">
        <v>221444.94464093336</v>
      </c>
      <c r="K255" s="27">
        <v>-5456272.8712720368</v>
      </c>
      <c r="L255" s="27">
        <v>-2528152.7963025644</v>
      </c>
    </row>
    <row r="256" spans="1:12">
      <c r="A256" s="47">
        <v>45471.625</v>
      </c>
      <c r="B256" s="58">
        <v>3461.6570000000002</v>
      </c>
      <c r="C256" s="77">
        <v>1408051000</v>
      </c>
      <c r="D256" s="77">
        <v>805051000</v>
      </c>
      <c r="E256" s="77">
        <v>660449470</v>
      </c>
      <c r="F256" s="27">
        <v>20603460.863787074</v>
      </c>
      <c r="G256" s="27">
        <v>172374161.03818622</v>
      </c>
      <c r="H256" s="27">
        <v>-23740390.543022782</v>
      </c>
      <c r="I256" s="27">
        <v>-3116219.0877910629</v>
      </c>
      <c r="J256" s="27">
        <v>220508.42997614719</v>
      </c>
      <c r="K256" s="27">
        <v>-5355585.2503785044</v>
      </c>
      <c r="L256" s="27">
        <v>-2454547.768911032</v>
      </c>
    </row>
    <row r="257" spans="1:12">
      <c r="A257" s="47">
        <v>45474.625</v>
      </c>
      <c r="B257" s="58">
        <v>3478.1826999999998</v>
      </c>
      <c r="C257" s="77">
        <v>1408051000</v>
      </c>
      <c r="D257" s="77">
        <v>805051000</v>
      </c>
      <c r="E257" s="77">
        <v>660449470</v>
      </c>
      <c r="F257" s="27">
        <v>21613357.028594777</v>
      </c>
      <c r="G257" s="27">
        <v>160178408.45269346</v>
      </c>
      <c r="H257" s="27">
        <v>-24599724.3287412</v>
      </c>
      <c r="I257" s="27">
        <v>-2989162.2825457961</v>
      </c>
      <c r="J257" s="27">
        <v>221700.60739699358</v>
      </c>
      <c r="K257" s="27">
        <v>-5150972.4449880319</v>
      </c>
      <c r="L257" s="27">
        <v>-2300142.0279620695</v>
      </c>
    </row>
    <row r="258" spans="1:12">
      <c r="A258" s="47">
        <v>45475.625</v>
      </c>
      <c r="B258" s="58">
        <v>3471.7856999999999</v>
      </c>
      <c r="C258" s="77">
        <v>1408051000</v>
      </c>
      <c r="D258" s="77">
        <v>805051000</v>
      </c>
      <c r="E258" s="77">
        <v>660449470</v>
      </c>
      <c r="F258" s="27">
        <v>21537289.863224026</v>
      </c>
      <c r="G258" s="27">
        <v>163862275.16166639</v>
      </c>
      <c r="H258" s="27">
        <v>-24849572.869936377</v>
      </c>
      <c r="I258" s="27">
        <v>-3029465.8636113205</v>
      </c>
      <c r="J258" s="27">
        <v>224218.32359505128</v>
      </c>
      <c r="K258" s="27">
        <v>-5203670.8046859009</v>
      </c>
      <c r="L258" s="27">
        <v>-2344402.0817386867</v>
      </c>
    </row>
    <row r="259" spans="1:12">
      <c r="A259" s="47">
        <v>45476.625</v>
      </c>
      <c r="B259" s="58">
        <v>3463.4141</v>
      </c>
      <c r="C259" s="77">
        <v>1423051000</v>
      </c>
      <c r="D259" s="77">
        <v>820051000</v>
      </c>
      <c r="E259" s="77">
        <v>675449470</v>
      </c>
      <c r="F259" s="27">
        <v>21360797.542800389</v>
      </c>
      <c r="G259" s="27">
        <v>169457149.20244491</v>
      </c>
      <c r="H259" s="27">
        <v>-25138761.657710884</v>
      </c>
      <c r="I259" s="27">
        <v>-3087710.5645002676</v>
      </c>
      <c r="J259" s="27">
        <v>226830.21483351535</v>
      </c>
      <c r="K259" s="27">
        <v>-5339228.1579047553</v>
      </c>
      <c r="L259" s="27">
        <v>-2409297.0188510497</v>
      </c>
    </row>
    <row r="260" spans="1:12">
      <c r="A260" s="47">
        <v>45477.625</v>
      </c>
      <c r="B260" s="58">
        <v>3445.8128000000002</v>
      </c>
      <c r="C260" s="77">
        <v>1443051000</v>
      </c>
      <c r="D260" s="77">
        <v>840051000</v>
      </c>
      <c r="E260" s="77">
        <v>695449470</v>
      </c>
      <c r="F260" s="27">
        <v>20695971.343091175</v>
      </c>
      <c r="G260" s="27">
        <v>186189560.24557307</v>
      </c>
      <c r="H260" s="27">
        <v>-26729730.03001086</v>
      </c>
      <c r="I260" s="27">
        <v>-3283306.702889069</v>
      </c>
      <c r="J260" s="27">
        <v>236690.45541119299</v>
      </c>
      <c r="K260" s="27">
        <v>-5602761.3044145489</v>
      </c>
      <c r="L260" s="27">
        <v>-2624842.5359692364</v>
      </c>
    </row>
    <row r="261" spans="1:12">
      <c r="A261" s="47">
        <v>45478.625</v>
      </c>
      <c r="B261" s="58">
        <v>3431.0605</v>
      </c>
      <c r="C261" s="77">
        <v>1453051000</v>
      </c>
      <c r="D261" s="77">
        <v>850051000</v>
      </c>
      <c r="E261" s="77">
        <v>705449470</v>
      </c>
      <c r="F261" s="27">
        <v>20111890.988600712</v>
      </c>
      <c r="G261" s="27">
        <v>196875177.84623766</v>
      </c>
      <c r="H261" s="27">
        <v>-26944688.798747875</v>
      </c>
      <c r="I261" s="27">
        <v>-3393972.148010992</v>
      </c>
      <c r="J261" s="27">
        <v>240367.13252703846</v>
      </c>
      <c r="K261" s="27">
        <v>-5793361.2946315389</v>
      </c>
      <c r="L261" s="27">
        <v>-2757266.7235283474</v>
      </c>
    </row>
    <row r="262" spans="1:12">
      <c r="A262" s="47">
        <v>45481.625</v>
      </c>
      <c r="B262" s="58">
        <v>3401.7604000000001</v>
      </c>
      <c r="C262" s="77">
        <v>1453051000</v>
      </c>
      <c r="D262" s="77">
        <v>850051000</v>
      </c>
      <c r="E262" s="77">
        <v>705449470</v>
      </c>
      <c r="F262" s="27">
        <v>18574799.986125164</v>
      </c>
      <c r="G262" s="27">
        <v>217952240.94323656</v>
      </c>
      <c r="H262" s="27">
        <v>-27204022.48885338</v>
      </c>
      <c r="I262" s="27">
        <v>-3607990.921399673</v>
      </c>
      <c r="J262" s="27">
        <v>243131.73700214783</v>
      </c>
      <c r="K262" s="27">
        <v>-6093618.0025583059</v>
      </c>
      <c r="L262" s="27">
        <v>-3030219.6892266753</v>
      </c>
    </row>
    <row r="263" spans="1:12">
      <c r="A263" s="47">
        <v>45482.625</v>
      </c>
      <c r="B263" s="58">
        <v>3439.8110999999999</v>
      </c>
      <c r="C263" s="77">
        <v>1460051000</v>
      </c>
      <c r="D263" s="77">
        <v>857051000</v>
      </c>
      <c r="E263" s="77">
        <v>712449470</v>
      </c>
      <c r="F263" s="27">
        <v>21082531.444498863</v>
      </c>
      <c r="G263" s="27">
        <v>191414331.9487195</v>
      </c>
      <c r="H263" s="27">
        <v>-27360730.553908713</v>
      </c>
      <c r="I263" s="27">
        <v>-3331431.8398324624</v>
      </c>
      <c r="J263" s="27">
        <v>241262.28547870374</v>
      </c>
      <c r="K263" s="27">
        <v>-5692308.6639609719</v>
      </c>
      <c r="L263" s="27">
        <v>-2672456.4941161745</v>
      </c>
    </row>
    <row r="264" spans="1:12">
      <c r="A264" s="47">
        <v>45483.625</v>
      </c>
      <c r="B264" s="58">
        <v>3428.9657000000002</v>
      </c>
      <c r="C264" s="77">
        <v>1460051000</v>
      </c>
      <c r="D264" s="77">
        <v>857051000</v>
      </c>
      <c r="E264" s="77">
        <v>712449470</v>
      </c>
      <c r="F264" s="27">
        <v>20708368.799414299</v>
      </c>
      <c r="G264" s="27">
        <v>199088576.17539874</v>
      </c>
      <c r="H264" s="27">
        <v>-27438493.6207132</v>
      </c>
      <c r="I264" s="27">
        <v>-3414115.5550982184</v>
      </c>
      <c r="J264" s="27">
        <v>242428.28074461344</v>
      </c>
      <c r="K264" s="27">
        <v>-5802725.5893120226</v>
      </c>
      <c r="L264" s="27">
        <v>-2768768.2294930429</v>
      </c>
    </row>
    <row r="265" spans="1:12">
      <c r="A265" s="47">
        <v>45484.625</v>
      </c>
      <c r="B265" s="58">
        <v>3468.1689999999999</v>
      </c>
      <c r="C265" s="77">
        <v>1460051000</v>
      </c>
      <c r="D265" s="77">
        <v>857051000</v>
      </c>
      <c r="E265" s="77">
        <v>712449470</v>
      </c>
      <c r="F265" s="27">
        <v>23044720.438632589</v>
      </c>
      <c r="G265" s="27">
        <v>169861437.84299934</v>
      </c>
      <c r="H265" s="27">
        <v>-27101602.267282091</v>
      </c>
      <c r="I265" s="27">
        <v>-3080358.6228983607</v>
      </c>
      <c r="J265" s="27">
        <v>237501.29471723057</v>
      </c>
      <c r="K265" s="27">
        <v>-5326832.7808217043</v>
      </c>
      <c r="L265" s="27">
        <v>-2375193.2938143383</v>
      </c>
    </row>
    <row r="266" spans="1:12">
      <c r="A266" s="47">
        <v>45485.625</v>
      </c>
      <c r="B266" s="58">
        <v>3472.4014000000002</v>
      </c>
      <c r="C266" s="77">
        <v>1460051000</v>
      </c>
      <c r="D266" s="77">
        <v>857051000</v>
      </c>
      <c r="E266" s="77">
        <v>712449470</v>
      </c>
      <c r="F266" s="27">
        <v>23486822.854108628</v>
      </c>
      <c r="G266" s="27">
        <v>166520282.53386903</v>
      </c>
      <c r="H266" s="27">
        <v>-26858184.859104171</v>
      </c>
      <c r="I266" s="27">
        <v>-3037267.1373431506</v>
      </c>
      <c r="J266" s="27">
        <v>236241.46016239669</v>
      </c>
      <c r="K266" s="27">
        <v>-5265780.3981388221</v>
      </c>
      <c r="L266" s="27">
        <v>-2324954.3342080722</v>
      </c>
    </row>
    <row r="267" spans="1:12">
      <c r="A267" s="47">
        <v>45488.625</v>
      </c>
      <c r="B267" s="58">
        <v>3476.2467000000001</v>
      </c>
      <c r="C267" s="77">
        <v>1460051000</v>
      </c>
      <c r="D267" s="77">
        <v>857051000</v>
      </c>
      <c r="E267" s="77">
        <v>712449470</v>
      </c>
      <c r="F267" s="27">
        <v>23905210.497132249</v>
      </c>
      <c r="G267" s="27">
        <v>163509169.90355414</v>
      </c>
      <c r="H267" s="27">
        <v>-26339603.792725638</v>
      </c>
      <c r="I267" s="27">
        <v>-2997735.1395063684</v>
      </c>
      <c r="J267" s="27">
        <v>232479.06530182419</v>
      </c>
      <c r="K267" s="27">
        <v>-5212768.5658167051</v>
      </c>
      <c r="L267" s="27">
        <v>-2279132.9187928257</v>
      </c>
    </row>
    <row r="268" spans="1:12">
      <c r="A268" s="47">
        <v>45489.625</v>
      </c>
      <c r="B268" s="58">
        <v>3498.2827000000002</v>
      </c>
      <c r="C268" s="77">
        <v>1460051000</v>
      </c>
      <c r="D268" s="77">
        <v>857051000</v>
      </c>
      <c r="E268" s="77">
        <v>712449470</v>
      </c>
      <c r="F268" s="27">
        <v>25118321.306808662</v>
      </c>
      <c r="G268" s="27">
        <v>147992674.64391789</v>
      </c>
      <c r="H268" s="27">
        <v>-24749852.881098714</v>
      </c>
      <c r="I268" s="27">
        <v>-2787967.3216324337</v>
      </c>
      <c r="J268" s="27">
        <v>223981.43429803246</v>
      </c>
      <c r="K268" s="27">
        <v>-4931613.1287410222</v>
      </c>
      <c r="L268" s="27">
        <v>-2059987.8046264779</v>
      </c>
    </row>
    <row r="269" spans="1:12">
      <c r="A269" s="47">
        <v>45490.625</v>
      </c>
      <c r="B269" s="58">
        <v>3501.5835999999999</v>
      </c>
      <c r="C269" s="77">
        <v>1460051000</v>
      </c>
      <c r="D269" s="77">
        <v>857051000</v>
      </c>
      <c r="E269" s="77">
        <v>712449470</v>
      </c>
      <c r="F269" s="27">
        <v>25478476.234492984</v>
      </c>
      <c r="G269" s="27">
        <v>143494613.09244838</v>
      </c>
      <c r="H269" s="27">
        <v>-26311593.476675291</v>
      </c>
      <c r="I269" s="27">
        <v>-2754469.2466381392</v>
      </c>
      <c r="J269" s="27">
        <v>231689.82199780061</v>
      </c>
      <c r="K269" s="27">
        <v>-4898648.4478559894</v>
      </c>
      <c r="L269" s="27">
        <v>-2021811.7312653298</v>
      </c>
    </row>
    <row r="270" spans="1:12">
      <c r="A270" s="47">
        <v>45491.625</v>
      </c>
      <c r="B270" s="58">
        <v>3520.931</v>
      </c>
      <c r="C270" s="77">
        <v>1460051000</v>
      </c>
      <c r="D270" s="77">
        <v>857051000</v>
      </c>
      <c r="E270" s="77">
        <v>712449470</v>
      </c>
      <c r="F270" s="27">
        <v>26458792.461618889</v>
      </c>
      <c r="G270" s="27">
        <v>129343058.08388083</v>
      </c>
      <c r="H270" s="27">
        <v>-25589294.919015173</v>
      </c>
      <c r="I270" s="27">
        <v>-2557888.0208651498</v>
      </c>
      <c r="J270" s="27">
        <v>-941877.84937969095</v>
      </c>
      <c r="K270" s="27">
        <v>-4643654.8393049352</v>
      </c>
      <c r="L270" s="27">
        <v>-1830678.2036128556</v>
      </c>
    </row>
    <row r="271" spans="1:12">
      <c r="A271" s="47">
        <v>45492.625</v>
      </c>
      <c r="B271" s="58">
        <v>3539.0156000000002</v>
      </c>
      <c r="C271" s="77">
        <v>1460051000</v>
      </c>
      <c r="D271" s="77">
        <v>857051000</v>
      </c>
      <c r="E271" s="77">
        <v>712449470</v>
      </c>
      <c r="F271" s="27">
        <v>27310639.312058624</v>
      </c>
      <c r="G271" s="27">
        <v>116098380.110466</v>
      </c>
      <c r="H271" s="27">
        <v>-24968154.49531569</v>
      </c>
      <c r="I271" s="27">
        <v>-2362278.7905975538</v>
      </c>
      <c r="J271" s="27">
        <v>223249.70316002122</v>
      </c>
      <c r="K271" s="27">
        <v>-4395369.7200761419</v>
      </c>
      <c r="L271" s="27">
        <v>-1652446.4005735724</v>
      </c>
    </row>
    <row r="272" spans="1:12">
      <c r="A272" s="47">
        <v>45495.625</v>
      </c>
      <c r="B272" s="58">
        <v>3514.9249</v>
      </c>
      <c r="C272" s="77">
        <v>1460051000</v>
      </c>
      <c r="D272" s="77">
        <v>857051000</v>
      </c>
      <c r="E272" s="77">
        <v>712449470</v>
      </c>
      <c r="F272" s="27">
        <v>26691105.728168953</v>
      </c>
      <c r="G272" s="27">
        <v>131845058.20923163</v>
      </c>
      <c r="H272" s="27">
        <v>-26297217.099111158</v>
      </c>
      <c r="I272" s="27">
        <v>-2581670.0173386163</v>
      </c>
      <c r="J272" s="27">
        <v>-564419.44851324463</v>
      </c>
      <c r="K272" s="27">
        <v>-4650311.779206126</v>
      </c>
      <c r="L272" s="27">
        <v>-1853291.171343006</v>
      </c>
    </row>
    <row r="273" spans="1:12">
      <c r="A273" s="47">
        <v>45496.625</v>
      </c>
      <c r="B273" s="58">
        <v>3439.8779</v>
      </c>
      <c r="C273" s="77">
        <v>1510051000</v>
      </c>
      <c r="D273" s="77">
        <v>907051000</v>
      </c>
      <c r="E273" s="77">
        <v>712449470</v>
      </c>
      <c r="F273" s="27">
        <v>23432709.157028388</v>
      </c>
      <c r="G273" s="27">
        <v>211420764.62381002</v>
      </c>
      <c r="H273" s="27">
        <v>-32622777.620507225</v>
      </c>
      <c r="I273" s="27">
        <v>-3500105.3706977777</v>
      </c>
      <c r="J273" s="27">
        <v>257805.58935595347</v>
      </c>
      <c r="K273" s="27">
        <v>-5485532.0377024617</v>
      </c>
      <c r="L273" s="27">
        <v>-2901981.5291978307</v>
      </c>
    </row>
    <row r="274" spans="1:12">
      <c r="A274" s="47">
        <v>45497.625</v>
      </c>
      <c r="B274" s="58">
        <v>3418.1662999999999</v>
      </c>
      <c r="C274" s="77">
        <v>1510051000</v>
      </c>
      <c r="D274" s="77">
        <v>907051000</v>
      </c>
      <c r="E274" s="77">
        <v>712449470</v>
      </c>
      <c r="F274" s="27">
        <v>22293611.553238023</v>
      </c>
      <c r="G274" s="27">
        <v>230377645.99691668</v>
      </c>
      <c r="H274" s="27">
        <v>-32879842.001474097</v>
      </c>
      <c r="I274" s="27">
        <v>-3689113.7502922043</v>
      </c>
      <c r="J274" s="27">
        <v>260983.24229167943</v>
      </c>
      <c r="K274" s="27">
        <v>-5704561.9126768615</v>
      </c>
      <c r="L274" s="27">
        <v>-3139429.0074841394</v>
      </c>
    </row>
    <row r="275" spans="1:12">
      <c r="A275" s="47">
        <v>45498.625</v>
      </c>
      <c r="B275" s="58">
        <v>3399.2716</v>
      </c>
      <c r="C275" s="77">
        <v>1510051000</v>
      </c>
      <c r="D275" s="77">
        <v>907051000</v>
      </c>
      <c r="E275" s="77">
        <v>712449470</v>
      </c>
      <c r="F275" s="27">
        <v>21233247.441602591</v>
      </c>
      <c r="G275" s="27">
        <v>246965270.00917304</v>
      </c>
      <c r="H275" s="27">
        <v>-33029881.481797259</v>
      </c>
      <c r="I275" s="27">
        <v>-3838718.1931519844</v>
      </c>
      <c r="J275" s="27">
        <v>264265.72790323204</v>
      </c>
      <c r="K275" s="27">
        <v>-5886741.0276124272</v>
      </c>
      <c r="L275" s="27">
        <v>-3342775.9440605617</v>
      </c>
    </row>
    <row r="276" spans="1:12">
      <c r="A276" s="47">
        <v>45499.625</v>
      </c>
      <c r="B276" s="58">
        <v>3409.2930999999999</v>
      </c>
      <c r="C276" s="77">
        <v>1510051000</v>
      </c>
      <c r="D276" s="77">
        <v>907051000</v>
      </c>
      <c r="E276" s="77">
        <v>712449470</v>
      </c>
      <c r="F276" s="27">
        <v>22209811.812161643</v>
      </c>
      <c r="G276" s="27">
        <v>237574121.78544828</v>
      </c>
      <c r="H276" s="27">
        <v>-33258634.580483936</v>
      </c>
      <c r="I276" s="27">
        <v>-3759679.6579886684</v>
      </c>
      <c r="J276" s="27">
        <v>-185448.3528762396</v>
      </c>
      <c r="K276" s="27">
        <v>-5763571.0192568796</v>
      </c>
      <c r="L276" s="27">
        <v>-3219424.9259406924</v>
      </c>
    </row>
    <row r="277" spans="1:12">
      <c r="A277" s="47">
        <v>45502.625</v>
      </c>
      <c r="B277" s="58">
        <v>3390.7420000000002</v>
      </c>
      <c r="C277" s="77">
        <v>1510051000</v>
      </c>
      <c r="D277" s="77">
        <v>907051000</v>
      </c>
      <c r="E277" s="77">
        <v>712449470</v>
      </c>
      <c r="F277" s="27">
        <v>20683462.227210239</v>
      </c>
      <c r="G277" s="27">
        <v>254164872.75978845</v>
      </c>
      <c r="H277" s="27">
        <v>-33372744.725968082</v>
      </c>
      <c r="I277" s="27">
        <v>-3895134.4566119434</v>
      </c>
      <c r="J277" s="27">
        <v>265365.43761609466</v>
      </c>
      <c r="K277" s="27">
        <v>-5941758.7637287192</v>
      </c>
      <c r="L277" s="27">
        <v>-3416047.2726044473</v>
      </c>
    </row>
    <row r="278" spans="1:12">
      <c r="A278" s="47">
        <v>45503.625</v>
      </c>
      <c r="B278" s="58">
        <v>3369.38</v>
      </c>
      <c r="C278" s="77">
        <v>1510051000</v>
      </c>
      <c r="D278" s="77">
        <v>907051000</v>
      </c>
      <c r="E278" s="77">
        <v>712449470</v>
      </c>
      <c r="F278" s="27">
        <v>19281765.678754672</v>
      </c>
      <c r="G278" s="27">
        <v>273378090.66345793</v>
      </c>
      <c r="H278" s="27">
        <v>-33133178.826603416</v>
      </c>
      <c r="I278" s="27">
        <v>-4037715.0527333324</v>
      </c>
      <c r="J278" s="27">
        <v>267060.63502951071</v>
      </c>
      <c r="K278" s="27">
        <v>-6139811.8457044382</v>
      </c>
      <c r="L278" s="27">
        <v>-3644993.0525839878</v>
      </c>
    </row>
    <row r="279" spans="1:12">
      <c r="A279" s="47">
        <v>45504.625</v>
      </c>
      <c r="B279" s="58">
        <v>3442.0844000000002</v>
      </c>
      <c r="C279" s="77">
        <v>1510051000</v>
      </c>
      <c r="D279" s="77">
        <v>907051000</v>
      </c>
      <c r="E279" s="77">
        <v>712449470</v>
      </c>
      <c r="F279" s="27">
        <v>24678845.490000002</v>
      </c>
      <c r="G279" s="27">
        <v>206340200.08919999</v>
      </c>
      <c r="H279" s="27">
        <v>-34009510.961999997</v>
      </c>
      <c r="I279" s="27">
        <v>-3468531</v>
      </c>
      <c r="J279" s="27">
        <v>264136</v>
      </c>
      <c r="K279" s="27">
        <v>-5338525</v>
      </c>
      <c r="L279" s="27">
        <v>-2813283</v>
      </c>
    </row>
    <row r="280" spans="1:12">
      <c r="A280" s="47">
        <v>45505.625</v>
      </c>
      <c r="B280" s="58">
        <v>3419.2665999999999</v>
      </c>
      <c r="C280" s="77">
        <v>1510051000</v>
      </c>
      <c r="D280" s="77">
        <v>907051000</v>
      </c>
      <c r="E280" s="77">
        <v>712449470</v>
      </c>
      <c r="F280" s="27">
        <v>23502165.490000002</v>
      </c>
      <c r="G280" s="27">
        <v>227347680.19319999</v>
      </c>
      <c r="H280" s="27">
        <v>-34348236.603</v>
      </c>
      <c r="I280" s="27">
        <v>-3656264</v>
      </c>
      <c r="J280" s="27">
        <v>267122</v>
      </c>
      <c r="K280" s="27">
        <v>-5588548</v>
      </c>
      <c r="L280" s="27">
        <v>-3060837</v>
      </c>
    </row>
    <row r="281" spans="1:12">
      <c r="A281" s="47">
        <v>45506.625</v>
      </c>
      <c r="B281" s="58">
        <v>3384.3919000000001</v>
      </c>
      <c r="C281" s="77">
        <v>1510051000</v>
      </c>
      <c r="D281" s="77">
        <v>907051000</v>
      </c>
      <c r="E281" s="77">
        <v>712449470</v>
      </c>
      <c r="F281" s="27">
        <v>21271269.490000002</v>
      </c>
      <c r="G281" s="27">
        <v>259667399.47500002</v>
      </c>
      <c r="H281" s="27">
        <v>-33415107.660300005</v>
      </c>
      <c r="I281" s="27">
        <v>-3926195</v>
      </c>
      <c r="J281" s="27">
        <v>266484</v>
      </c>
      <c r="K281" s="27">
        <v>-5953524</v>
      </c>
      <c r="L281" s="27">
        <v>-3449182</v>
      </c>
    </row>
    <row r="282" spans="1:12">
      <c r="A282" s="47">
        <v>45509.625</v>
      </c>
      <c r="B282" s="58">
        <v>3343.3204999999998</v>
      </c>
      <c r="C282" s="77">
        <v>1510051000</v>
      </c>
      <c r="D282" s="77">
        <v>907051000</v>
      </c>
      <c r="E282" s="77">
        <v>712449470</v>
      </c>
      <c r="F282" s="27">
        <v>18141817.490000002</v>
      </c>
      <c r="G282" s="27">
        <v>296524734.44400007</v>
      </c>
      <c r="H282" s="27">
        <v>-32663567.736000005</v>
      </c>
      <c r="I282" s="27">
        <v>-4189879</v>
      </c>
      <c r="J282" s="27">
        <v>267127</v>
      </c>
      <c r="K282" s="27">
        <v>-6321941</v>
      </c>
      <c r="L282" s="27">
        <v>-3891506</v>
      </c>
    </row>
    <row r="283" spans="1:12">
      <c r="A283" s="47">
        <v>45510.625</v>
      </c>
      <c r="B283" s="58">
        <v>3342.9789000000001</v>
      </c>
      <c r="C283" s="77">
        <v>1510051000</v>
      </c>
      <c r="D283" s="77">
        <v>907051000</v>
      </c>
      <c r="E283" s="77">
        <v>712449470</v>
      </c>
      <c r="F283" s="27">
        <v>18378795</v>
      </c>
      <c r="G283" s="27">
        <v>296774209.14120001</v>
      </c>
      <c r="H283" s="27">
        <v>-32662232.251200002</v>
      </c>
      <c r="I283" s="27">
        <v>-4188605</v>
      </c>
      <c r="J283" s="27">
        <v>267812</v>
      </c>
      <c r="K283" s="27">
        <v>-6309940</v>
      </c>
      <c r="L283" s="27">
        <v>-3884416</v>
      </c>
    </row>
    <row r="284" spans="1:12">
      <c r="A284" s="47">
        <v>45511.625</v>
      </c>
      <c r="B284" s="58">
        <v>3341.489</v>
      </c>
      <c r="C284" s="77">
        <v>1510051000</v>
      </c>
      <c r="D284" s="77">
        <v>907051000</v>
      </c>
      <c r="E284" s="77">
        <v>712449470</v>
      </c>
      <c r="F284" s="27">
        <v>18514058</v>
      </c>
      <c r="G284" s="27">
        <v>298076523.79829997</v>
      </c>
      <c r="H284" s="27">
        <v>-32636657.211900003</v>
      </c>
      <c r="I284" s="27">
        <v>-4194001</v>
      </c>
      <c r="J284" s="27">
        <v>267840</v>
      </c>
      <c r="K284" s="27">
        <v>-6307644</v>
      </c>
      <c r="L284" s="27">
        <v>-3889881</v>
      </c>
    </row>
    <row r="285" spans="1:12">
      <c r="A285" s="47">
        <v>45512.625</v>
      </c>
      <c r="B285" s="58">
        <v>3342.9369000000002</v>
      </c>
      <c r="C285" s="77">
        <v>1510051000</v>
      </c>
      <c r="D285" s="77">
        <v>907051000</v>
      </c>
      <c r="E285" s="77">
        <v>712449470</v>
      </c>
      <c r="F285" s="27">
        <v>18910913</v>
      </c>
      <c r="G285" s="27">
        <v>296778503.62080002</v>
      </c>
      <c r="H285" s="27">
        <v>-32670847.821599998</v>
      </c>
      <c r="I285" s="27">
        <v>-4182865</v>
      </c>
      <c r="J285" s="27">
        <v>268195</v>
      </c>
      <c r="K285" s="27">
        <v>-6279841</v>
      </c>
      <c r="L285" s="27">
        <v>-3863442</v>
      </c>
    </row>
    <row r="286" spans="1:12">
      <c r="A286" s="47">
        <v>45513.625</v>
      </c>
      <c r="B286" s="58">
        <v>3331.6273999999999</v>
      </c>
      <c r="C286" s="77">
        <v>1510051000</v>
      </c>
      <c r="D286" s="77">
        <v>907051000</v>
      </c>
      <c r="E286" s="77">
        <v>712449470</v>
      </c>
      <c r="F286" s="27">
        <v>18156048</v>
      </c>
      <c r="G286" s="27">
        <v>306778879.46160001</v>
      </c>
      <c r="H286" s="27">
        <v>-32396407.785299998</v>
      </c>
      <c r="I286" s="27">
        <v>-4245402</v>
      </c>
      <c r="J286" s="27">
        <v>267715</v>
      </c>
      <c r="K286" s="27">
        <v>-6359031</v>
      </c>
      <c r="L286" s="27">
        <v>-3974525</v>
      </c>
    </row>
    <row r="287" spans="1:12">
      <c r="A287" s="47">
        <v>45516.625</v>
      </c>
      <c r="B287" s="58">
        <v>3325.8645000000001</v>
      </c>
      <c r="C287" s="77">
        <v>1510051000</v>
      </c>
      <c r="D287" s="77">
        <v>907051000</v>
      </c>
      <c r="E287" s="77">
        <v>712449470</v>
      </c>
      <c r="F287" s="27">
        <v>17887789</v>
      </c>
      <c r="G287" s="27">
        <v>311823696.22079998</v>
      </c>
      <c r="H287" s="27">
        <v>-32262543.732000001</v>
      </c>
      <c r="I287" s="27">
        <v>-4274075</v>
      </c>
      <c r="J287" s="27">
        <v>267090</v>
      </c>
      <c r="K287" s="27">
        <v>-6390025</v>
      </c>
      <c r="L287" s="27">
        <v>-4025232</v>
      </c>
    </row>
    <row r="288" spans="1:12">
      <c r="A288" s="47">
        <v>45517.625</v>
      </c>
      <c r="B288" s="58">
        <v>3334.3903</v>
      </c>
      <c r="C288" s="77">
        <v>1522091000</v>
      </c>
      <c r="D288" s="77">
        <v>919091000</v>
      </c>
      <c r="E288" s="77">
        <v>712449470</v>
      </c>
      <c r="F288" s="27">
        <v>18944299</v>
      </c>
      <c r="G288" s="27">
        <v>304011341.05500001</v>
      </c>
      <c r="H288" s="27">
        <v>-32479292.673</v>
      </c>
      <c r="I288" s="27">
        <v>-4224451</v>
      </c>
      <c r="J288" s="27">
        <v>267811</v>
      </c>
      <c r="K288" s="27">
        <v>-6303756</v>
      </c>
      <c r="L288" s="27">
        <v>-3920843</v>
      </c>
    </row>
    <row r="289" spans="1:12">
      <c r="A289" s="47">
        <v>45518.625</v>
      </c>
      <c r="B289" s="58">
        <v>3309.2388999999998</v>
      </c>
      <c r="C289" s="77">
        <v>1522091000</v>
      </c>
      <c r="D289" s="77">
        <v>919091000</v>
      </c>
      <c r="E289" s="77">
        <v>712449470</v>
      </c>
      <c r="F289" s="27">
        <v>16827223</v>
      </c>
      <c r="G289" s="27">
        <v>325988402.44679999</v>
      </c>
      <c r="H289" s="27">
        <v>-31875904.111199994</v>
      </c>
      <c r="I289" s="27">
        <v>-4354297</v>
      </c>
      <c r="J289" s="27">
        <v>267723</v>
      </c>
      <c r="K289" s="27">
        <v>-6488770</v>
      </c>
      <c r="L289" s="27">
        <v>-4177878</v>
      </c>
    </row>
    <row r="290" spans="1:12">
      <c r="A290" s="47">
        <v>45519.625</v>
      </c>
      <c r="B290" s="58">
        <v>3341.953</v>
      </c>
      <c r="C290" s="77">
        <v>1522091000</v>
      </c>
      <c r="D290" s="77">
        <v>919091000</v>
      </c>
      <c r="E290" s="77">
        <v>712449470</v>
      </c>
      <c r="F290" s="27">
        <v>20160855</v>
      </c>
      <c r="G290" s="27">
        <v>297301809.85650003</v>
      </c>
      <c r="H290" s="27">
        <v>-32611111.5693</v>
      </c>
      <c r="I290" s="27">
        <v>-4175713</v>
      </c>
      <c r="J290" s="27">
        <v>267743</v>
      </c>
      <c r="K290" s="27">
        <v>-6207921</v>
      </c>
      <c r="L290" s="27">
        <v>-3817816</v>
      </c>
    </row>
    <row r="291" spans="1:12">
      <c r="A291" s="47">
        <v>45520.625</v>
      </c>
      <c r="B291" s="58">
        <v>3345.634</v>
      </c>
      <c r="C291" s="77">
        <v>1522091000</v>
      </c>
      <c r="D291" s="77">
        <v>919091000</v>
      </c>
      <c r="E291" s="77">
        <v>712449470</v>
      </c>
      <c r="F291" s="27">
        <v>20754132</v>
      </c>
      <c r="G291" s="27">
        <v>294026025.639</v>
      </c>
      <c r="H291" s="27">
        <v>-32669112.319800001</v>
      </c>
      <c r="I291" s="27">
        <v>-4150833</v>
      </c>
      <c r="J291" s="27">
        <v>268036</v>
      </c>
      <c r="K291" s="27">
        <v>-6160510</v>
      </c>
      <c r="L291" s="27">
        <v>-3767498</v>
      </c>
    </row>
    <row r="292" spans="1:12">
      <c r="A292" s="47">
        <v>45523.625</v>
      </c>
      <c r="B292" s="58">
        <v>3356.9677000000001</v>
      </c>
      <c r="C292" s="77">
        <v>1522091000</v>
      </c>
      <c r="D292" s="77">
        <v>919091000</v>
      </c>
      <c r="E292" s="77">
        <v>712449470</v>
      </c>
      <c r="F292" s="27">
        <v>21999764</v>
      </c>
      <c r="G292" s="27">
        <v>283891674.92966992</v>
      </c>
      <c r="H292" s="27">
        <v>-32938898.844329998</v>
      </c>
      <c r="I292" s="27">
        <v>-4078177</v>
      </c>
      <c r="J292" s="27">
        <v>-900227</v>
      </c>
      <c r="K292" s="27">
        <v>-6044461</v>
      </c>
      <c r="L292" s="27">
        <v>-3634461</v>
      </c>
    </row>
    <row r="293" spans="1:12">
      <c r="A293" s="47">
        <v>45524.625</v>
      </c>
      <c r="B293" s="58">
        <v>3332.7033999999999</v>
      </c>
      <c r="C293" s="77">
        <v>1522091000</v>
      </c>
      <c r="D293" s="77">
        <v>919091000</v>
      </c>
      <c r="E293" s="77">
        <v>712449470</v>
      </c>
      <c r="F293" s="27">
        <v>20128515</v>
      </c>
      <c r="G293" s="27">
        <v>305491220.68409997</v>
      </c>
      <c r="H293" s="27">
        <v>-32339883.371399995</v>
      </c>
      <c r="I293" s="27">
        <v>-4222823</v>
      </c>
      <c r="J293" s="27">
        <v>-4931</v>
      </c>
      <c r="K293" s="27">
        <v>-6240547</v>
      </c>
      <c r="L293" s="27">
        <v>-3884982</v>
      </c>
    </row>
    <row r="294" spans="1:12">
      <c r="A294" s="47">
        <v>45525.625</v>
      </c>
      <c r="B294" s="58">
        <v>3321.6350000000002</v>
      </c>
      <c r="C294" s="77">
        <v>1522091000</v>
      </c>
      <c r="D294" s="77">
        <v>919091000</v>
      </c>
      <c r="E294" s="77">
        <v>712449470</v>
      </c>
      <c r="F294" s="27">
        <v>19364166</v>
      </c>
      <c r="G294" s="27">
        <v>315164036.39700001</v>
      </c>
      <c r="H294" s="27">
        <v>-32096959.005000003</v>
      </c>
      <c r="I294" s="27">
        <v>-4281100</v>
      </c>
      <c r="J294" s="27">
        <v>-256105</v>
      </c>
      <c r="K294" s="27">
        <v>-6316217</v>
      </c>
      <c r="L294" s="27">
        <v>-3991559</v>
      </c>
    </row>
    <row r="295" spans="1:12">
      <c r="A295" s="47">
        <v>45526.625</v>
      </c>
      <c r="B295" s="58">
        <v>3313.1356999999998</v>
      </c>
      <c r="C295" s="77">
        <v>1522091000</v>
      </c>
      <c r="D295" s="77">
        <v>919091000</v>
      </c>
      <c r="E295" s="77">
        <v>712449470</v>
      </c>
      <c r="F295" s="27">
        <v>18814131</v>
      </c>
      <c r="G295" s="27">
        <v>322568480.16750002</v>
      </c>
      <c r="H295" s="27">
        <v>-31818023.286000002</v>
      </c>
      <c r="I295" s="27">
        <v>-4322567</v>
      </c>
      <c r="J295" s="27">
        <v>266771</v>
      </c>
      <c r="K295" s="27">
        <v>-6368508</v>
      </c>
      <c r="L295" s="27">
        <v>-4070152</v>
      </c>
    </row>
    <row r="296" spans="1:12">
      <c r="A296" s="47">
        <v>45527.625</v>
      </c>
      <c r="B296" s="58">
        <v>3327.1905000000002</v>
      </c>
      <c r="C296" s="77">
        <v>1522091000</v>
      </c>
      <c r="D296" s="77">
        <v>919091000</v>
      </c>
      <c r="E296" s="77">
        <v>712449470</v>
      </c>
      <c r="F296" s="27">
        <v>20420264</v>
      </c>
      <c r="G296" s="27">
        <v>310400874.91799998</v>
      </c>
      <c r="H296" s="27">
        <v>-32116699.632000003</v>
      </c>
      <c r="I296" s="27">
        <v>-4246867</v>
      </c>
      <c r="J296" s="27">
        <v>267133</v>
      </c>
      <c r="K296" s="27">
        <v>-6242998</v>
      </c>
      <c r="L296" s="27">
        <v>-3911510</v>
      </c>
    </row>
    <row r="297" spans="1:12">
      <c r="A297" s="47">
        <v>45530.625</v>
      </c>
      <c r="B297" s="58">
        <v>3324.2231000000002</v>
      </c>
      <c r="C297" s="77">
        <v>1522091000</v>
      </c>
      <c r="D297" s="77">
        <v>919091000</v>
      </c>
      <c r="E297" s="77">
        <v>712449470</v>
      </c>
      <c r="F297" s="27">
        <v>20408834</v>
      </c>
      <c r="G297" s="27">
        <v>313040085.37620002</v>
      </c>
      <c r="H297" s="27">
        <v>-32013264.756899998</v>
      </c>
      <c r="I297" s="27">
        <v>-4261332</v>
      </c>
      <c r="J297" s="27">
        <v>-183384</v>
      </c>
      <c r="K297" s="27">
        <v>-6253080</v>
      </c>
      <c r="L297" s="27">
        <v>-3932059</v>
      </c>
    </row>
    <row r="298" spans="1:12">
      <c r="A298" s="47">
        <v>45531.625</v>
      </c>
      <c r="B298" s="58">
        <v>3305.3337999999999</v>
      </c>
      <c r="C298" s="77">
        <v>1538931000</v>
      </c>
      <c r="D298" s="77">
        <v>935931000</v>
      </c>
      <c r="E298" s="77">
        <v>712449470</v>
      </c>
      <c r="F298" s="27">
        <v>19294415</v>
      </c>
      <c r="G298" s="27">
        <v>328694543.25210005</v>
      </c>
      <c r="H298" s="27">
        <v>-31603280.412900001</v>
      </c>
      <c r="I298" s="27">
        <v>-4353575</v>
      </c>
      <c r="J298" s="27">
        <v>266511</v>
      </c>
      <c r="K298" s="27">
        <v>-6384278</v>
      </c>
      <c r="L298" s="27">
        <v>-4114268</v>
      </c>
    </row>
    <row r="299" spans="1:12">
      <c r="A299" s="47">
        <v>45532.625</v>
      </c>
      <c r="B299" s="58">
        <v>3286.4956000000002</v>
      </c>
      <c r="C299" s="77">
        <v>1638931000</v>
      </c>
      <c r="D299" s="77">
        <v>1035931000</v>
      </c>
      <c r="E299" s="77">
        <v>712449470</v>
      </c>
      <c r="F299" s="27">
        <v>17636492</v>
      </c>
      <c r="G299" s="27">
        <v>338176391.70599997</v>
      </c>
      <c r="H299" s="27">
        <v>-28951391.754000001</v>
      </c>
      <c r="I299" s="27">
        <v>-4386165</v>
      </c>
      <c r="J299" s="27">
        <v>256284</v>
      </c>
      <c r="K299" s="27">
        <v>-6512853</v>
      </c>
      <c r="L299" s="27">
        <v>-4286578</v>
      </c>
    </row>
    <row r="300" spans="1:12">
      <c r="A300" s="47">
        <v>45533.625</v>
      </c>
      <c r="B300" s="58">
        <v>3277.6812</v>
      </c>
      <c r="C300" s="77">
        <v>1638931000</v>
      </c>
      <c r="D300" s="77">
        <v>1035931000</v>
      </c>
      <c r="E300" s="77">
        <v>712449470</v>
      </c>
      <c r="F300" s="27">
        <v>16951313</v>
      </c>
      <c r="G300" s="27">
        <v>345199790.86229998</v>
      </c>
      <c r="H300" s="27">
        <v>-28617105.0429</v>
      </c>
      <c r="I300" s="27">
        <v>-4418823</v>
      </c>
      <c r="J300" s="27">
        <v>255815</v>
      </c>
      <c r="K300" s="27">
        <v>-6556370</v>
      </c>
      <c r="L300" s="27">
        <v>-4363861</v>
      </c>
    </row>
    <row r="301" spans="1:12">
      <c r="A301" s="47">
        <v>45534.625</v>
      </c>
      <c r="B301" s="58">
        <v>3321.4322999999999</v>
      </c>
      <c r="C301" s="77">
        <v>1638931000</v>
      </c>
      <c r="D301" s="77">
        <v>1035931000</v>
      </c>
      <c r="E301" s="77">
        <v>712449470</v>
      </c>
      <c r="F301" s="27">
        <v>21560235</v>
      </c>
      <c r="G301" s="27">
        <v>310795360.10639995</v>
      </c>
      <c r="H301" s="27">
        <v>-30156941.844000001</v>
      </c>
      <c r="I301" s="27">
        <v>-4232644</v>
      </c>
      <c r="J301" s="27">
        <v>258275</v>
      </c>
      <c r="K301" s="27">
        <v>-6225237</v>
      </c>
      <c r="L301" s="27">
        <v>-3907684</v>
      </c>
    </row>
    <row r="302" spans="1:12">
      <c r="A302" s="47">
        <v>45537.625</v>
      </c>
      <c r="B302" s="58">
        <v>3265.011</v>
      </c>
      <c r="C302" s="77">
        <v>1638931000</v>
      </c>
      <c r="D302" s="77">
        <v>1035931000</v>
      </c>
      <c r="E302" s="77">
        <v>712449470</v>
      </c>
      <c r="F302" s="27">
        <v>16106001</v>
      </c>
      <c r="G302" s="27">
        <v>355237441.31429994</v>
      </c>
      <c r="H302" s="27">
        <v>-28188145.967399996</v>
      </c>
      <c r="I302" s="27">
        <v>-4462445</v>
      </c>
      <c r="J302" s="27">
        <v>254543</v>
      </c>
      <c r="K302" s="27">
        <v>-6604622</v>
      </c>
      <c r="L302" s="27">
        <v>-4466794</v>
      </c>
    </row>
    <row r="303" spans="1:12">
      <c r="A303" s="47">
        <v>45538.625</v>
      </c>
      <c r="B303" s="58">
        <v>3273.4281999999998</v>
      </c>
      <c r="C303" s="77">
        <v>1638931000</v>
      </c>
      <c r="D303" s="77">
        <v>1035931000</v>
      </c>
      <c r="E303" s="77">
        <v>712449470</v>
      </c>
      <c r="F303" s="27">
        <v>17268096</v>
      </c>
      <c r="G303" s="27">
        <v>349038426.09839994</v>
      </c>
      <c r="H303" s="27">
        <v>-28461147.088799998</v>
      </c>
      <c r="I303" s="27">
        <v>-4435664</v>
      </c>
      <c r="J303" s="27">
        <v>255390</v>
      </c>
      <c r="K303" s="27">
        <v>-6534831</v>
      </c>
      <c r="L303" s="27">
        <v>-4371977</v>
      </c>
    </row>
    <row r="304" spans="1:12">
      <c r="A304" s="47">
        <v>45539.625</v>
      </c>
      <c r="B304" s="58">
        <v>3252.1649000000002</v>
      </c>
      <c r="C304" s="77">
        <v>1638931000</v>
      </c>
      <c r="D304" s="77">
        <v>1035931000</v>
      </c>
      <c r="E304" s="77">
        <v>712449470</v>
      </c>
      <c r="F304" s="27">
        <v>15194480</v>
      </c>
      <c r="G304" s="27">
        <v>365229399.77400005</v>
      </c>
      <c r="H304" s="27">
        <v>-27755268.441599999</v>
      </c>
      <c r="I304" s="27">
        <v>-4501874</v>
      </c>
      <c r="J304" s="27">
        <v>254517</v>
      </c>
      <c r="K304" s="27">
        <v>-6647907</v>
      </c>
      <c r="L304" s="27">
        <v>-4569092</v>
      </c>
    </row>
    <row r="305" spans="1:12">
      <c r="A305" s="47">
        <v>45540.625</v>
      </c>
      <c r="B305" s="58">
        <v>3257.7577999999999</v>
      </c>
      <c r="C305" s="77">
        <v>1638931000</v>
      </c>
      <c r="D305" s="77">
        <v>1035931000</v>
      </c>
      <c r="E305" s="77">
        <v>712449470</v>
      </c>
      <c r="F305" s="27">
        <v>16074176</v>
      </c>
      <c r="G305" s="27">
        <v>361262121.22530001</v>
      </c>
      <c r="H305" s="27">
        <v>-27981852.200099997</v>
      </c>
      <c r="I305" s="27">
        <v>-4486846</v>
      </c>
      <c r="J305" s="27">
        <v>255071</v>
      </c>
      <c r="K305" s="27">
        <v>-6597733</v>
      </c>
      <c r="L305" s="27">
        <v>-4502595</v>
      </c>
    </row>
    <row r="306" spans="1:12">
      <c r="A306" s="47">
        <v>45541.625</v>
      </c>
      <c r="B306" s="58">
        <v>3231.3456999999999</v>
      </c>
      <c r="C306" s="77">
        <v>1698931000</v>
      </c>
      <c r="D306" s="77">
        <v>1095931000</v>
      </c>
      <c r="E306" s="77">
        <v>712449470</v>
      </c>
      <c r="F306" s="27">
        <v>13307806</v>
      </c>
      <c r="G306" s="27">
        <v>374255670.43799996</v>
      </c>
      <c r="H306" s="27">
        <v>-25356687.349499997</v>
      </c>
      <c r="I306" s="27">
        <v>-4505331</v>
      </c>
      <c r="J306" s="27">
        <v>246198</v>
      </c>
      <c r="K306" s="27">
        <v>-6741929</v>
      </c>
      <c r="L306" s="27">
        <v>-4731390</v>
      </c>
    </row>
    <row r="307" spans="1:12">
      <c r="A307" s="47">
        <v>45544.625</v>
      </c>
      <c r="B307" s="58">
        <v>3192.9515999999999</v>
      </c>
      <c r="C307" s="77">
        <v>1718931000</v>
      </c>
      <c r="D307" s="77">
        <v>1115931000</v>
      </c>
      <c r="E307" s="77">
        <v>712449470</v>
      </c>
      <c r="F307" s="27">
        <v>8946589</v>
      </c>
      <c r="G307" s="27">
        <v>389205081.44010001</v>
      </c>
      <c r="H307" s="27">
        <v>-21959520.502500001</v>
      </c>
      <c r="I307" s="27">
        <v>-4508126</v>
      </c>
      <c r="J307" s="27">
        <v>232631</v>
      </c>
      <c r="K307" s="27">
        <v>-6933519</v>
      </c>
      <c r="L307" s="27">
        <v>-5051349</v>
      </c>
    </row>
    <row r="308" spans="1:12">
      <c r="A308" s="47">
        <v>45545.625</v>
      </c>
      <c r="B308" s="58">
        <v>3195.7552000000001</v>
      </c>
      <c r="C308" s="77">
        <v>1718931000</v>
      </c>
      <c r="D308" s="77">
        <v>1115931000</v>
      </c>
      <c r="E308" s="77">
        <v>712449470</v>
      </c>
      <c r="F308" s="27">
        <v>9525054</v>
      </c>
      <c r="G308" s="27">
        <v>388034963.61000001</v>
      </c>
      <c r="H308" s="27">
        <v>-22095769.645500001</v>
      </c>
      <c r="I308" s="27">
        <v>-4510906</v>
      </c>
      <c r="J308" s="27">
        <v>232558</v>
      </c>
      <c r="K308" s="27">
        <v>-6900763</v>
      </c>
      <c r="L308" s="27">
        <v>-5014605</v>
      </c>
    </row>
    <row r="309" spans="1:12">
      <c r="A309" s="47">
        <v>45546.625</v>
      </c>
      <c r="B309" s="58">
        <v>3186.1298999999999</v>
      </c>
      <c r="C309" s="77">
        <v>1718931000</v>
      </c>
      <c r="D309" s="77">
        <v>1115931000</v>
      </c>
      <c r="E309" s="77">
        <v>712449470</v>
      </c>
      <c r="F309" s="27">
        <v>8576974</v>
      </c>
      <c r="G309" s="27">
        <v>393878188.14120007</v>
      </c>
      <c r="H309" s="27">
        <v>-21597175.426499996</v>
      </c>
      <c r="I309" s="27">
        <v>-4519200</v>
      </c>
      <c r="J309" s="27">
        <v>231274</v>
      </c>
      <c r="K309" s="27">
        <v>-6924179</v>
      </c>
      <c r="L309" s="27">
        <v>-5087844</v>
      </c>
    </row>
    <row r="310" spans="1:12">
      <c r="A310" s="47">
        <v>45547.625</v>
      </c>
      <c r="B310" s="58">
        <v>3172.4747000000002</v>
      </c>
      <c r="C310" s="77">
        <v>1718931000</v>
      </c>
      <c r="D310" s="77">
        <v>1103891000</v>
      </c>
      <c r="E310" s="77">
        <v>712449470</v>
      </c>
      <c r="F310" s="27">
        <v>7097962</v>
      </c>
      <c r="G310" s="27">
        <v>401727527.39340001</v>
      </c>
      <c r="H310" s="27">
        <v>-20931666.204599999</v>
      </c>
      <c r="I310" s="27">
        <v>-4524681</v>
      </c>
      <c r="J310" s="27">
        <v>229301</v>
      </c>
      <c r="K310" s="27">
        <v>-6961754</v>
      </c>
      <c r="L310" s="27">
        <v>-5194578</v>
      </c>
    </row>
    <row r="311" spans="1:12">
      <c r="A311" s="47">
        <v>45548.625</v>
      </c>
      <c r="B311" s="58">
        <v>3159.2469999999998</v>
      </c>
      <c r="C311" s="77">
        <v>1718931000</v>
      </c>
      <c r="D311" s="77">
        <v>1103891000</v>
      </c>
      <c r="E311" s="77">
        <v>712449470</v>
      </c>
      <c r="F311" s="27">
        <v>5633782</v>
      </c>
      <c r="G311" s="27">
        <v>409031816.11109996</v>
      </c>
      <c r="H311" s="27">
        <v>-20292791.255099997</v>
      </c>
      <c r="I311" s="27">
        <v>-4524547</v>
      </c>
      <c r="J311" s="27">
        <v>227816</v>
      </c>
      <c r="K311" s="27">
        <v>-6993200</v>
      </c>
      <c r="L311" s="27">
        <v>-5295089</v>
      </c>
    </row>
    <row r="312" spans="1:12">
      <c r="A312" s="47">
        <v>45553.625</v>
      </c>
      <c r="B312" s="58">
        <v>3171.0102000000002</v>
      </c>
      <c r="C312" s="77">
        <v>1718931000</v>
      </c>
      <c r="D312" s="77">
        <v>1103891000</v>
      </c>
      <c r="E312" s="77">
        <v>712449470</v>
      </c>
      <c r="F312" s="27">
        <v>7371507</v>
      </c>
      <c r="G312" s="27">
        <v>403281124.27500004</v>
      </c>
      <c r="H312" s="27">
        <v>-20712720.219000004</v>
      </c>
      <c r="I312" s="27">
        <v>-4533604</v>
      </c>
      <c r="J312" s="27">
        <v>-939556</v>
      </c>
      <c r="K312" s="27">
        <v>-6926648</v>
      </c>
      <c r="L312" s="27">
        <v>-5182891</v>
      </c>
    </row>
    <row r="313" spans="1:12">
      <c r="A313" s="47">
        <v>45554.625</v>
      </c>
      <c r="B313" s="58">
        <v>3196.0356999999999</v>
      </c>
      <c r="C313" s="77">
        <v>1718931000</v>
      </c>
      <c r="D313" s="77">
        <v>1103891000</v>
      </c>
      <c r="E313" s="77">
        <v>712449470</v>
      </c>
      <c r="F313" s="27">
        <v>10719459</v>
      </c>
      <c r="G313" s="27">
        <v>390099373.884</v>
      </c>
      <c r="H313" s="27">
        <v>-21575187.623999998</v>
      </c>
      <c r="I313" s="27">
        <v>-4531465</v>
      </c>
      <c r="J313" s="27">
        <v>230139</v>
      </c>
      <c r="K313" s="27">
        <v>-6800332</v>
      </c>
      <c r="L313" s="27">
        <v>-4952462</v>
      </c>
    </row>
    <row r="314" spans="1:12">
      <c r="A314" s="47">
        <v>45555.625</v>
      </c>
      <c r="B314" s="58">
        <v>3201.0497</v>
      </c>
      <c r="C314" s="77">
        <v>1718931000</v>
      </c>
      <c r="D314" s="77">
        <v>1103891000</v>
      </c>
      <c r="E314" s="77">
        <v>712449470</v>
      </c>
      <c r="F314" s="27">
        <v>11555893</v>
      </c>
      <c r="G314" s="27">
        <v>387902918.89500004</v>
      </c>
      <c r="H314" s="27">
        <v>-18290159.490000002</v>
      </c>
      <c r="I314" s="27">
        <v>-4532606</v>
      </c>
      <c r="J314" s="27">
        <v>-61058</v>
      </c>
      <c r="K314" s="27">
        <v>-6757892</v>
      </c>
      <c r="L314" s="27">
        <v>-4895916</v>
      </c>
    </row>
    <row r="315" spans="1:12">
      <c r="A315" s="47">
        <v>45558.625</v>
      </c>
      <c r="B315" s="58">
        <v>3212.7638999999999</v>
      </c>
      <c r="C315" s="77">
        <v>1718931000</v>
      </c>
      <c r="D315" s="77">
        <v>1103891000</v>
      </c>
      <c r="E315" s="77">
        <v>712449470</v>
      </c>
      <c r="F315" s="27">
        <v>13201116</v>
      </c>
      <c r="G315" s="27">
        <v>382678269.12000006</v>
      </c>
      <c r="H315" s="27">
        <v>-23726553.876000002</v>
      </c>
      <c r="I315" s="27">
        <v>-4524113</v>
      </c>
      <c r="J315" s="27">
        <v>-283412</v>
      </c>
      <c r="K315" s="27">
        <v>-6683704</v>
      </c>
      <c r="L315" s="27">
        <v>-4778749</v>
      </c>
    </row>
    <row r="316" spans="1:12">
      <c r="A316" s="47">
        <v>45559.625</v>
      </c>
      <c r="B316" s="58">
        <v>3351.9090000000001</v>
      </c>
      <c r="C316" s="77">
        <v>1718931000</v>
      </c>
      <c r="D316" s="77">
        <v>1103891000</v>
      </c>
      <c r="E316" s="77">
        <v>712449470</v>
      </c>
      <c r="F316" s="27">
        <v>27662476</v>
      </c>
      <c r="G316" s="27">
        <v>283053715.90500003</v>
      </c>
      <c r="H316" s="27">
        <v>-29340608.993999999</v>
      </c>
      <c r="I316" s="27">
        <v>-4014182</v>
      </c>
      <c r="J316" s="27">
        <v>251827</v>
      </c>
      <c r="K316" s="27">
        <v>-5765621</v>
      </c>
      <c r="L316" s="27">
        <v>-3426033</v>
      </c>
    </row>
    <row r="317" spans="1:12">
      <c r="A317" s="47">
        <v>45560.625</v>
      </c>
      <c r="B317" s="58">
        <v>3401.5329999999999</v>
      </c>
      <c r="C317" s="77">
        <v>1718931000</v>
      </c>
      <c r="D317" s="77">
        <v>1103891000</v>
      </c>
      <c r="E317" s="77">
        <v>712449470</v>
      </c>
      <c r="F317" s="27">
        <v>31782713</v>
      </c>
      <c r="G317" s="27">
        <v>242613106.79100001</v>
      </c>
      <c r="H317" s="27">
        <v>-31355643.693000004</v>
      </c>
      <c r="I317" s="27">
        <v>-3666655</v>
      </c>
      <c r="J317" s="27">
        <v>255100</v>
      </c>
      <c r="K317" s="27">
        <v>-5293368</v>
      </c>
      <c r="L317" s="27">
        <v>-2905064</v>
      </c>
    </row>
    <row r="318" spans="1:12">
      <c r="A318" s="47">
        <v>45561.625</v>
      </c>
      <c r="B318" s="58">
        <v>3545.3204000000001</v>
      </c>
      <c r="C318" s="77">
        <v>1718931000</v>
      </c>
      <c r="D318" s="77">
        <v>1103891000</v>
      </c>
      <c r="E318" s="77">
        <v>712449470</v>
      </c>
      <c r="F318" s="27">
        <v>39409881</v>
      </c>
      <c r="G318" s="27">
        <v>110335321.848</v>
      </c>
      <c r="H318" s="27">
        <v>-33461793.756000001</v>
      </c>
      <c r="I318" s="27">
        <v>-2154306</v>
      </c>
      <c r="J318" s="27">
        <v>-200380</v>
      </c>
      <c r="K318" s="27">
        <v>-3510327</v>
      </c>
      <c r="L318" s="27">
        <v>-1388641</v>
      </c>
    </row>
    <row r="319" spans="1:12">
      <c r="A319" s="47">
        <v>45562.625</v>
      </c>
      <c r="B319" s="58">
        <v>3703.6849000000002</v>
      </c>
      <c r="C319" s="77">
        <v>1718931000</v>
      </c>
      <c r="D319" s="77">
        <v>1103891000</v>
      </c>
      <c r="E319" s="77">
        <v>712449470</v>
      </c>
      <c r="F319" s="27">
        <v>41299031</v>
      </c>
      <c r="G319" s="27">
        <v>5451076.2239999995</v>
      </c>
      <c r="H319" s="27">
        <v>-9022164.4799999986</v>
      </c>
      <c r="I319" s="27">
        <v>-545773</v>
      </c>
      <c r="J319" s="27">
        <v>124912</v>
      </c>
      <c r="K319" s="27">
        <v>-1449412</v>
      </c>
      <c r="L319" s="27">
        <v>-277022</v>
      </c>
    </row>
    <row r="320" spans="1:12">
      <c r="A320" s="47">
        <v>45565.625</v>
      </c>
      <c r="B320" s="58">
        <v>4017.8544999999999</v>
      </c>
      <c r="C320" s="77">
        <v>1718931000</v>
      </c>
      <c r="D320" s="77">
        <v>1103891000</v>
      </c>
      <c r="E320" s="77">
        <v>712449470</v>
      </c>
      <c r="F320" s="27">
        <v>41186611</v>
      </c>
      <c r="G320" s="27">
        <v>-787096.81500000006</v>
      </c>
      <c r="H320" s="27">
        <v>350758.30499999999</v>
      </c>
      <c r="I320" s="27">
        <v>3759</v>
      </c>
      <c r="J320" s="27">
        <v>81325</v>
      </c>
      <c r="K320" s="27">
        <v>-372034</v>
      </c>
      <c r="L320" s="27">
        <v>1429</v>
      </c>
    </row>
    <row r="321" spans="1:12">
      <c r="A321" s="47">
        <v>45573.625</v>
      </c>
      <c r="B321" s="58">
        <v>4256.0962</v>
      </c>
      <c r="C321" s="77">
        <v>1718931000</v>
      </c>
      <c r="D321" s="77">
        <v>1013840000</v>
      </c>
      <c r="E321" s="77">
        <v>686000000</v>
      </c>
      <c r="F321" s="27">
        <v>41266188</v>
      </c>
      <c r="G321" s="27">
        <v>-137897.64000000001</v>
      </c>
      <c r="H321" s="27">
        <v>40858.560000000005</v>
      </c>
      <c r="I321" s="27">
        <v>3590</v>
      </c>
      <c r="J321" s="27">
        <v>74769</v>
      </c>
      <c r="K321" s="27">
        <v>-328613</v>
      </c>
      <c r="L321" s="27">
        <v>1064</v>
      </c>
    </row>
    <row r="322" spans="1:12">
      <c r="A322" s="47">
        <v>45574.625</v>
      </c>
      <c r="B322" s="58">
        <v>3955.9839000000002</v>
      </c>
      <c r="C322" s="77">
        <v>1718931000</v>
      </c>
      <c r="D322" s="77">
        <v>863840000</v>
      </c>
      <c r="E322" s="77">
        <v>617000000</v>
      </c>
      <c r="F322" s="27">
        <v>41802607</v>
      </c>
      <c r="G322" s="27">
        <v>-1233078.966</v>
      </c>
      <c r="H322" s="27">
        <v>586276.23600000003</v>
      </c>
      <c r="I322" s="27">
        <v>1804</v>
      </c>
      <c r="J322" s="27">
        <v>71896</v>
      </c>
      <c r="K322" s="27">
        <v>-328054</v>
      </c>
      <c r="L322" s="27">
        <v>749</v>
      </c>
    </row>
    <row r="323" spans="1:12">
      <c r="A323" s="47">
        <v>45575.625</v>
      </c>
      <c r="B323" s="58">
        <v>3997.7878999999998</v>
      </c>
      <c r="C323" s="77">
        <v>1718931000</v>
      </c>
      <c r="D323" s="77">
        <v>863840000</v>
      </c>
      <c r="E323" s="77">
        <v>617000000</v>
      </c>
      <c r="F323" s="27">
        <v>41865843</v>
      </c>
      <c r="G323" s="27">
        <v>-654838.00200000009</v>
      </c>
      <c r="H323" s="27">
        <v>277046.84700000001</v>
      </c>
      <c r="I323" s="27">
        <v>6022</v>
      </c>
      <c r="J323" s="27">
        <v>73687</v>
      </c>
      <c r="K323" s="27">
        <v>-287357</v>
      </c>
      <c r="L323" s="27">
        <v>2475</v>
      </c>
    </row>
    <row r="324" spans="1:12">
      <c r="A324" s="47">
        <v>45576.625</v>
      </c>
      <c r="B324" s="58">
        <v>3887.1669999999999</v>
      </c>
      <c r="C324" s="77">
        <v>1718931000</v>
      </c>
      <c r="D324" s="77">
        <v>863840000</v>
      </c>
      <c r="E324" s="77">
        <v>617000000</v>
      </c>
      <c r="F324" s="27">
        <v>41972347</v>
      </c>
      <c r="G324" s="27">
        <v>-2262332.94</v>
      </c>
      <c r="H324" s="27">
        <v>1224458.55</v>
      </c>
      <c r="I324" s="27">
        <v>-4940</v>
      </c>
      <c r="J324" s="27">
        <v>68598</v>
      </c>
      <c r="K324" s="27">
        <v>-300819</v>
      </c>
      <c r="L324" s="27">
        <v>-2095</v>
      </c>
    </row>
    <row r="325" spans="1:12">
      <c r="A325" s="47">
        <v>45579.625</v>
      </c>
      <c r="B325" s="58">
        <v>3961.3424</v>
      </c>
      <c r="C325" s="77">
        <v>1718931000</v>
      </c>
      <c r="D325" s="77">
        <v>863840000</v>
      </c>
      <c r="E325" s="77">
        <v>617000000</v>
      </c>
      <c r="F325" s="27">
        <v>42018947</v>
      </c>
      <c r="G325" s="27">
        <v>-709475.99400000006</v>
      </c>
      <c r="H325" s="27">
        <v>298288.902</v>
      </c>
      <c r="I325" s="27">
        <v>6727</v>
      </c>
      <c r="J325" s="27">
        <v>72913</v>
      </c>
      <c r="K325" s="27">
        <v>-236980</v>
      </c>
      <c r="L325" s="27">
        <v>2925</v>
      </c>
    </row>
    <row r="326" spans="1:12">
      <c r="A326" s="47">
        <v>45580.625</v>
      </c>
      <c r="B326" s="58">
        <v>3855.9949000000001</v>
      </c>
      <c r="C326" s="77">
        <v>1718931000</v>
      </c>
      <c r="D326" s="77">
        <v>856840000</v>
      </c>
      <c r="E326" s="77">
        <v>610000000</v>
      </c>
      <c r="F326" s="27">
        <v>42125360</v>
      </c>
      <c r="G326" s="27">
        <v>-2527601.4449999998</v>
      </c>
      <c r="H326" s="27">
        <v>1621829.3939999999</v>
      </c>
      <c r="I326" s="27">
        <v>-3302</v>
      </c>
      <c r="J326" s="27">
        <v>66377</v>
      </c>
      <c r="K326" s="27">
        <v>-250333</v>
      </c>
      <c r="L326" s="27">
        <v>-1319</v>
      </c>
    </row>
    <row r="327" spans="1:12">
      <c r="A327" s="47">
        <v>45581.625</v>
      </c>
      <c r="B327" s="58">
        <v>3831.5889999999999</v>
      </c>
      <c r="C327" s="77">
        <v>1728931000</v>
      </c>
      <c r="D327" s="77">
        <v>866840000</v>
      </c>
      <c r="E327" s="77">
        <v>620000000</v>
      </c>
      <c r="F327" s="27">
        <v>42206888</v>
      </c>
      <c r="G327" s="27">
        <v>-2711616.2430000002</v>
      </c>
      <c r="H327" s="27">
        <v>2150671.4670000002</v>
      </c>
      <c r="I327" s="27">
        <v>-4400</v>
      </c>
      <c r="J327" s="27">
        <v>54170</v>
      </c>
      <c r="K327" s="27">
        <v>-274000</v>
      </c>
      <c r="L327" s="27">
        <v>-3414</v>
      </c>
    </row>
    <row r="328" spans="1:12">
      <c r="A328" s="47">
        <v>45582.625</v>
      </c>
      <c r="B328" s="58">
        <v>3788.2217000000001</v>
      </c>
      <c r="C328" s="77">
        <v>1728931000</v>
      </c>
      <c r="D328" s="77">
        <v>766840000</v>
      </c>
      <c r="E328" s="77">
        <v>520000000</v>
      </c>
      <c r="F328" s="27">
        <v>42296774</v>
      </c>
      <c r="G328" s="27">
        <v>-5074320.6899999995</v>
      </c>
      <c r="H328" s="27">
        <v>4386758.76</v>
      </c>
      <c r="I328" s="27">
        <v>-17225</v>
      </c>
      <c r="J328" s="27">
        <v>43161</v>
      </c>
      <c r="K328" s="27">
        <v>-293629</v>
      </c>
      <c r="L328" s="27">
        <v>-9473</v>
      </c>
    </row>
    <row r="329" spans="1:12">
      <c r="A329" s="47">
        <v>45583.625</v>
      </c>
      <c r="B329" s="58">
        <v>3925.2339999999999</v>
      </c>
      <c r="C329" s="77">
        <v>1728931000</v>
      </c>
      <c r="D329" s="77">
        <v>766840000</v>
      </c>
      <c r="E329" s="77">
        <v>520000000</v>
      </c>
      <c r="F329" s="27">
        <v>41132382</v>
      </c>
      <c r="G329" s="27">
        <v>-286149.26699999999</v>
      </c>
      <c r="H329" s="27">
        <v>125999.883</v>
      </c>
      <c r="I329" s="27">
        <v>8204</v>
      </c>
      <c r="J329" s="27">
        <v>36369</v>
      </c>
      <c r="K329" s="27">
        <v>-178469</v>
      </c>
      <c r="L329" s="27">
        <v>2624</v>
      </c>
    </row>
    <row r="330" spans="1:12">
      <c r="A330" s="47">
        <v>45586.625</v>
      </c>
      <c r="B330" s="58">
        <v>3935.1974</v>
      </c>
      <c r="C330" s="77">
        <v>1728931000</v>
      </c>
      <c r="D330" s="77">
        <v>546840000</v>
      </c>
      <c r="E330" s="77">
        <v>300000000</v>
      </c>
      <c r="F330" s="27">
        <v>41541189</v>
      </c>
      <c r="G330" s="27">
        <v>-221945.28</v>
      </c>
      <c r="H330" s="27">
        <v>75555.839999999997</v>
      </c>
      <c r="I330" s="27">
        <v>8190</v>
      </c>
      <c r="J330" s="27">
        <v>17860</v>
      </c>
      <c r="K330" s="27">
        <v>-163818</v>
      </c>
      <c r="L330" s="27">
        <v>2628</v>
      </c>
    </row>
    <row r="331" spans="1:12">
      <c r="A331" s="47">
        <v>45587.625</v>
      </c>
      <c r="B331" s="58">
        <v>3957.7755000000002</v>
      </c>
      <c r="C331" s="77">
        <v>1728931000</v>
      </c>
      <c r="D331" s="77">
        <v>396840000</v>
      </c>
      <c r="E331" s="77">
        <v>150000000</v>
      </c>
      <c r="F331" s="27">
        <v>42352989</v>
      </c>
      <c r="G331" s="27">
        <v>-172163.43</v>
      </c>
      <c r="H331" s="27">
        <v>35620.020000000004</v>
      </c>
      <c r="I331" s="27">
        <v>7760</v>
      </c>
      <c r="J331" s="27">
        <v>17977</v>
      </c>
      <c r="K331" s="27">
        <v>-154744</v>
      </c>
      <c r="L331" s="27">
        <v>2426</v>
      </c>
    </row>
    <row r="332" spans="1:12">
      <c r="A332" s="47">
        <v>45588.625</v>
      </c>
      <c r="B332" s="58">
        <v>3957.7755000000002</v>
      </c>
      <c r="C332" s="77">
        <v>1728931000</v>
      </c>
      <c r="D332" s="77">
        <v>396840000</v>
      </c>
      <c r="E332" s="77">
        <v>150000000</v>
      </c>
      <c r="F332" s="27">
        <v>42370347</v>
      </c>
      <c r="G332" s="27">
        <v>-153763.22699999998</v>
      </c>
      <c r="H332" s="27">
        <v>34566.927000000003</v>
      </c>
      <c r="I332" s="27">
        <v>7431</v>
      </c>
      <c r="J332" s="27">
        <v>17776</v>
      </c>
      <c r="K332" s="27">
        <v>-146774</v>
      </c>
      <c r="L332" s="27">
        <v>2254</v>
      </c>
    </row>
    <row r="333" spans="1:12">
      <c r="A333" s="47">
        <v>45589.625</v>
      </c>
      <c r="B333" s="58">
        <v>3928.8334</v>
      </c>
      <c r="C333" s="77">
        <v>1728931000</v>
      </c>
      <c r="D333" s="77">
        <v>346840000</v>
      </c>
      <c r="E333" s="77">
        <v>150000000</v>
      </c>
      <c r="F333" s="27">
        <v>42390070</v>
      </c>
      <c r="G333" s="27">
        <v>-195655.734</v>
      </c>
      <c r="H333" s="27">
        <v>50681.906999999992</v>
      </c>
      <c r="I333" s="27">
        <v>8333</v>
      </c>
      <c r="J333" s="27">
        <v>17777</v>
      </c>
      <c r="K333" s="27">
        <v>-144415</v>
      </c>
      <c r="L333" s="27">
        <v>2677</v>
      </c>
    </row>
    <row r="334" spans="1:12">
      <c r="A334" s="47">
        <v>45590.625</v>
      </c>
      <c r="B334" s="58">
        <v>3956.4209999999998</v>
      </c>
      <c r="C334" s="77">
        <v>1728931000</v>
      </c>
      <c r="D334" s="77">
        <v>346840000</v>
      </c>
      <c r="E334" s="77">
        <v>150000000</v>
      </c>
      <c r="F334" s="27">
        <v>42406591</v>
      </c>
      <c r="G334" s="27">
        <v>-166169.64000000001</v>
      </c>
      <c r="H334" s="27">
        <v>32047.002</v>
      </c>
      <c r="I334" s="27">
        <v>7748</v>
      </c>
      <c r="J334" s="27">
        <v>17832</v>
      </c>
      <c r="K334" s="27">
        <v>-135234</v>
      </c>
      <c r="L334" s="27">
        <v>2388</v>
      </c>
    </row>
    <row r="335" spans="1:12">
      <c r="A335" s="47">
        <v>45593.625</v>
      </c>
      <c r="B335" s="58">
        <v>3964.1569</v>
      </c>
      <c r="C335" s="77">
        <v>1728931000</v>
      </c>
      <c r="D335" s="77">
        <v>346840000</v>
      </c>
      <c r="E335" s="77">
        <v>150000000</v>
      </c>
      <c r="F335" s="27">
        <v>42419111</v>
      </c>
      <c r="G335" s="27">
        <v>-156980.736</v>
      </c>
      <c r="H335" s="27">
        <v>36866.688000000002</v>
      </c>
      <c r="I335" s="27">
        <v>7578</v>
      </c>
      <c r="J335" s="27">
        <v>6576</v>
      </c>
      <c r="K335" s="27">
        <v>-128059</v>
      </c>
      <c r="L335" s="27">
        <v>2294</v>
      </c>
    </row>
    <row r="336" spans="1:12">
      <c r="A336" s="47">
        <v>45594.625</v>
      </c>
      <c r="B336" s="58">
        <v>3924.6489999999999</v>
      </c>
      <c r="C336" s="77">
        <v>1728931000</v>
      </c>
      <c r="D336" s="77">
        <v>156840000</v>
      </c>
      <c r="E336" s="77">
        <v>60000000</v>
      </c>
      <c r="F336" s="27">
        <v>42427446</v>
      </c>
      <c r="G336" s="27">
        <v>-194270.17500000002</v>
      </c>
      <c r="H336" s="27">
        <v>43563.614999999998</v>
      </c>
      <c r="I336" s="27">
        <v>8383</v>
      </c>
      <c r="J336" s="27">
        <v>6552</v>
      </c>
      <c r="K336" s="27">
        <v>-128937</v>
      </c>
      <c r="L336" s="27">
        <v>2680</v>
      </c>
    </row>
    <row r="337" spans="1:12">
      <c r="A337" s="47">
        <v>45595.625</v>
      </c>
      <c r="B337" s="58">
        <v>3889.4486999999999</v>
      </c>
      <c r="C337" s="77">
        <v>1728931000</v>
      </c>
      <c r="D337" s="77">
        <v>156840000</v>
      </c>
      <c r="E337" s="77">
        <v>60000000</v>
      </c>
      <c r="F337" s="27">
        <v>42435930</v>
      </c>
      <c r="G337" s="27">
        <v>-234533.83499999999</v>
      </c>
      <c r="H337" s="27">
        <v>49007.07</v>
      </c>
      <c r="I337" s="27">
        <v>9099</v>
      </c>
      <c r="J337" s="27">
        <v>6541</v>
      </c>
      <c r="K337" s="27">
        <v>-129966</v>
      </c>
      <c r="L337" s="27">
        <v>3059</v>
      </c>
    </row>
    <row r="338" spans="1:12">
      <c r="A338" s="47">
        <v>45596.625</v>
      </c>
      <c r="B338" s="58">
        <v>3891.0396000000001</v>
      </c>
      <c r="C338" s="77">
        <v>1728931000</v>
      </c>
      <c r="D338" s="77">
        <v>156840000</v>
      </c>
      <c r="E338" s="77">
        <v>60000000</v>
      </c>
      <c r="F338" s="27">
        <v>42442375</v>
      </c>
      <c r="G338" s="27">
        <v>-231127.77600000001</v>
      </c>
      <c r="H338" s="27">
        <v>51361.728000000003</v>
      </c>
      <c r="I338" s="27">
        <v>9075</v>
      </c>
      <c r="J338" s="27">
        <v>6547</v>
      </c>
      <c r="K338" s="27">
        <v>-126916</v>
      </c>
      <c r="L338" s="27">
        <v>3017</v>
      </c>
    </row>
    <row r="339" spans="1:12">
      <c r="A339" s="47">
        <v>45597.625</v>
      </c>
      <c r="B339" s="58">
        <v>3890.0203000000001</v>
      </c>
      <c r="C339" s="77">
        <v>1728931000</v>
      </c>
      <c r="D339" s="77">
        <v>156840000</v>
      </c>
      <c r="E339" s="77">
        <v>60000000</v>
      </c>
      <c r="F339" s="27">
        <v>42448984</v>
      </c>
      <c r="G339" s="27">
        <v>-229900.182</v>
      </c>
      <c r="H339" s="27">
        <v>53682.275999999998</v>
      </c>
      <c r="I339" s="27">
        <v>9093</v>
      </c>
      <c r="J339" s="27">
        <v>6553</v>
      </c>
      <c r="K339" s="27">
        <v>-124173</v>
      </c>
      <c r="L339" s="27">
        <v>3011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4FAB-E2C9-4648-A03F-B8B94E97B080}">
  <sheetPr codeName="Sheet4"/>
  <dimension ref="A1:BV92"/>
  <sheetViews>
    <sheetView topLeftCell="R3" zoomScaleNormal="100" workbookViewId="0">
      <selection activeCell="Z35" sqref="Z35"/>
    </sheetView>
  </sheetViews>
  <sheetFormatPr defaultRowHeight="14.4"/>
  <cols>
    <col min="1" max="1" width="18" style="47" bestFit="1" customWidth="1"/>
    <col min="2" max="2" width="11.88671875" style="48" bestFit="1" customWidth="1"/>
    <col min="3" max="3" width="9.5546875" style="49" bestFit="1" customWidth="1"/>
    <col min="4" max="4" width="10" style="85" customWidth="1"/>
    <col min="5" max="5" width="15.109375" style="78" bestFit="1" customWidth="1"/>
    <col min="6" max="6" width="14.109375" style="26" bestFit="1" customWidth="1"/>
    <col min="7" max="7" width="17.77734375" style="78" bestFit="1" customWidth="1"/>
    <col min="8" max="8" width="15.33203125" style="78" customWidth="1"/>
    <col min="9" max="9" width="19.109375" style="78" bestFit="1" customWidth="1"/>
    <col min="10" max="10" width="16" style="78" bestFit="1" customWidth="1"/>
    <col min="11" max="11" width="14.44140625" style="78" bestFit="1" customWidth="1"/>
    <col min="12" max="13" width="14.44140625" style="78" customWidth="1"/>
    <col min="14" max="14" width="12.77734375" style="56" bestFit="1" customWidth="1"/>
    <col min="15" max="16" width="12.77734375" style="57" customWidth="1"/>
    <col min="17" max="17" width="14.33203125" style="57" customWidth="1"/>
    <col min="18" max="18" width="12.77734375" style="57" customWidth="1"/>
    <col min="19" max="19" width="12.77734375" style="54" customWidth="1"/>
    <col min="20" max="20" width="14.88671875" style="55" customWidth="1"/>
    <col min="21" max="21" width="12.33203125" style="61" customWidth="1"/>
    <col min="22" max="22" width="12.77734375" style="2" customWidth="1"/>
    <col min="23" max="23" width="2" customWidth="1"/>
    <col min="24" max="24" width="3.5546875" customWidth="1"/>
    <col min="25" max="25" width="37.88671875" customWidth="1"/>
    <col min="26" max="26" width="24.77734375" style="4" customWidth="1"/>
    <col min="27" max="27" width="3.88671875" customWidth="1"/>
    <col min="28" max="28" width="24.77734375" style="34" customWidth="1"/>
    <col min="29" max="29" width="20" style="60" bestFit="1" customWidth="1"/>
    <col min="30" max="30" width="23" style="60" customWidth="1"/>
    <col min="31" max="31" width="2.88671875" customWidth="1"/>
    <col min="32" max="32" width="1.5546875" customWidth="1"/>
    <col min="33" max="33" width="20.109375" customWidth="1"/>
    <col min="34" max="34" width="6.5546875" style="69" bestFit="1" customWidth="1"/>
    <col min="35" max="42" width="5.77734375" customWidth="1"/>
    <col min="43" max="43" width="10.5546875" customWidth="1"/>
    <col min="44" max="44" width="12.77734375" customWidth="1"/>
    <col min="45" max="45" width="12.5546875" customWidth="1"/>
    <col min="46" max="52" width="5.77734375" customWidth="1"/>
  </cols>
  <sheetData>
    <row r="1" spans="1:40" s="3" customFormat="1" ht="14.4" customHeight="1">
      <c r="A1" s="46" t="s">
        <v>0</v>
      </c>
      <c r="B1" s="46" t="s">
        <v>1</v>
      </c>
      <c r="C1" s="46" t="s">
        <v>54</v>
      </c>
      <c r="D1" s="111" t="s">
        <v>80</v>
      </c>
      <c r="E1" s="1" t="s">
        <v>2</v>
      </c>
      <c r="F1" s="1" t="s">
        <v>33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61</v>
      </c>
      <c r="N1" s="51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60</v>
      </c>
      <c r="U1" s="50" t="s">
        <v>59</v>
      </c>
      <c r="V1" s="2"/>
      <c r="W1" s="5"/>
      <c r="X1" s="5"/>
      <c r="Y1" s="165" t="s">
        <v>84</v>
      </c>
      <c r="Z1" s="165"/>
      <c r="AA1" s="110"/>
      <c r="AB1" s="110"/>
      <c r="AC1" s="110"/>
      <c r="AD1" s="110"/>
      <c r="AE1" s="5"/>
      <c r="AF1" s="5"/>
    </row>
    <row r="2" spans="1:40" ht="14.4" customHeight="1" thickBot="1">
      <c r="A2" s="47">
        <v>45369.625</v>
      </c>
      <c r="B2" s="48">
        <v>3603.5279999999998</v>
      </c>
      <c r="C2" s="49">
        <v>0</v>
      </c>
      <c r="D2" s="85" t="b">
        <v>0</v>
      </c>
      <c r="E2" s="106">
        <v>0</v>
      </c>
      <c r="F2" s="25">
        <v>20000000</v>
      </c>
      <c r="G2" s="106">
        <v>1664.823668091085</v>
      </c>
      <c r="H2" s="106">
        <v>5999238.7030289313</v>
      </c>
      <c r="I2" s="106">
        <v>-643367.57457170275</v>
      </c>
      <c r="J2" s="106">
        <v>-59661.649690616687</v>
      </c>
      <c r="K2" s="106">
        <v>6574.5196653855246</v>
      </c>
      <c r="L2" s="106">
        <v>-153776.05174471461</v>
      </c>
      <c r="M2" s="106">
        <v>-79292.068203086281</v>
      </c>
      <c r="N2" s="53">
        <v>-5.4332511447228171E-2</v>
      </c>
      <c r="O2" s="54">
        <v>0.29996193515144653</v>
      </c>
      <c r="P2" s="54">
        <v>-8.9269123838041885E-4</v>
      </c>
      <c r="Q2" s="54">
        <v>-1074.9621259316427</v>
      </c>
      <c r="R2" s="54">
        <v>286.66673497928514</v>
      </c>
      <c r="S2" s="54">
        <v>-2770.6815409576393</v>
      </c>
      <c r="T2" s="55">
        <v>-1428.6559397386554</v>
      </c>
      <c r="U2" s="61">
        <v>0</v>
      </c>
      <c r="W2" s="5"/>
      <c r="X2" s="5"/>
      <c r="Y2" s="166"/>
      <c r="Z2" s="166"/>
      <c r="AA2" s="109"/>
      <c r="AB2" s="109"/>
      <c r="AC2" s="109"/>
      <c r="AD2" s="109"/>
      <c r="AE2" s="5"/>
      <c r="AF2" s="5"/>
    </row>
    <row r="3" spans="1:40">
      <c r="A3" s="47">
        <v>45370.625</v>
      </c>
      <c r="B3" s="48">
        <v>3577.6302999999998</v>
      </c>
      <c r="C3" s="49">
        <v>-7.1867625282778791E-3</v>
      </c>
      <c r="D3" s="85" t="b">
        <v>0</v>
      </c>
      <c r="E3" s="106">
        <v>-38443.446294105328</v>
      </c>
      <c r="F3" s="25">
        <v>19961556.553705893</v>
      </c>
      <c r="G3" s="106">
        <v>1792.2042830140078</v>
      </c>
      <c r="H3" s="106">
        <v>6411844.3467006898</v>
      </c>
      <c r="I3" s="106">
        <v>-654058.14288330451</v>
      </c>
      <c r="J3" s="106">
        <v>-61559.977692463057</v>
      </c>
      <c r="K3" s="106">
        <v>6671.6593231365641</v>
      </c>
      <c r="L3" s="106">
        <v>-160991.06843011058</v>
      </c>
      <c r="M3" s="106">
        <v>-85403.237031227443</v>
      </c>
      <c r="N3" s="53">
        <v>-6.9266017568652387</v>
      </c>
      <c r="O3" s="54">
        <v>0.32291291577804504</v>
      </c>
      <c r="P3" s="54">
        <v>-9.2071102174481824E-4</v>
      </c>
      <c r="Q3" s="54">
        <v>-1109.16551647083</v>
      </c>
      <c r="R3" s="54">
        <v>290.90228524634222</v>
      </c>
      <c r="S3" s="54">
        <v>-2900.6791141890972</v>
      </c>
      <c r="T3" s="55">
        <v>-1538.7647796633246</v>
      </c>
      <c r="U3" s="61">
        <v>0.11179978740749863</v>
      </c>
      <c r="W3" s="5"/>
      <c r="X3" s="6"/>
      <c r="Y3" s="7"/>
      <c r="Z3" s="8"/>
      <c r="AA3" s="7"/>
      <c r="AB3" s="72"/>
      <c r="AC3" s="71"/>
      <c r="AD3" s="71"/>
      <c r="AE3" s="9"/>
      <c r="AF3" s="5"/>
    </row>
    <row r="4" spans="1:40">
      <c r="A4" s="47">
        <v>45371.625</v>
      </c>
      <c r="B4" s="48">
        <v>3585.3838000000001</v>
      </c>
      <c r="C4" s="49">
        <v>2.1672166629402856E-3</v>
      </c>
      <c r="D4" s="85" t="b">
        <v>0</v>
      </c>
      <c r="E4" s="106">
        <v>-18063.485406377913</v>
      </c>
      <c r="F4" s="25">
        <v>19981936.514593624</v>
      </c>
      <c r="G4" s="106">
        <v>1749.8930655925533</v>
      </c>
      <c r="H4" s="106">
        <v>6274038.2491078777</v>
      </c>
      <c r="I4" s="106">
        <v>-656160.90490506985</v>
      </c>
      <c r="J4" s="106">
        <v>-60687.917715830474</v>
      </c>
      <c r="K4" s="106">
        <v>6666.8140762838884</v>
      </c>
      <c r="L4" s="106">
        <v>-157327.55747289318</v>
      </c>
      <c r="M4" s="106">
        <v>-82883.111781090818</v>
      </c>
      <c r="N4" s="53">
        <v>-3.2546137719737089</v>
      </c>
      <c r="O4" s="54">
        <v>0.31528943294343009</v>
      </c>
      <c r="P4" s="54">
        <v>-9.1968044538806993E-4</v>
      </c>
      <c r="Q4" s="54">
        <v>-1093.4530537534556</v>
      </c>
      <c r="R4" s="54">
        <v>290.69101945566581</v>
      </c>
      <c r="S4" s="54">
        <v>-2834.6712926258988</v>
      </c>
      <c r="T4" s="55">
        <v>-1493.3580701514529</v>
      </c>
      <c r="U4" s="61">
        <v>3.3713979170642235E-2</v>
      </c>
      <c r="W4" s="5"/>
      <c r="X4" s="10"/>
      <c r="Y4" s="11" t="s">
        <v>15</v>
      </c>
      <c r="Z4" s="12"/>
      <c r="AA4" s="12"/>
      <c r="AB4" s="66"/>
      <c r="AC4" s="68"/>
      <c r="AD4" s="68"/>
      <c r="AE4" s="13"/>
      <c r="AF4" s="5"/>
    </row>
    <row r="5" spans="1:40">
      <c r="A5" s="47">
        <v>45372.625</v>
      </c>
      <c r="B5" s="48">
        <v>3581.0902000000001</v>
      </c>
      <c r="C5" s="49">
        <v>-1.1975286997168988E-3</v>
      </c>
      <c r="D5" s="85" t="b">
        <v>0</v>
      </c>
      <c r="E5" s="106">
        <v>-18942.167148092147</v>
      </c>
      <c r="F5" s="25">
        <v>19981057.832851909</v>
      </c>
      <c r="G5" s="106">
        <v>1769.0447632956079</v>
      </c>
      <c r="H5" s="106">
        <v>6335108.8651992213</v>
      </c>
      <c r="I5" s="106">
        <v>-661626.49717957212</v>
      </c>
      <c r="J5" s="106">
        <v>-60822.622876923284</v>
      </c>
      <c r="K5" s="106">
        <v>6720.0830890285961</v>
      </c>
      <c r="L5" s="106">
        <v>-157606.40746647061</v>
      </c>
      <c r="M5" s="106">
        <v>-83486.660384266652</v>
      </c>
      <c r="N5" s="53">
        <v>-3.4129314849415096</v>
      </c>
      <c r="O5" s="54">
        <v>0.31874011688945475</v>
      </c>
      <c r="P5" s="54">
        <v>-9.2956609492913969E-4</v>
      </c>
      <c r="Q5" s="54">
        <v>-1095.8801228521679</v>
      </c>
      <c r="R5" s="54">
        <v>293.01369164105654</v>
      </c>
      <c r="S5" s="54">
        <v>-2839.6955114241791</v>
      </c>
      <c r="T5" s="55">
        <v>-1504.2325916059781</v>
      </c>
      <c r="U5" s="61">
        <v>1.8629174613177212E-2</v>
      </c>
      <c r="W5" s="5"/>
      <c r="X5" s="10"/>
      <c r="Y5" s="14"/>
      <c r="Z5" s="15"/>
      <c r="AA5" s="14"/>
      <c r="AB5" s="70"/>
      <c r="AC5" s="64"/>
      <c r="AE5" s="13"/>
      <c r="AF5" s="5"/>
    </row>
    <row r="6" spans="1:40">
      <c r="A6" s="47">
        <v>45373.625</v>
      </c>
      <c r="B6" s="48">
        <v>3545.0023000000001</v>
      </c>
      <c r="C6" s="49">
        <v>-1.0077350187939982E-2</v>
      </c>
      <c r="D6" s="85" t="b">
        <v>0</v>
      </c>
      <c r="E6" s="106">
        <v>-79372.780747070574</v>
      </c>
      <c r="F6" s="25">
        <v>19920627.219252929</v>
      </c>
      <c r="G6" s="106">
        <v>1955.9713492180099</v>
      </c>
      <c r="H6" s="106">
        <v>6933922.9317119485</v>
      </c>
      <c r="I6" s="106">
        <v>-668524.49931187974</v>
      </c>
      <c r="J6" s="106">
        <v>-63437.311055788217</v>
      </c>
      <c r="K6" s="106">
        <v>6816.6993081156052</v>
      </c>
      <c r="L6" s="106">
        <v>-168654.54480215561</v>
      </c>
      <c r="M6" s="106">
        <v>-92569.408633357045</v>
      </c>
      <c r="N6" s="53">
        <v>-14.301101892996485</v>
      </c>
      <c r="O6" s="54">
        <v>0.35241987620524379</v>
      </c>
      <c r="P6" s="54">
        <v>-9.5847809086672432E-4</v>
      </c>
      <c r="Q6" s="54">
        <v>-1142.9906331712118</v>
      </c>
      <c r="R6" s="54">
        <v>297.22641857494</v>
      </c>
      <c r="S6" s="54">
        <v>-3038.7568726091104</v>
      </c>
      <c r="T6" s="55">
        <v>-1667.8822797687189</v>
      </c>
      <c r="U6" s="61">
        <v>0.15676677839424558</v>
      </c>
      <c r="W6" s="5"/>
      <c r="X6" s="10"/>
      <c r="Y6" s="14" t="s">
        <v>16</v>
      </c>
      <c r="Z6" s="16" t="s">
        <v>17</v>
      </c>
      <c r="AA6" s="12"/>
      <c r="AB6" s="66"/>
      <c r="AC6" s="68"/>
      <c r="AD6" s="68"/>
      <c r="AE6" s="13"/>
      <c r="AF6" s="5"/>
    </row>
    <row r="7" spans="1:40">
      <c r="A7" s="47">
        <v>45376.625</v>
      </c>
      <c r="B7" s="48">
        <v>3525.7633999999998</v>
      </c>
      <c r="C7" s="49">
        <v>-5.427048665102463E-3</v>
      </c>
      <c r="D7" s="85" t="b">
        <v>0</v>
      </c>
      <c r="E7" s="106">
        <v>-111142.02102705983</v>
      </c>
      <c r="F7" s="25">
        <v>19888857.978972942</v>
      </c>
      <c r="G7" s="106">
        <v>2057.7154984011731</v>
      </c>
      <c r="H7" s="106">
        <v>7255017.991875614</v>
      </c>
      <c r="I7" s="106">
        <v>-671393.79568842135</v>
      </c>
      <c r="J7" s="106">
        <v>-64574.061443650331</v>
      </c>
      <c r="K7" s="106">
        <v>6830.7652791613973</v>
      </c>
      <c r="L7" s="106">
        <v>-174246.69408968714</v>
      </c>
      <c r="M7" s="106">
        <v>-97338.027581237446</v>
      </c>
      <c r="N7" s="53">
        <v>-20.025169237379941</v>
      </c>
      <c r="O7" s="54">
        <v>0.37075177072612908</v>
      </c>
      <c r="P7" s="54">
        <v>-9.7312560205489263E-4</v>
      </c>
      <c r="Q7" s="54">
        <v>-1163.4721924295718</v>
      </c>
      <c r="R7" s="54">
        <v>297.83973273311949</v>
      </c>
      <c r="S7" s="54">
        <v>-3139.51420529811</v>
      </c>
      <c r="T7" s="55">
        <v>-1753.8015392688067</v>
      </c>
      <c r="U7" s="61">
        <v>8.4425064084313745E-2</v>
      </c>
      <c r="W7" s="5"/>
      <c r="X7" s="10"/>
      <c r="Y7" s="17"/>
      <c r="Z7" s="65"/>
      <c r="AA7" s="12"/>
      <c r="AB7" s="65" t="s">
        <v>58</v>
      </c>
      <c r="AC7" s="67" t="s">
        <v>57</v>
      </c>
      <c r="AD7" s="67" t="s">
        <v>56</v>
      </c>
      <c r="AE7" s="13"/>
      <c r="AF7" s="5"/>
    </row>
    <row r="8" spans="1:40">
      <c r="A8" s="47">
        <v>45377.625</v>
      </c>
      <c r="B8" s="48">
        <v>3543.7467000000001</v>
      </c>
      <c r="C8" s="49">
        <v>5.1005407793387469E-3</v>
      </c>
      <c r="D8" s="85" t="b">
        <v>0</v>
      </c>
      <c r="E8" s="106">
        <v>-68185.745748020869</v>
      </c>
      <c r="F8" s="25">
        <v>19931814.254251979</v>
      </c>
      <c r="G8" s="106">
        <v>1959.3361010763206</v>
      </c>
      <c r="H8" s="106">
        <v>6943390.8423800776</v>
      </c>
      <c r="I8" s="106">
        <v>-676442.73583487317</v>
      </c>
      <c r="J8" s="106">
        <v>-63155.333820582644</v>
      </c>
      <c r="K8" s="106">
        <v>6843.77801262905</v>
      </c>
      <c r="L8" s="106">
        <v>-166975.81727207958</v>
      </c>
      <c r="M8" s="106">
        <v>-91943.374422766326</v>
      </c>
      <c r="N8" s="53">
        <v>-12.285462200193706</v>
      </c>
      <c r="O8" s="54">
        <v>0.35302612508196751</v>
      </c>
      <c r="P8" s="54">
        <v>-9.7051800991156025E-4</v>
      </c>
      <c r="Q8" s="54">
        <v>-1137.9100688590825</v>
      </c>
      <c r="R8" s="54">
        <v>298.40712290094689</v>
      </c>
      <c r="S8" s="54">
        <v>-3008.5101643141115</v>
      </c>
      <c r="T8" s="55">
        <v>-1656.6026207346113</v>
      </c>
      <c r="U8" s="61">
        <v>7.9345793401356807E-2</v>
      </c>
      <c r="W8" s="5"/>
      <c r="X8" s="10"/>
      <c r="Y8" s="17" t="s">
        <v>18</v>
      </c>
      <c r="Z8" s="108">
        <v>3603.53</v>
      </c>
      <c r="AA8" s="12"/>
      <c r="AB8" s="66">
        <v>45461</v>
      </c>
      <c r="AC8" s="64">
        <v>1</v>
      </c>
      <c r="AD8" s="68">
        <v>0.108</v>
      </c>
      <c r="AE8" s="13"/>
      <c r="AF8" s="5"/>
      <c r="AG8" s="103"/>
    </row>
    <row r="9" spans="1:40">
      <c r="A9" s="47">
        <v>45378.625</v>
      </c>
      <c r="B9" s="48">
        <v>3502.7865999999999</v>
      </c>
      <c r="C9" s="49">
        <v>-1.1558416407132066E-2</v>
      </c>
      <c r="D9" s="85" t="b">
        <v>0</v>
      </c>
      <c r="E9" s="106">
        <v>-146115.63145497564</v>
      </c>
      <c r="F9" s="25">
        <v>19853884.368545026</v>
      </c>
      <c r="G9" s="106">
        <v>2181.5563165975323</v>
      </c>
      <c r="H9" s="106">
        <v>7641526.2329231938</v>
      </c>
      <c r="I9" s="106">
        <v>-674966.76761154959</v>
      </c>
      <c r="J9" s="106">
        <v>-65631.809945349494</v>
      </c>
      <c r="K9" s="106">
        <v>6910.9116444359324</v>
      </c>
      <c r="L9" s="106">
        <v>-180331.60546973828</v>
      </c>
      <c r="M9" s="106">
        <v>-102810.98246103956</v>
      </c>
      <c r="N9" s="53">
        <v>-26.326588459284267</v>
      </c>
      <c r="O9" s="54">
        <v>0.39306496352180359</v>
      </c>
      <c r="P9" s="54">
        <v>-9.91180927406054E-4</v>
      </c>
      <c r="Q9" s="54">
        <v>-1182.5303241437268</v>
      </c>
      <c r="R9" s="54">
        <v>301.33432975663618</v>
      </c>
      <c r="S9" s="54">
        <v>-3249.1499479757749</v>
      </c>
      <c r="T9" s="55">
        <v>-1852.4112700293244</v>
      </c>
      <c r="U9" s="61">
        <v>0.17980676166774057</v>
      </c>
      <c r="W9" s="5"/>
      <c r="X9" s="10"/>
      <c r="Y9" s="11" t="s">
        <v>19</v>
      </c>
      <c r="Z9" s="107">
        <v>45369</v>
      </c>
      <c r="AA9" s="12"/>
      <c r="AB9" s="66">
        <v>45491</v>
      </c>
      <c r="AC9" s="64">
        <v>1</v>
      </c>
      <c r="AD9" s="68">
        <v>0.108</v>
      </c>
      <c r="AE9" s="13"/>
      <c r="AF9" s="5"/>
      <c r="AG9" s="103"/>
    </row>
    <row r="10" spans="1:40">
      <c r="A10" s="47">
        <v>45379.625</v>
      </c>
      <c r="B10" s="48">
        <v>3520.9648000000002</v>
      </c>
      <c r="C10" s="49">
        <v>5.1896395858086475E-3</v>
      </c>
      <c r="D10" s="85" t="b">
        <v>0</v>
      </c>
      <c r="E10" s="106">
        <v>-100474.98699383665</v>
      </c>
      <c r="F10" s="25">
        <v>19899525.013006162</v>
      </c>
      <c r="G10" s="106">
        <v>2080.8884068537295</v>
      </c>
      <c r="H10" s="106">
        <v>7326734.8332600612</v>
      </c>
      <c r="I10" s="106">
        <v>-682660.09759227326</v>
      </c>
      <c r="J10" s="106">
        <v>-64335.477151515668</v>
      </c>
      <c r="K10" s="106">
        <v>6922.0004195562306</v>
      </c>
      <c r="L10" s="106">
        <v>-172907.67711835887</v>
      </c>
      <c r="M10" s="106">
        <v>-97280.332271007428</v>
      </c>
      <c r="N10" s="53">
        <v>-18.103221446596308</v>
      </c>
      <c r="O10" s="54">
        <v>0.37492698194864027</v>
      </c>
      <c r="P10" s="54">
        <v>-9.9215393024108009E-4</v>
      </c>
      <c r="Q10" s="54">
        <v>-1159.1734665442345</v>
      </c>
      <c r="R10" s="54">
        <v>301.81783016737973</v>
      </c>
      <c r="S10" s="54">
        <v>-3115.388279554827</v>
      </c>
      <c r="T10" s="55">
        <v>-1752.7620059393939</v>
      </c>
      <c r="U10" s="61">
        <v>8.0731845546867687E-2</v>
      </c>
      <c r="W10" s="5"/>
      <c r="X10" s="10"/>
      <c r="Y10" s="11" t="s">
        <v>79</v>
      </c>
      <c r="Z10" s="105">
        <v>0.8</v>
      </c>
      <c r="AA10" s="12"/>
      <c r="AB10" s="66">
        <v>45523</v>
      </c>
      <c r="AC10" s="64">
        <v>1</v>
      </c>
      <c r="AD10" s="68">
        <v>0.108</v>
      </c>
      <c r="AE10" s="13"/>
      <c r="AF10" s="5"/>
      <c r="AG10" s="103"/>
    </row>
    <row r="11" spans="1:40">
      <c r="A11" s="47">
        <v>45380.625</v>
      </c>
      <c r="B11" s="48">
        <v>3537.4843000000001</v>
      </c>
      <c r="C11" s="49">
        <v>4.6917538056614472E-3</v>
      </c>
      <c r="D11" s="85" t="b">
        <v>0</v>
      </c>
      <c r="E11" s="106">
        <v>-59945.336343729403</v>
      </c>
      <c r="F11" s="25">
        <v>19940054.663656272</v>
      </c>
      <c r="G11" s="106">
        <v>1988.7886129047088</v>
      </c>
      <c r="H11" s="106">
        <v>7035308.4941691849</v>
      </c>
      <c r="I11" s="106">
        <v>-688564.27928785165</v>
      </c>
      <c r="J11" s="106">
        <v>-62994.654795598261</v>
      </c>
      <c r="K11" s="106">
        <v>6950.7770001736462</v>
      </c>
      <c r="L11" s="106">
        <v>-166011.03328731851</v>
      </c>
      <c r="M11" s="106">
        <v>-92208.630225644825</v>
      </c>
      <c r="N11" s="53">
        <v>-10.800734899202325</v>
      </c>
      <c r="O11" s="54">
        <v>0.35833277263416391</v>
      </c>
      <c r="P11" s="54">
        <v>-9.9141013016477791E-4</v>
      </c>
      <c r="Q11" s="54">
        <v>-1135.0150120313629</v>
      </c>
      <c r="R11" s="54">
        <v>303.07256645676898</v>
      </c>
      <c r="S11" s="54">
        <v>-2991.1270337989208</v>
      </c>
      <c r="T11" s="55">
        <v>-1661.381904298787</v>
      </c>
      <c r="U11" s="61">
        <v>7.2986560496102013E-2</v>
      </c>
      <c r="W11" s="18"/>
      <c r="X11" s="10"/>
      <c r="Y11" s="17" t="s">
        <v>78</v>
      </c>
      <c r="Z11" s="104">
        <v>0.8</v>
      </c>
      <c r="AA11" s="12"/>
      <c r="AB11" s="66">
        <v>45553</v>
      </c>
      <c r="AC11" s="64">
        <v>1</v>
      </c>
      <c r="AD11" s="68">
        <v>0.108</v>
      </c>
      <c r="AE11" s="13"/>
      <c r="AF11" s="18"/>
      <c r="AG11" s="103"/>
      <c r="AI11" s="59"/>
    </row>
    <row r="12" spans="1:40">
      <c r="A12" s="47">
        <v>45383.625</v>
      </c>
      <c r="B12" s="48">
        <v>3595.6466</v>
      </c>
      <c r="C12" s="49">
        <v>1.6441712546964471E-2</v>
      </c>
      <c r="D12" s="85" t="b">
        <v>0</v>
      </c>
      <c r="E12" s="106">
        <v>53309.480689131749</v>
      </c>
      <c r="F12" s="25">
        <v>20053309.480689131</v>
      </c>
      <c r="G12" s="106">
        <v>1671.4801323266513</v>
      </c>
      <c r="H12" s="106">
        <v>6010051.8547678739</v>
      </c>
      <c r="I12" s="106">
        <v>-685623.43189999426</v>
      </c>
      <c r="J12" s="106">
        <v>-57739.48604962117</v>
      </c>
      <c r="K12" s="106">
        <v>6801.2822390026167</v>
      </c>
      <c r="L12" s="106">
        <v>-144545.84134373697</v>
      </c>
      <c r="M12" s="106">
        <v>-75983.014585484474</v>
      </c>
      <c r="N12" s="53">
        <v>9.6051103164372762</v>
      </c>
      <c r="O12" s="54">
        <v>0.30116127291413963</v>
      </c>
      <c r="P12" s="54">
        <v>-9.5549750271809028E-4</v>
      </c>
      <c r="Q12" s="54">
        <v>-1040.3292734270963</v>
      </c>
      <c r="R12" s="54">
        <v>296.55419290819827</v>
      </c>
      <c r="S12" s="54">
        <v>-2604.3749328285685</v>
      </c>
      <c r="T12" s="55">
        <v>-1369.0346029160082</v>
      </c>
      <c r="U12" s="61">
        <v>0.25577302159812743</v>
      </c>
      <c r="W12" s="5"/>
      <c r="X12" s="10"/>
      <c r="Y12" s="11"/>
      <c r="Z12" s="99"/>
      <c r="AA12" s="12"/>
      <c r="AB12" s="66">
        <v>45583</v>
      </c>
      <c r="AC12" s="64">
        <v>1</v>
      </c>
      <c r="AD12" s="68">
        <v>0.108</v>
      </c>
      <c r="AE12" s="13"/>
      <c r="AF12" s="19"/>
      <c r="AG12" s="103"/>
    </row>
    <row r="13" spans="1:40">
      <c r="A13" s="47">
        <v>45384.625</v>
      </c>
      <c r="B13" s="48">
        <v>3580.6759000000002</v>
      </c>
      <c r="C13" s="49">
        <v>-4.1635626816050042E-3</v>
      </c>
      <c r="D13" s="85" t="b">
        <v>0</v>
      </c>
      <c r="E13" s="106">
        <v>34537.877191953521</v>
      </c>
      <c r="F13" s="25">
        <v>20034537.877191953</v>
      </c>
      <c r="G13" s="106">
        <v>1748.5206447020003</v>
      </c>
      <c r="H13" s="106">
        <v>6260885.7331369156</v>
      </c>
      <c r="I13" s="106">
        <v>-694001.0952090288</v>
      </c>
      <c r="J13" s="106">
        <v>-58861.783973535254</v>
      </c>
      <c r="K13" s="106">
        <v>6844.6599363702853</v>
      </c>
      <c r="L13" s="106">
        <v>-148534.00464745206</v>
      </c>
      <c r="M13" s="106">
        <v>-79407.898971620467</v>
      </c>
      <c r="N13" s="53">
        <v>6.2229103760882936</v>
      </c>
      <c r="O13" s="54">
        <v>0.31504215508808542</v>
      </c>
      <c r="P13" s="54">
        <v>-9.7527711748549213E-4</v>
      </c>
      <c r="Q13" s="54">
        <v>-1060.5504333929275</v>
      </c>
      <c r="R13" s="54">
        <v>298.4455771473813</v>
      </c>
      <c r="S13" s="54">
        <v>-2676.2322234961175</v>
      </c>
      <c r="T13" s="55">
        <v>-1430.7429368270277</v>
      </c>
      <c r="U13" s="61">
        <v>6.4769834933279188E-2</v>
      </c>
      <c r="W13" s="5"/>
      <c r="X13" s="10"/>
      <c r="Y13" s="102" t="s">
        <v>55</v>
      </c>
      <c r="Z13" s="99">
        <v>0.108</v>
      </c>
      <c r="AA13" s="12"/>
      <c r="AB13" s="66">
        <v>45614</v>
      </c>
      <c r="AC13" s="64">
        <v>1</v>
      </c>
      <c r="AD13" s="68">
        <v>0.108</v>
      </c>
      <c r="AE13" s="13"/>
      <c r="AF13" s="19"/>
    </row>
    <row r="14" spans="1:40" s="34" customFormat="1">
      <c r="A14" s="47">
        <v>45385.625</v>
      </c>
      <c r="B14" s="48">
        <v>3567.8031000000001</v>
      </c>
      <c r="C14" s="49">
        <v>-3.5950754437171772E-3</v>
      </c>
      <c r="D14" s="85" t="b">
        <v>0</v>
      </c>
      <c r="E14" s="106">
        <v>18480.013861055209</v>
      </c>
      <c r="F14" s="25">
        <v>20018480.013861056</v>
      </c>
      <c r="G14" s="106">
        <v>1816.1149273540691</v>
      </c>
      <c r="H14" s="106">
        <v>6479540.4677701229</v>
      </c>
      <c r="I14" s="106">
        <v>-699976.62121652823</v>
      </c>
      <c r="J14" s="106">
        <v>-59756.733391202491</v>
      </c>
      <c r="K14" s="106">
        <v>6937.8013146059266</v>
      </c>
      <c r="L14" s="106">
        <v>-151920.44759916412</v>
      </c>
      <c r="M14" s="106">
        <v>-82357.207998810234</v>
      </c>
      <c r="N14" s="53">
        <v>3.3296623694350274</v>
      </c>
      <c r="O14" s="54">
        <v>0.32722104959691767</v>
      </c>
      <c r="P14" s="54">
        <v>-9.9078559405419808E-4</v>
      </c>
      <c r="Q14" s="54">
        <v>-1076.6753098186655</v>
      </c>
      <c r="R14" s="54">
        <v>302.50679167699309</v>
      </c>
      <c r="S14" s="54">
        <v>-2737.247933480603</v>
      </c>
      <c r="T14" s="55">
        <v>-1483.882525127683</v>
      </c>
      <c r="U14" s="61">
        <v>5.592624895285235E-2</v>
      </c>
      <c r="V14" s="2"/>
      <c r="W14" s="5"/>
      <c r="X14" s="10"/>
      <c r="Y14" s="11" t="s">
        <v>20</v>
      </c>
      <c r="Z14" s="101">
        <v>1</v>
      </c>
      <c r="AA14" s="12"/>
      <c r="AB14" s="66">
        <v>45644</v>
      </c>
      <c r="AC14" s="64">
        <v>1</v>
      </c>
      <c r="AD14" s="68">
        <v>0.108</v>
      </c>
      <c r="AE14" s="13"/>
      <c r="AF14" s="5"/>
      <c r="AG14"/>
      <c r="AH14" s="69"/>
      <c r="AI14"/>
      <c r="AJ14"/>
      <c r="AK14"/>
      <c r="AL14"/>
      <c r="AM14"/>
      <c r="AN14"/>
    </row>
    <row r="15" spans="1:40">
      <c r="A15" s="47">
        <v>45390.625</v>
      </c>
      <c r="B15" s="48">
        <v>3536.4077000000002</v>
      </c>
      <c r="C15" s="49">
        <v>-8.7996448010261297E-3</v>
      </c>
      <c r="D15" s="85" t="b">
        <v>0</v>
      </c>
      <c r="E15" s="106">
        <v>-34225.340056890076</v>
      </c>
      <c r="F15" s="25">
        <v>19965774.659943111</v>
      </c>
      <c r="G15" s="106">
        <v>1989.2643890574557</v>
      </c>
      <c r="H15" s="106">
        <v>7034849.9027985828</v>
      </c>
      <c r="I15" s="106">
        <v>-706204.26983206533</v>
      </c>
      <c r="J15" s="106">
        <v>-62289.337720051248</v>
      </c>
      <c r="K15" s="106">
        <v>7016.905889799943</v>
      </c>
      <c r="L15" s="106">
        <v>-162177.49266005089</v>
      </c>
      <c r="M15" s="106">
        <v>-90564.456775554339</v>
      </c>
      <c r="N15" s="53">
        <v>-6.1665985602262481</v>
      </c>
      <c r="O15" s="54">
        <v>0.3584184962685717</v>
      </c>
      <c r="P15" s="54">
        <v>-1.0174277748900972E-3</v>
      </c>
      <c r="Q15" s="54">
        <v>-1122.3068628783039</v>
      </c>
      <c r="R15" s="54">
        <v>305.95596385183399</v>
      </c>
      <c r="S15" s="54">
        <v>-2922.0556788514386</v>
      </c>
      <c r="T15" s="55">
        <v>-1631.7577789774987</v>
      </c>
      <c r="U15" s="61">
        <v>0.13689034723844754</v>
      </c>
      <c r="W15" s="5"/>
      <c r="X15" s="10"/>
      <c r="Y15" s="11" t="s">
        <v>143</v>
      </c>
      <c r="Z15" s="101">
        <v>1</v>
      </c>
      <c r="AA15" s="12"/>
      <c r="AB15" s="66">
        <v>45677</v>
      </c>
      <c r="AC15" s="64">
        <v>1</v>
      </c>
      <c r="AD15" s="68">
        <v>0.108</v>
      </c>
      <c r="AE15" s="13"/>
      <c r="AF15" s="5"/>
    </row>
    <row r="16" spans="1:40">
      <c r="A16" s="47">
        <v>45391.625</v>
      </c>
      <c r="B16" s="48">
        <v>3533.4870999999998</v>
      </c>
      <c r="C16" s="49">
        <v>-8.2586631626224705E-4</v>
      </c>
      <c r="D16" s="85" t="b">
        <v>0</v>
      </c>
      <c r="E16" s="106">
        <v>-33032.369540606604</v>
      </c>
      <c r="F16" s="25">
        <v>19966967.630459394</v>
      </c>
      <c r="G16" s="106">
        <v>2004.5407650890304</v>
      </c>
      <c r="H16" s="106">
        <v>7083018.9348662188</v>
      </c>
      <c r="I16" s="106">
        <v>-710576.95699316077</v>
      </c>
      <c r="J16" s="106">
        <v>-62363.539665704469</v>
      </c>
      <c r="K16" s="106">
        <v>7047.1513883384714</v>
      </c>
      <c r="L16" s="106">
        <v>-162195.86402267386</v>
      </c>
      <c r="M16" s="106">
        <v>-90899.784494488253</v>
      </c>
      <c r="N16" s="53">
        <v>-5.9516534272961508</v>
      </c>
      <c r="O16" s="54">
        <v>0.36117093870698713</v>
      </c>
      <c r="P16" s="54">
        <v>-1.0254205219905404E-3</v>
      </c>
      <c r="Q16" s="54">
        <v>-1123.6438068223833</v>
      </c>
      <c r="R16" s="54">
        <v>307.27474891221027</v>
      </c>
      <c r="S16" s="54">
        <v>-2922.3866874494888</v>
      </c>
      <c r="T16" s="55">
        <v>-1637.7995930992711</v>
      </c>
      <c r="U16" s="61">
        <v>1.2847464796816952E-2</v>
      </c>
      <c r="W16" s="5"/>
      <c r="X16" s="10"/>
      <c r="Y16" s="17" t="s">
        <v>77</v>
      </c>
      <c r="Z16" s="99">
        <v>0</v>
      </c>
      <c r="AA16" s="12"/>
      <c r="AB16" s="66">
        <v>45706</v>
      </c>
      <c r="AC16" s="64">
        <v>1</v>
      </c>
      <c r="AD16" s="68">
        <v>0.108</v>
      </c>
      <c r="AE16" s="13"/>
      <c r="AF16" s="5"/>
    </row>
    <row r="17" spans="1:32">
      <c r="A17" s="47">
        <v>45392.625</v>
      </c>
      <c r="B17" s="48">
        <v>3504.7085999999999</v>
      </c>
      <c r="C17" s="49">
        <v>-8.1445040509698918E-3</v>
      </c>
      <c r="D17" s="85" t="b">
        <v>0</v>
      </c>
      <c r="E17" s="106">
        <v>-86040.442766987035</v>
      </c>
      <c r="F17" s="25">
        <v>19913959.557233013</v>
      </c>
      <c r="G17" s="106">
        <v>2168.8694791825105</v>
      </c>
      <c r="H17" s="106">
        <v>7601255.5159684652</v>
      </c>
      <c r="I17" s="106">
        <v>-708887.00372155732</v>
      </c>
      <c r="J17" s="106">
        <v>-64279.056430577664</v>
      </c>
      <c r="K17" s="106">
        <v>7082.7606167120612</v>
      </c>
      <c r="L17" s="106">
        <v>-171928.15566563854</v>
      </c>
      <c r="M17" s="106">
        <v>-98688.608980178687</v>
      </c>
      <c r="N17" s="53">
        <v>-15.50245723216176</v>
      </c>
      <c r="O17" s="54">
        <v>0.3907790948289796</v>
      </c>
      <c r="P17" s="54">
        <v>-1.0398509456448317E-3</v>
      </c>
      <c r="Q17" s="54">
        <v>-1158.1568983058332</v>
      </c>
      <c r="R17" s="54">
        <v>308.82740701539205</v>
      </c>
      <c r="S17" s="54">
        <v>-3097.7396146474348</v>
      </c>
      <c r="T17" s="55">
        <v>-1778.1358287056264</v>
      </c>
      <c r="U17" s="61">
        <v>0.12669874896452657</v>
      </c>
      <c r="V17" s="100"/>
      <c r="W17" s="5"/>
      <c r="X17" s="10"/>
      <c r="Y17" s="17" t="s">
        <v>76</v>
      </c>
      <c r="Z17" s="99">
        <v>0</v>
      </c>
      <c r="AA17" s="12"/>
      <c r="AB17" s="66">
        <v>45734</v>
      </c>
      <c r="AC17" s="64">
        <v>1</v>
      </c>
      <c r="AD17" s="68">
        <v>0.108</v>
      </c>
      <c r="AE17" s="13"/>
      <c r="AF17" s="5"/>
    </row>
    <row r="18" spans="1:32">
      <c r="A18" s="47">
        <v>45393.625</v>
      </c>
      <c r="B18" s="48">
        <v>3504.2447000000002</v>
      </c>
      <c r="C18" s="49">
        <v>-1.3236478490674664E-4</v>
      </c>
      <c r="D18" s="85" t="b">
        <v>0</v>
      </c>
      <c r="E18" s="106">
        <v>-79962.484946314289</v>
      </c>
      <c r="F18" s="25">
        <v>19920037.515053686</v>
      </c>
      <c r="G18" s="106">
        <v>2171.491804939119</v>
      </c>
      <c r="H18" s="106">
        <v>7609438.6485513421</v>
      </c>
      <c r="I18" s="106">
        <v>-713260.43461563007</v>
      </c>
      <c r="J18" s="106">
        <v>-64120.510862268224</v>
      </c>
      <c r="K18" s="106">
        <v>7117.0870014948587</v>
      </c>
      <c r="L18" s="106">
        <v>-171134.37808276433</v>
      </c>
      <c r="M18" s="106">
        <v>-98380.786718645599</v>
      </c>
      <c r="N18" s="53">
        <v>-14.4073526726811</v>
      </c>
      <c r="O18" s="54">
        <v>0.39125157604343264</v>
      </c>
      <c r="P18" s="54">
        <v>-1.0465432690268792E-3</v>
      </c>
      <c r="Q18" s="54">
        <v>-1155.3002813324383</v>
      </c>
      <c r="R18" s="54">
        <v>310.3241296887054</v>
      </c>
      <c r="S18" s="54">
        <v>-3083.4376159191379</v>
      </c>
      <c r="T18" s="55">
        <v>-1772.5895980133373</v>
      </c>
      <c r="U18" s="61">
        <v>2.0591128139529052E-3</v>
      </c>
      <c r="W18" s="5"/>
      <c r="X18" s="10"/>
      <c r="Y18" s="14" t="s">
        <v>75</v>
      </c>
      <c r="Z18" s="99">
        <v>0</v>
      </c>
      <c r="AA18" s="12"/>
      <c r="AB18" s="66">
        <v>45765</v>
      </c>
      <c r="AC18" s="64">
        <v>1</v>
      </c>
      <c r="AD18" s="68">
        <v>0.108</v>
      </c>
      <c r="AE18" s="13"/>
      <c r="AF18" s="5"/>
    </row>
    <row r="19" spans="1:32">
      <c r="A19" s="47">
        <v>45394.625</v>
      </c>
      <c r="B19" s="48">
        <v>3475.8389000000002</v>
      </c>
      <c r="C19" s="49">
        <v>-8.1061119961172157E-3</v>
      </c>
      <c r="D19" s="85" t="b">
        <v>0</v>
      </c>
      <c r="E19" s="106">
        <v>-136850.6670489994</v>
      </c>
      <c r="F19" s="25">
        <v>19863149.332951002</v>
      </c>
      <c r="G19" s="106">
        <v>2337.5942761724646</v>
      </c>
      <c r="H19" s="106">
        <v>8125101.1175375963</v>
      </c>
      <c r="I19" s="106">
        <v>-706350.05229988543</v>
      </c>
      <c r="J19" s="106">
        <v>-65814.032751891005</v>
      </c>
      <c r="K19" s="106">
        <v>7138.2639329247158</v>
      </c>
      <c r="L19" s="106">
        <v>-181022.24568464566</v>
      </c>
      <c r="M19" s="106">
        <v>-106287.61670623826</v>
      </c>
      <c r="N19" s="53">
        <v>-24.657260526487335</v>
      </c>
      <c r="O19" s="54">
        <v>0.42117932134136038</v>
      </c>
      <c r="P19" s="54">
        <v>-1.0534128415009844E-3</v>
      </c>
      <c r="Q19" s="54">
        <v>-1185.8135490717814</v>
      </c>
      <c r="R19" s="54">
        <v>311.24750083958043</v>
      </c>
      <c r="S19" s="54">
        <v>-3261.5936547374986</v>
      </c>
      <c r="T19" s="55">
        <v>-1915.0520142709865</v>
      </c>
      <c r="U19" s="61">
        <v>0.12610150875326628</v>
      </c>
      <c r="W19" s="5"/>
      <c r="X19" s="10"/>
      <c r="Y19" s="17" t="s">
        <v>21</v>
      </c>
      <c r="Z19" s="98">
        <v>20000000</v>
      </c>
      <c r="AA19" s="12"/>
      <c r="AB19" s="66">
        <v>45796</v>
      </c>
      <c r="AC19" s="64">
        <v>1</v>
      </c>
      <c r="AD19" s="68">
        <v>0.108</v>
      </c>
      <c r="AE19" s="13"/>
      <c r="AF19" s="5"/>
    </row>
    <row r="20" spans="1:32">
      <c r="A20" s="47">
        <v>45397.625</v>
      </c>
      <c r="B20" s="48">
        <v>3549.0758999999998</v>
      </c>
      <c r="C20" s="49">
        <v>2.1070309098617734E-2</v>
      </c>
      <c r="D20" s="85" t="b">
        <v>0</v>
      </c>
      <c r="E20" s="106">
        <v>25759.937454737948</v>
      </c>
      <c r="F20" s="25">
        <v>20025759.937454738</v>
      </c>
      <c r="G20" s="106">
        <v>1909.1365277681368</v>
      </c>
      <c r="H20" s="106">
        <v>6775670.440511575</v>
      </c>
      <c r="I20" s="106">
        <v>-731364.58752874541</v>
      </c>
      <c r="J20" s="106">
        <v>-60061.798669093827</v>
      </c>
      <c r="K20" s="106">
        <v>7153.9199707630542</v>
      </c>
      <c r="L20" s="106">
        <v>-152013.31121552235</v>
      </c>
      <c r="M20" s="106">
        <v>-84448.981536654595</v>
      </c>
      <c r="N20" s="53">
        <v>4.6413327948198457</v>
      </c>
      <c r="O20" s="54">
        <v>0.34398134668176289</v>
      </c>
      <c r="P20" s="54">
        <v>-1.0461675837374045E-3</v>
      </c>
      <c r="Q20" s="54">
        <v>-1082.1718661722116</v>
      </c>
      <c r="R20" s="54">
        <v>311.9301461852865</v>
      </c>
      <c r="S20" s="54">
        <v>-2738.9211166892437</v>
      </c>
      <c r="T20" s="55">
        <v>-1521.5713476940891</v>
      </c>
      <c r="U20" s="61">
        <v>0.32777708579724263</v>
      </c>
      <c r="W20" s="5"/>
      <c r="X20" s="10"/>
      <c r="Y20" s="17" t="s">
        <v>22</v>
      </c>
      <c r="Z20" s="97">
        <f>Z19/Z8</f>
        <v>5550.1133610653997</v>
      </c>
      <c r="AA20" s="12"/>
      <c r="AB20" s="66">
        <v>45826</v>
      </c>
      <c r="AC20" s="64">
        <v>1</v>
      </c>
      <c r="AD20" s="68">
        <v>0.108</v>
      </c>
      <c r="AE20" s="13"/>
      <c r="AF20" s="5"/>
    </row>
    <row r="21" spans="1:32" ht="15.6">
      <c r="A21" s="47">
        <v>45398.625</v>
      </c>
      <c r="B21" s="48">
        <v>3511.1145999999999</v>
      </c>
      <c r="C21" s="49">
        <v>-1.0696108246093017E-2</v>
      </c>
      <c r="D21" s="85" t="b">
        <v>0</v>
      </c>
      <c r="E21" s="106">
        <v>-43761.790211130705</v>
      </c>
      <c r="F21" s="25">
        <v>19956238.20978887</v>
      </c>
      <c r="G21" s="106">
        <v>2130.9090431971863</v>
      </c>
      <c r="H21" s="106">
        <v>7481865.8528416716</v>
      </c>
      <c r="I21" s="106">
        <v>-730312.90063421603</v>
      </c>
      <c r="J21" s="106">
        <v>-63004.080259384864</v>
      </c>
      <c r="K21" s="106">
        <v>7190.0831502236733</v>
      </c>
      <c r="L21" s="106">
        <v>-165556.09211324688</v>
      </c>
      <c r="M21" s="106">
        <v>-94989.636942879821</v>
      </c>
      <c r="N21" s="53">
        <v>-7.8848418177967687</v>
      </c>
      <c r="O21" s="54">
        <v>0.38393952013071347</v>
      </c>
      <c r="P21" s="54">
        <v>-1.0673746106643659E-3</v>
      </c>
      <c r="Q21" s="54">
        <v>-1135.184836644703</v>
      </c>
      <c r="R21" s="54">
        <v>313.50695804532643</v>
      </c>
      <c r="S21" s="54">
        <v>-2982.930067503321</v>
      </c>
      <c r="T21" s="55">
        <v>-1711.489082167509</v>
      </c>
      <c r="U21" s="61">
        <v>0.16639239480858986</v>
      </c>
      <c r="W21" s="5"/>
      <c r="X21" s="10"/>
      <c r="Y21" s="167" t="s">
        <v>74</v>
      </c>
      <c r="Z21" s="168"/>
      <c r="AA21" s="12"/>
      <c r="AB21" s="66">
        <v>45856</v>
      </c>
      <c r="AC21" s="64">
        <v>1</v>
      </c>
      <c r="AD21" s="68">
        <v>0.108</v>
      </c>
      <c r="AE21" s="13"/>
      <c r="AF21" s="5"/>
    </row>
    <row r="22" spans="1:32" ht="15.6">
      <c r="A22" s="47">
        <v>45399.625</v>
      </c>
      <c r="B22" s="48">
        <v>3565.4029999999998</v>
      </c>
      <c r="C22" s="49">
        <v>1.5461870711938497E-2</v>
      </c>
      <c r="D22" s="85" t="b">
        <v>0</v>
      </c>
      <c r="E22" s="106">
        <v>70430.345660760286</v>
      </c>
      <c r="F22" s="25">
        <v>20070430.345660761</v>
      </c>
      <c r="G22" s="106">
        <v>1809.9554130334877</v>
      </c>
      <c r="H22" s="106">
        <v>6453220.4594958359</v>
      </c>
      <c r="I22" s="106">
        <v>-741538.43371688155</v>
      </c>
      <c r="J22" s="106">
        <v>-58035.657129950094</v>
      </c>
      <c r="K22" s="106">
        <v>7118.3879471378459</v>
      </c>
      <c r="L22" s="106">
        <v>-143503.71894176421</v>
      </c>
      <c r="M22" s="106">
        <v>-78729.604604307766</v>
      </c>
      <c r="N22" s="53">
        <v>12.689886131911408</v>
      </c>
      <c r="O22" s="54">
        <v>0.32611125048088685</v>
      </c>
      <c r="P22" s="54">
        <v>-1.0510280808311314E-3</v>
      </c>
      <c r="Q22" s="54">
        <v>-1045.6655773308739</v>
      </c>
      <c r="R22" s="54">
        <v>310.38085441672229</v>
      </c>
      <c r="S22" s="54">
        <v>-2585.5983465538884</v>
      </c>
      <c r="T22" s="55">
        <v>-1418.5216731027595</v>
      </c>
      <c r="U22" s="61">
        <v>0.2405302598653104</v>
      </c>
      <c r="W22" s="5"/>
      <c r="X22" s="10"/>
      <c r="Y22" s="95" t="s">
        <v>73</v>
      </c>
      <c r="Z22" s="94">
        <v>0.03</v>
      </c>
      <c r="AA22" s="12"/>
      <c r="AB22" s="66">
        <v>45887</v>
      </c>
      <c r="AC22" s="64">
        <v>1</v>
      </c>
      <c r="AD22" s="68">
        <v>0.108</v>
      </c>
      <c r="AE22" s="13"/>
      <c r="AF22" s="5"/>
    </row>
    <row r="23" spans="1:32" ht="15.6">
      <c r="A23" s="47">
        <v>45400.625</v>
      </c>
      <c r="B23" s="48">
        <v>3569.8018000000002</v>
      </c>
      <c r="C23" s="49">
        <v>1.2337455261020036E-3</v>
      </c>
      <c r="D23" s="85" t="b">
        <v>0</v>
      </c>
      <c r="E23" s="106">
        <v>85440.303064686421</v>
      </c>
      <c r="F23" s="25">
        <v>20085440.303064685</v>
      </c>
      <c r="G23" s="106">
        <v>1781.7583072810305</v>
      </c>
      <c r="H23" s="106">
        <v>6360524.0124967759</v>
      </c>
      <c r="I23" s="106">
        <v>-746924.03937688156</v>
      </c>
      <c r="J23" s="106">
        <v>-57256.113782922468</v>
      </c>
      <c r="K23" s="106">
        <v>7154.1864698570453</v>
      </c>
      <c r="L23" s="106">
        <v>-140629.72906892988</v>
      </c>
      <c r="M23" s="106">
        <v>-76926.464681587517</v>
      </c>
      <c r="N23" s="53">
        <v>15.394326221104166</v>
      </c>
      <c r="O23" s="54">
        <v>0.32103079747598984</v>
      </c>
      <c r="P23" s="54">
        <v>-1.0560540200462625E-3</v>
      </c>
      <c r="Q23" s="54">
        <v>-1031.6200459397351</v>
      </c>
      <c r="R23" s="54">
        <v>311.9417662623473</v>
      </c>
      <c r="S23" s="54">
        <v>-2533.8158316615136</v>
      </c>
      <c r="T23" s="55">
        <v>-1386.0333471055583</v>
      </c>
      <c r="U23" s="61">
        <v>1.919257621083641E-2</v>
      </c>
      <c r="W23" s="5"/>
      <c r="X23" s="10"/>
      <c r="Y23" s="95" t="s">
        <v>72</v>
      </c>
      <c r="Z23" s="96">
        <v>0.1</v>
      </c>
      <c r="AA23" s="12"/>
      <c r="AB23" s="66">
        <v>45918</v>
      </c>
      <c r="AC23" s="64">
        <v>1</v>
      </c>
      <c r="AD23" s="68">
        <v>0.108</v>
      </c>
      <c r="AE23" s="13"/>
      <c r="AF23" s="5"/>
    </row>
    <row r="24" spans="1:32" ht="15.6">
      <c r="A24" s="47">
        <v>45401.625</v>
      </c>
      <c r="B24" s="48">
        <v>3541.6619000000001</v>
      </c>
      <c r="C24" s="49">
        <v>-7.8827625668181911E-3</v>
      </c>
      <c r="D24" s="85" t="b">
        <v>0</v>
      </c>
      <c r="E24" s="106">
        <v>40209.594572564871</v>
      </c>
      <c r="F24" s="25">
        <v>20040209.594572566</v>
      </c>
      <c r="G24" s="106">
        <v>1946.8149835118238</v>
      </c>
      <c r="H24" s="106">
        <v>6894960.453452955</v>
      </c>
      <c r="I24" s="106">
        <v>-752536.82966610137</v>
      </c>
      <c r="J24" s="106">
        <v>-59780.38878061132</v>
      </c>
      <c r="K24" s="106">
        <v>7264.2540796202138</v>
      </c>
      <c r="L24" s="106">
        <v>-150432.3269464311</v>
      </c>
      <c r="M24" s="106">
        <v>-84520.77553780748</v>
      </c>
      <c r="N24" s="53">
        <v>7.244819995544276</v>
      </c>
      <c r="O24" s="54">
        <v>0.35077011519521972</v>
      </c>
      <c r="P24" s="54">
        <v>-1.0809645852423839E-3</v>
      </c>
      <c r="Q24" s="54">
        <v>-1077.1015241090936</v>
      </c>
      <c r="R24" s="54">
        <v>316.74100999781058</v>
      </c>
      <c r="S24" s="54">
        <v>-2710.4355112830945</v>
      </c>
      <c r="T24" s="55">
        <v>-1522.8649061610213</v>
      </c>
      <c r="U24" s="61">
        <v>0.1226270070405736</v>
      </c>
      <c r="W24" s="5"/>
      <c r="X24" s="10"/>
      <c r="Y24" s="95" t="s">
        <v>71</v>
      </c>
      <c r="Z24" s="94">
        <v>3.04E-2</v>
      </c>
      <c r="AA24" s="12"/>
      <c r="AB24" s="66">
        <v>45950</v>
      </c>
      <c r="AC24" s="64">
        <v>1</v>
      </c>
      <c r="AD24" s="68">
        <v>0.108</v>
      </c>
      <c r="AE24" s="13"/>
      <c r="AF24" s="5"/>
    </row>
    <row r="25" spans="1:32" ht="15.6">
      <c r="A25" s="47">
        <v>45404.625</v>
      </c>
      <c r="B25" s="48">
        <v>3530.9045000000001</v>
      </c>
      <c r="C25" s="49">
        <v>-3.0373876173781511E-3</v>
      </c>
      <c r="D25" s="85" t="b">
        <v>0</v>
      </c>
      <c r="E25" s="106">
        <v>26202.967627848167</v>
      </c>
      <c r="F25" s="25">
        <v>20026202.967627849</v>
      </c>
      <c r="G25" s="106">
        <v>2010.6599860747997</v>
      </c>
      <c r="H25" s="106">
        <v>7099448.3928014478</v>
      </c>
      <c r="I25" s="106">
        <v>-755664.41568707011</v>
      </c>
      <c r="J25" s="106">
        <v>-60563.847834573848</v>
      </c>
      <c r="K25" s="106">
        <v>7314.3419356207542</v>
      </c>
      <c r="L25" s="106">
        <v>-153624.36812980138</v>
      </c>
      <c r="M25" s="106">
        <v>-87193.598300154714</v>
      </c>
      <c r="N25" s="53">
        <v>4.721156376502222</v>
      </c>
      <c r="O25" s="54">
        <v>0.36227347791500747</v>
      </c>
      <c r="P25" s="54">
        <v>-1.0920812084029279E-3</v>
      </c>
      <c r="Q25" s="54">
        <v>-1091.217607298131</v>
      </c>
      <c r="R25" s="54">
        <v>318.92497519566132</v>
      </c>
      <c r="S25" s="54">
        <v>-2767.9485601902343</v>
      </c>
      <c r="T25" s="55">
        <v>-1571.0228644767994</v>
      </c>
      <c r="U25" s="61">
        <v>4.7250662389483104E-2</v>
      </c>
      <c r="W25" s="5"/>
      <c r="X25" s="10"/>
      <c r="Y25" s="95" t="s">
        <v>70</v>
      </c>
      <c r="Z25" s="94">
        <f>Z22*Z23-Z24</f>
        <v>-2.7400000000000001E-2</v>
      </c>
      <c r="AA25" s="12"/>
      <c r="AB25" s="66">
        <v>45979</v>
      </c>
      <c r="AC25" s="64">
        <v>1</v>
      </c>
      <c r="AD25" s="68">
        <v>0.108</v>
      </c>
      <c r="AE25" s="13"/>
      <c r="AF25" s="5"/>
    </row>
    <row r="26" spans="1:32" ht="15.6">
      <c r="A26" s="47">
        <v>45405.625</v>
      </c>
      <c r="B26" s="48">
        <v>3506.2249000000002</v>
      </c>
      <c r="C26" s="49">
        <v>-6.9895971414689617E-3</v>
      </c>
      <c r="D26" s="85" t="b">
        <v>0</v>
      </c>
      <c r="E26" s="106">
        <v>-17923.734813763</v>
      </c>
      <c r="F26" s="25">
        <v>19982076.265186235</v>
      </c>
      <c r="G26" s="106">
        <v>2161.1151380551364</v>
      </c>
      <c r="H26" s="106">
        <v>7577355.7088158568</v>
      </c>
      <c r="I26" s="106">
        <v>-752006.72239441844</v>
      </c>
      <c r="J26" s="106">
        <v>-62595.094551356415</v>
      </c>
      <c r="K26" s="106">
        <v>7289.7644878174242</v>
      </c>
      <c r="L26" s="106">
        <v>-162576.60176824755</v>
      </c>
      <c r="M26" s="106">
        <v>-94146.399334510439</v>
      </c>
      <c r="N26" s="53">
        <v>-3.2294340132984871</v>
      </c>
      <c r="O26" s="54">
        <v>0.38938194556027744</v>
      </c>
      <c r="P26" s="54">
        <v>-1.1021484365302916E-3</v>
      </c>
      <c r="Q26" s="54">
        <v>-1127.8158793923012</v>
      </c>
      <c r="R26" s="54">
        <v>317.85333238759449</v>
      </c>
      <c r="S26" s="54">
        <v>-2929.2466830836474</v>
      </c>
      <c r="T26" s="55">
        <v>-1696.2959305054483</v>
      </c>
      <c r="U26" s="61">
        <v>0.10873261380288585</v>
      </c>
      <c r="W26" s="5"/>
      <c r="X26" s="10"/>
      <c r="Y26" s="93" t="s">
        <v>69</v>
      </c>
      <c r="Z26" s="92">
        <v>0.16</v>
      </c>
      <c r="AA26" s="12"/>
      <c r="AB26" s="66">
        <v>46009</v>
      </c>
      <c r="AC26" s="64">
        <v>1</v>
      </c>
      <c r="AD26" s="68">
        <v>0.108</v>
      </c>
      <c r="AE26" s="13"/>
      <c r="AF26" s="5"/>
    </row>
    <row r="27" spans="1:32" ht="15.6">
      <c r="A27" s="47">
        <v>45406.625</v>
      </c>
      <c r="B27" s="48">
        <v>3521.6219000000001</v>
      </c>
      <c r="C27" s="49">
        <v>4.3913326837647926E-3</v>
      </c>
      <c r="D27" s="85" t="b">
        <v>0</v>
      </c>
      <c r="E27" s="106">
        <v>21942.129084592427</v>
      </c>
      <c r="F27" s="25">
        <v>20021942.129084591</v>
      </c>
      <c r="G27" s="106">
        <v>2066.5561661328193</v>
      </c>
      <c r="H27" s="106">
        <v>7277629.4522333751</v>
      </c>
      <c r="I27" s="106">
        <v>-765773.03814374865</v>
      </c>
      <c r="J27" s="106">
        <v>-61049.756604026952</v>
      </c>
      <c r="K27" s="106">
        <v>7376.8296380876145</v>
      </c>
      <c r="L27" s="106">
        <v>-155280.51060127557</v>
      </c>
      <c r="M27" s="106">
        <v>-88992.047807376439</v>
      </c>
      <c r="N27" s="53">
        <v>3.9534538267971584</v>
      </c>
      <c r="O27" s="54">
        <v>0.37234465041161324</v>
      </c>
      <c r="P27" s="54">
        <v>-1.1125320336577151E-3</v>
      </c>
      <c r="Q27" s="54">
        <v>-1099.97253657898</v>
      </c>
      <c r="R27" s="54">
        <v>321.64960704015084</v>
      </c>
      <c r="S27" s="54">
        <v>-2797.7883390299667</v>
      </c>
      <c r="T27" s="55">
        <v>-1603.4266802560978</v>
      </c>
      <c r="U27" s="61">
        <v>6.8313104620996518E-2</v>
      </c>
      <c r="W27" s="5"/>
      <c r="X27" s="21"/>
      <c r="Y27" s="169"/>
      <c r="Z27" s="169"/>
      <c r="AA27" s="12"/>
      <c r="AB27" s="65">
        <v>46041</v>
      </c>
      <c r="AC27" s="64">
        <v>1</v>
      </c>
      <c r="AD27" s="68">
        <v>0.108</v>
      </c>
      <c r="AE27" s="13"/>
      <c r="AF27" s="5"/>
    </row>
    <row r="28" spans="1:32">
      <c r="A28" s="47">
        <v>45407.625</v>
      </c>
      <c r="B28" s="48">
        <v>3530.2813000000001</v>
      </c>
      <c r="C28" s="49">
        <v>2.4589238271151004E-3</v>
      </c>
      <c r="D28" s="85" t="b">
        <v>0</v>
      </c>
      <c r="E28" s="106">
        <v>46966.556751627009</v>
      </c>
      <c r="F28" s="25">
        <v>20046966.556751627</v>
      </c>
      <c r="G28" s="106">
        <v>2012.6673436957888</v>
      </c>
      <c r="H28" s="106">
        <v>7105281.8865699163</v>
      </c>
      <c r="I28" s="106">
        <v>-774446.46600379737</v>
      </c>
      <c r="J28" s="106">
        <v>-59953.67611201141</v>
      </c>
      <c r="K28" s="106">
        <v>7359.7918956705862</v>
      </c>
      <c r="L28" s="106">
        <v>-150662.8766942785</v>
      </c>
      <c r="M28" s="106">
        <v>-85866.642648889538</v>
      </c>
      <c r="N28" s="53">
        <v>8.4622651159038469</v>
      </c>
      <c r="O28" s="54">
        <v>0.36263515638466987</v>
      </c>
      <c r="P28" s="54">
        <v>-1.1196200911863519E-3</v>
      </c>
      <c r="Q28" s="54">
        <v>-1080.2237528628211</v>
      </c>
      <c r="R28" s="54">
        <v>320.9067156596866</v>
      </c>
      <c r="S28" s="54">
        <v>-2714.5894736418995</v>
      </c>
      <c r="T28" s="55">
        <v>-1547.1142552563379</v>
      </c>
      <c r="U28" s="61">
        <v>3.8251877676633836E-2</v>
      </c>
      <c r="W28" s="5"/>
      <c r="X28" s="10"/>
      <c r="Y28" s="20"/>
      <c r="Z28" s="15"/>
      <c r="AA28" s="12"/>
      <c r="AB28" s="65">
        <v>46076</v>
      </c>
      <c r="AC28" s="64">
        <v>1</v>
      </c>
      <c r="AD28" s="68">
        <v>0.108</v>
      </c>
      <c r="AE28" s="13"/>
      <c r="AF28" s="5"/>
    </row>
    <row r="29" spans="1:32" ht="15.6">
      <c r="A29" s="47">
        <v>45408.625</v>
      </c>
      <c r="B29" s="48">
        <v>3584.2685999999999</v>
      </c>
      <c r="C29" s="49">
        <v>1.529263404590453E-2</v>
      </c>
      <c r="D29" s="85" t="b">
        <v>0</v>
      </c>
      <c r="E29" s="106">
        <v>153931.52109073458</v>
      </c>
      <c r="F29" s="25">
        <v>20153931.521090735</v>
      </c>
      <c r="G29" s="106">
        <v>1678.0733791000509</v>
      </c>
      <c r="H29" s="106">
        <v>6014665.7212042082</v>
      </c>
      <c r="I29" s="106">
        <v>-783804.88212421036</v>
      </c>
      <c r="J29" s="106">
        <v>-53711.827827318913</v>
      </c>
      <c r="K29" s="106">
        <v>7339.0673514541659</v>
      </c>
      <c r="L29" s="106">
        <v>-127459.58424528538</v>
      </c>
      <c r="M29" s="106">
        <v>-69293.938857208603</v>
      </c>
      <c r="N29" s="53">
        <v>27.734827316652627</v>
      </c>
      <c r="O29" s="54">
        <v>0.3023492203820824</v>
      </c>
      <c r="P29" s="54">
        <v>-1.0992710084964919E-3</v>
      </c>
      <c r="Q29" s="54">
        <v>-967.76037753461424</v>
      </c>
      <c r="R29" s="54">
        <v>320.00306980769619</v>
      </c>
      <c r="S29" s="54">
        <v>-2296.5209034812233</v>
      </c>
      <c r="T29" s="55">
        <v>-1248.5132445111958</v>
      </c>
      <c r="U29" s="61">
        <v>0.23789755519339395</v>
      </c>
      <c r="W29" s="5"/>
      <c r="X29" s="10"/>
      <c r="Y29" s="169"/>
      <c r="Z29" s="169"/>
      <c r="AA29" s="12"/>
      <c r="AB29" s="65">
        <v>46099</v>
      </c>
      <c r="AC29" s="64">
        <v>1</v>
      </c>
      <c r="AD29" s="68">
        <v>0.108</v>
      </c>
      <c r="AE29" s="13"/>
      <c r="AF29" s="5"/>
    </row>
    <row r="30" spans="1:32">
      <c r="A30" s="47">
        <v>45411.625</v>
      </c>
      <c r="B30" s="48">
        <v>3623.9124000000002</v>
      </c>
      <c r="C30" s="49">
        <v>1.1060499204775143E-2</v>
      </c>
      <c r="D30" s="85" t="b">
        <v>0</v>
      </c>
      <c r="E30" s="106">
        <v>222839.58412638603</v>
      </c>
      <c r="F30" s="25">
        <v>20222839.584126387</v>
      </c>
      <c r="G30" s="106">
        <v>1435.938399467723</v>
      </c>
      <c r="H30" s="106">
        <v>5203714.9714672351</v>
      </c>
      <c r="I30" s="106">
        <v>-773274.38493059878</v>
      </c>
      <c r="J30" s="106">
        <v>-48295.008010291407</v>
      </c>
      <c r="K30" s="106">
        <v>7207.6890955037106</v>
      </c>
      <c r="L30" s="106">
        <v>-110593.49616728195</v>
      </c>
      <c r="M30" s="106">
        <v>-57593.18873951774</v>
      </c>
      <c r="N30" s="53">
        <v>40.150434045389375</v>
      </c>
      <c r="O30" s="54">
        <v>0.25872221143785623</v>
      </c>
      <c r="P30" s="54">
        <v>-1.0609041479596557E-3</v>
      </c>
      <c r="Q30" s="54">
        <v>-870.16206812654673</v>
      </c>
      <c r="R30" s="54">
        <v>314.27462459840172</v>
      </c>
      <c r="S30" s="54">
        <v>-1992.6338002834655</v>
      </c>
      <c r="T30" s="55">
        <v>-1037.6933411606842</v>
      </c>
      <c r="U30" s="61">
        <v>0.17206098780210824</v>
      </c>
      <c r="W30" s="5"/>
      <c r="X30" s="10"/>
      <c r="Y30" s="20"/>
      <c r="Z30" s="15"/>
      <c r="AA30" s="12"/>
      <c r="AB30" s="91"/>
      <c r="AC30" s="64"/>
      <c r="AD30" s="68"/>
      <c r="AE30" s="13"/>
      <c r="AF30" s="5"/>
    </row>
    <row r="31" spans="1:32" ht="15" thickBot="1">
      <c r="A31" s="47">
        <v>45412.625</v>
      </c>
      <c r="B31" s="48">
        <v>3604.3942999999999</v>
      </c>
      <c r="C31" s="49">
        <v>-5.3859193726648602E-3</v>
      </c>
      <c r="D31" s="85" t="b">
        <v>0</v>
      </c>
      <c r="E31" s="106">
        <v>201012.53637120989</v>
      </c>
      <c r="F31" s="25">
        <v>20201012.536371209</v>
      </c>
      <c r="G31" s="106">
        <v>1547.8254372065821</v>
      </c>
      <c r="H31" s="106">
        <v>5578973.1832624124</v>
      </c>
      <c r="I31" s="106">
        <v>-791968.5727722696</v>
      </c>
      <c r="J31" s="106">
        <v>-50461.543540954459</v>
      </c>
      <c r="K31" s="106">
        <v>7349.5385758664233</v>
      </c>
      <c r="L31" s="106">
        <v>-116727.94537633935</v>
      </c>
      <c r="M31" s="106">
        <v>-62292.336178987476</v>
      </c>
      <c r="N31" s="53">
        <v>36.217715158233659</v>
      </c>
      <c r="O31" s="54">
        <v>0.27888161510430798</v>
      </c>
      <c r="P31" s="54">
        <v>-1.0983512911985334E-3</v>
      </c>
      <c r="Q31" s="54">
        <v>-909.19792536524255</v>
      </c>
      <c r="R31" s="54">
        <v>320.45964334709879</v>
      </c>
      <c r="S31" s="54">
        <v>-2103.1620977305465</v>
      </c>
      <c r="T31" s="55">
        <v>-1122.3608880319716</v>
      </c>
      <c r="U31" s="61">
        <v>8.3785242449377004E-2</v>
      </c>
      <c r="W31" s="5"/>
      <c r="X31" s="22"/>
      <c r="Y31" s="89"/>
      <c r="Z31" s="89"/>
      <c r="AA31" s="88"/>
      <c r="AB31" s="23"/>
      <c r="AC31" s="63"/>
      <c r="AD31" s="63"/>
      <c r="AE31" s="24"/>
      <c r="AF31" s="5"/>
    </row>
    <row r="32" spans="1:32">
      <c r="A32" s="47">
        <v>45418.625</v>
      </c>
      <c r="B32" s="48">
        <v>3657.8766999999998</v>
      </c>
      <c r="C32" s="49">
        <v>1.4838110247816116E-2</v>
      </c>
      <c r="D32" s="85" t="b">
        <v>0</v>
      </c>
      <c r="E32" s="106">
        <v>282273.49567174318</v>
      </c>
      <c r="F32" s="25">
        <v>20282273.495671742</v>
      </c>
      <c r="G32" s="106">
        <v>1226.2554368532615</v>
      </c>
      <c r="H32" s="106">
        <v>4485491.1907138666</v>
      </c>
      <c r="I32" s="106">
        <v>-760376.73067209939</v>
      </c>
      <c r="J32" s="106">
        <v>-42769.297516306193</v>
      </c>
      <c r="K32" s="106">
        <v>7075.8495880647079</v>
      </c>
      <c r="L32" s="106">
        <v>-94945.047524987647</v>
      </c>
      <c r="M32" s="106">
        <v>-47345.803870055832</v>
      </c>
      <c r="N32" s="53">
        <v>50.859022265550266</v>
      </c>
      <c r="O32" s="54">
        <v>0.22094229009264793</v>
      </c>
      <c r="P32" s="54">
        <v>-1.0239260659900354E-3</v>
      </c>
      <c r="Q32" s="54">
        <v>-770.60180570169905</v>
      </c>
      <c r="R32" s="54">
        <v>308.52606758399361</v>
      </c>
      <c r="S32" s="54">
        <v>-1710.685686088118</v>
      </c>
      <c r="T32" s="55">
        <v>-853.0596496412727</v>
      </c>
      <c r="U32" s="61">
        <v>0.23082682427693632</v>
      </c>
      <c r="W32" s="5"/>
      <c r="X32" s="5"/>
      <c r="Y32" s="5"/>
      <c r="Z32" s="18"/>
      <c r="AA32" s="5"/>
      <c r="AB32" s="18"/>
      <c r="AC32" s="62"/>
      <c r="AD32" s="62"/>
      <c r="AE32" s="5"/>
      <c r="AF32" s="5"/>
    </row>
    <row r="33" spans="1:74">
      <c r="A33" s="47">
        <v>45419.625</v>
      </c>
      <c r="B33" s="48">
        <v>3659.0075999999999</v>
      </c>
      <c r="C33" s="49">
        <v>3.0916843096440161E-4</v>
      </c>
      <c r="D33" s="85" t="b">
        <v>0</v>
      </c>
      <c r="E33" s="106">
        <v>290721.12489297398</v>
      </c>
      <c r="F33" s="25">
        <v>20290721.124892972</v>
      </c>
      <c r="G33" s="106">
        <v>1212.0524254377494</v>
      </c>
      <c r="H33" s="106">
        <v>4434909.0362751586</v>
      </c>
      <c r="I33" s="106">
        <v>-765503.60515445587</v>
      </c>
      <c r="J33" s="106">
        <v>-42101.790815291264</v>
      </c>
      <c r="K33" s="106">
        <v>7085.3146255398742</v>
      </c>
      <c r="L33" s="106">
        <v>-92903.926512003134</v>
      </c>
      <c r="M33" s="106">
        <v>-46317.911815358282</v>
      </c>
      <c r="N33" s="53">
        <v>52.381085687166433</v>
      </c>
      <c r="O33" s="54">
        <v>0.21838324262664208</v>
      </c>
      <c r="P33" s="54">
        <v>-1.030192829108314E-3</v>
      </c>
      <c r="Q33" s="54">
        <v>-758.57491026522439</v>
      </c>
      <c r="R33" s="54">
        <v>308.93876866750361</v>
      </c>
      <c r="S33" s="54">
        <v>-1673.909502479728</v>
      </c>
      <c r="T33" s="55">
        <v>-834.53946064087177</v>
      </c>
      <c r="U33" s="61">
        <v>4.8095320694021334E-3</v>
      </c>
    </row>
    <row r="34" spans="1:74">
      <c r="A34" s="47">
        <v>45420.625</v>
      </c>
      <c r="B34" s="48">
        <v>3630.2233000000001</v>
      </c>
      <c r="C34" s="49">
        <v>-7.8666958767726891E-3</v>
      </c>
      <c r="D34" s="85" t="b">
        <v>0</v>
      </c>
      <c r="E34" s="106">
        <v>260747.6683789588</v>
      </c>
      <c r="F34" s="25">
        <v>20260747.66837896</v>
      </c>
      <c r="G34" s="106">
        <v>1374.9448952607095</v>
      </c>
      <c r="H34" s="106">
        <v>4991356.9949914869</v>
      </c>
      <c r="I34" s="106">
        <v>-801302.20024600532</v>
      </c>
      <c r="J34" s="106">
        <v>-45683.651317075157</v>
      </c>
      <c r="K34" s="106">
        <v>7341.0855799174351</v>
      </c>
      <c r="L34" s="106">
        <v>-102096.11289639096</v>
      </c>
      <c r="M34" s="106">
        <v>-53069.220638653118</v>
      </c>
      <c r="N34" s="53">
        <v>46.980576196914626</v>
      </c>
      <c r="O34" s="54">
        <v>0.24773262142645167</v>
      </c>
      <c r="P34" s="54">
        <v>-1.0955382889717804E-3</v>
      </c>
      <c r="Q34" s="54">
        <v>-823.11158331658589</v>
      </c>
      <c r="R34" s="54">
        <v>320.09106999530741</v>
      </c>
      <c r="S34" s="54">
        <v>-1839.5310075665293</v>
      </c>
      <c r="T34" s="55">
        <v>-956.18211254782182</v>
      </c>
      <c r="U34" s="61">
        <v>0.12237706799996087</v>
      </c>
      <c r="Z34" s="4">
        <f>AB12-Z9</f>
        <v>214</v>
      </c>
    </row>
    <row r="35" spans="1:74">
      <c r="A35" s="47">
        <v>45421.625</v>
      </c>
      <c r="B35" s="48">
        <v>3664.5610000000001</v>
      </c>
      <c r="C35" s="49">
        <v>9.458839625650528E-3</v>
      </c>
      <c r="D35" s="85" t="b">
        <v>0</v>
      </c>
      <c r="E35" s="106">
        <v>311484.82106481289</v>
      </c>
      <c r="F35" s="25">
        <v>20311484.821064811</v>
      </c>
      <c r="G35" s="106">
        <v>1163.8907884238615</v>
      </c>
      <c r="H35" s="106">
        <v>4265148.791517335</v>
      </c>
      <c r="I35" s="106">
        <v>-777557.10061892355</v>
      </c>
      <c r="J35" s="106">
        <v>-40199.673358554777</v>
      </c>
      <c r="K35" s="106">
        <v>7134.3462227268819</v>
      </c>
      <c r="L35" s="106">
        <v>-87538.327443553484</v>
      </c>
      <c r="M35" s="106">
        <v>-43399.705521459335</v>
      </c>
      <c r="N35" s="53">
        <v>56.122213714102145</v>
      </c>
      <c r="O35" s="54">
        <v>0.209705652251373</v>
      </c>
      <c r="P35" s="54">
        <v>-1.0432449384916167E-3</v>
      </c>
      <c r="Q35" s="54">
        <v>-724.30324269203084</v>
      </c>
      <c r="R35" s="54">
        <v>311.07667814101569</v>
      </c>
      <c r="S35" s="54">
        <v>-1577.2340700800669</v>
      </c>
      <c r="T35" s="55">
        <v>-781.9602701916665</v>
      </c>
      <c r="U35" s="61">
        <v>0.14714501211197728</v>
      </c>
      <c r="Z35" s="4">
        <f>Z19*AD12*Z34/365</f>
        <v>1266410.9589041097</v>
      </c>
    </row>
    <row r="36" spans="1:74">
      <c r="A36" s="47">
        <v>45422.625</v>
      </c>
      <c r="B36" s="48">
        <v>3666.2770999999998</v>
      </c>
      <c r="C36" s="49">
        <v>4.6829620246446879E-4</v>
      </c>
      <c r="D36" s="85" t="b">
        <v>0</v>
      </c>
      <c r="E36" s="106">
        <v>320589.79794001288</v>
      </c>
      <c r="F36" s="25">
        <v>20320589.797940012</v>
      </c>
      <c r="G36" s="106">
        <v>1145.1742232840525</v>
      </c>
      <c r="H36" s="106">
        <v>4198526.0303366082</v>
      </c>
      <c r="I36" s="106">
        <v>-783386.45216451108</v>
      </c>
      <c r="J36" s="106">
        <v>-39371.628708226526</v>
      </c>
      <c r="K36" s="106">
        <v>7155.4985183312438</v>
      </c>
      <c r="L36" s="106">
        <v>-85185.471798470637</v>
      </c>
      <c r="M36" s="106">
        <v>-42176.09300624147</v>
      </c>
      <c r="N36" s="53">
        <v>57.762715669558929</v>
      </c>
      <c r="O36" s="54">
        <v>0.20633336892411672</v>
      </c>
      <c r="P36" s="54">
        <v>-1.0500824242873966E-3</v>
      </c>
      <c r="Q36" s="54">
        <v>-709.38383227849044</v>
      </c>
      <c r="R36" s="54">
        <v>311.99897510365827</v>
      </c>
      <c r="S36" s="54">
        <v>-1534.8411640949962</v>
      </c>
      <c r="T36" s="55">
        <v>-759.91366039297645</v>
      </c>
      <c r="U36" s="61">
        <v>7.284979248063754E-3</v>
      </c>
    </row>
    <row r="37" spans="1:74">
      <c r="A37" s="47">
        <v>45425.625</v>
      </c>
      <c r="B37" s="48">
        <v>3664.6907000000001</v>
      </c>
      <c r="C37" s="49">
        <v>-4.3270051791766129E-4</v>
      </c>
      <c r="D37" s="85" t="b">
        <v>0</v>
      </c>
      <c r="E37" s="106">
        <v>325940.22831456969</v>
      </c>
      <c r="F37" s="25">
        <v>20325940.228314571</v>
      </c>
      <c r="G37" s="106">
        <v>1145.6282071306039</v>
      </c>
      <c r="H37" s="106">
        <v>4198373.0363291977</v>
      </c>
      <c r="I37" s="106">
        <v>-795441.40586008586</v>
      </c>
      <c r="J37" s="106">
        <v>-38997.757097158166</v>
      </c>
      <c r="K37" s="106">
        <v>7217.1405597939947</v>
      </c>
      <c r="L37" s="106">
        <v>-84002.43284944004</v>
      </c>
      <c r="M37" s="106">
        <v>-41761.116752309121</v>
      </c>
      <c r="N37" s="53">
        <v>58.726736952897227</v>
      </c>
      <c r="O37" s="54">
        <v>0.20641516609924651</v>
      </c>
      <c r="P37" s="54">
        <v>-1.0671646903244111E-3</v>
      </c>
      <c r="Q37" s="54">
        <v>-702.64754818404072</v>
      </c>
      <c r="R37" s="54">
        <v>314.68673385455531</v>
      </c>
      <c r="S37" s="54">
        <v>-1513.5255942053846</v>
      </c>
      <c r="T37" s="55">
        <v>-752.43676764107477</v>
      </c>
      <c r="U37" s="61">
        <v>6.731240349735209E-3</v>
      </c>
    </row>
    <row r="38" spans="1:74">
      <c r="A38" s="47">
        <v>45426.625</v>
      </c>
      <c r="B38" s="48">
        <v>3657.0454</v>
      </c>
      <c r="C38" s="49">
        <v>-2.0862060746354993E-3</v>
      </c>
      <c r="D38" s="85" t="b">
        <v>0</v>
      </c>
      <c r="E38" s="106">
        <v>324308.25078183715</v>
      </c>
      <c r="F38" s="25">
        <v>20324308.250781838</v>
      </c>
      <c r="G38" s="106">
        <v>1182.6138534453594</v>
      </c>
      <c r="H38" s="106">
        <v>4324872.5527186254</v>
      </c>
      <c r="I38" s="106">
        <v>-811944.7997159129</v>
      </c>
      <c r="J38" s="106">
        <v>-39567.070317061698</v>
      </c>
      <c r="K38" s="106">
        <v>7299.5668979425545</v>
      </c>
      <c r="L38" s="106">
        <v>-85079.655288022142</v>
      </c>
      <c r="M38" s="106">
        <v>-42875.861104362135</v>
      </c>
      <c r="N38" s="53">
        <v>58.432693116168593</v>
      </c>
      <c r="O38" s="54">
        <v>0.21307910670391242</v>
      </c>
      <c r="P38" s="54">
        <v>-1.0938649485205563E-3</v>
      </c>
      <c r="Q38" s="54">
        <v>-712.90522882750338</v>
      </c>
      <c r="R38" s="54">
        <v>318.28074382577051</v>
      </c>
      <c r="S38" s="54">
        <v>-1532.934600303679</v>
      </c>
      <c r="T38" s="55">
        <v>-772.52183006839914</v>
      </c>
      <c r="U38" s="61">
        <v>3.2453750171201265E-2</v>
      </c>
      <c r="AJ38" s="87"/>
      <c r="AK38" s="86"/>
      <c r="AL38" s="87"/>
      <c r="AM38" s="86"/>
      <c r="AN38" s="87"/>
      <c r="AO38" s="86"/>
      <c r="AP38" s="87"/>
      <c r="AQ38" s="86"/>
      <c r="AR38" s="90"/>
      <c r="AS38" s="87"/>
      <c r="AT38" s="86"/>
      <c r="AU38" s="87"/>
      <c r="AV38" s="86"/>
      <c r="AW38" s="87"/>
      <c r="AX38" s="86"/>
      <c r="AY38" s="87"/>
      <c r="AZ38" s="86"/>
      <c r="BA38" s="87"/>
      <c r="BB38" s="86"/>
      <c r="BC38" s="87"/>
      <c r="BD38" s="86"/>
      <c r="BE38" s="87"/>
      <c r="BF38" s="86"/>
      <c r="BG38" s="87"/>
      <c r="BH38" s="86"/>
      <c r="BI38" s="87"/>
      <c r="BJ38" s="86"/>
      <c r="BK38" s="87"/>
      <c r="BL38" s="86"/>
      <c r="BM38" s="87"/>
      <c r="BN38" s="86"/>
      <c r="BO38" s="87"/>
      <c r="BP38" s="86"/>
      <c r="BQ38" s="87"/>
      <c r="BR38" s="86"/>
      <c r="BS38" s="87"/>
      <c r="BT38" s="86"/>
      <c r="BU38" s="87"/>
      <c r="BV38" s="86"/>
    </row>
    <row r="39" spans="1:74">
      <c r="A39" s="47">
        <v>45427.625</v>
      </c>
      <c r="B39" s="48">
        <v>3626.0558999999998</v>
      </c>
      <c r="C39" s="49">
        <v>-8.473917222903582E-3</v>
      </c>
      <c r="D39" s="85" t="b">
        <v>0</v>
      </c>
      <c r="E39" s="106">
        <v>292256.53681476432</v>
      </c>
      <c r="F39" s="25">
        <v>20292256.536814764</v>
      </c>
      <c r="G39" s="106">
        <v>1370.3215223122227</v>
      </c>
      <c r="H39" s="106">
        <v>4968862.4408772169</v>
      </c>
      <c r="I39" s="106">
        <v>-856094.57598087599</v>
      </c>
      <c r="J39" s="106">
        <v>-43648.782241786088</v>
      </c>
      <c r="K39" s="106">
        <v>7613.660056834653</v>
      </c>
      <c r="L39" s="106">
        <v>-95694.595689218171</v>
      </c>
      <c r="M39" s="106">
        <v>-50421.569787518441</v>
      </c>
      <c r="N39" s="53">
        <v>52.657730679751694</v>
      </c>
      <c r="O39" s="54">
        <v>0.24689959873273593</v>
      </c>
      <c r="P39" s="54">
        <v>-1.173142209125194E-3</v>
      </c>
      <c r="Q39" s="54">
        <v>-786.44804487089459</v>
      </c>
      <c r="R39" s="54">
        <v>331.97605008715163</v>
      </c>
      <c r="S39" s="54">
        <v>-1724.1907750738847</v>
      </c>
      <c r="T39" s="55">
        <v>-908.47769266638352</v>
      </c>
      <c r="U39" s="61">
        <v>0.1318232152936292</v>
      </c>
    </row>
    <row r="40" spans="1:74">
      <c r="A40" s="47">
        <v>45428.625</v>
      </c>
      <c r="B40" s="48">
        <v>3640.3591999999999</v>
      </c>
      <c r="C40" s="49">
        <v>3.9445889402862644E-3</v>
      </c>
      <c r="D40" s="85" t="b">
        <v>0</v>
      </c>
      <c r="E40" s="106">
        <v>318714.21891557856</v>
      </c>
      <c r="F40" s="25">
        <v>20318714.218915578</v>
      </c>
      <c r="G40" s="106">
        <v>1270.9392831458313</v>
      </c>
      <c r="H40" s="106">
        <v>4626675.5120413313</v>
      </c>
      <c r="I40" s="106">
        <v>-852863.52974389785</v>
      </c>
      <c r="J40" s="106">
        <v>-40871.345902723508</v>
      </c>
      <c r="K40" s="106">
        <v>7610.4157311150848</v>
      </c>
      <c r="L40" s="106">
        <v>-88082.163204397933</v>
      </c>
      <c r="M40" s="106">
        <v>-45629.557923090717</v>
      </c>
      <c r="N40" s="53">
        <v>57.424780593020841</v>
      </c>
      <c r="O40" s="54">
        <v>0.22899326465579653</v>
      </c>
      <c r="P40" s="54">
        <v>-1.1595486434738391E-3</v>
      </c>
      <c r="Q40" s="54">
        <v>-736.40519679074714</v>
      </c>
      <c r="R40" s="54">
        <v>331.83458876243549</v>
      </c>
      <c r="S40" s="54">
        <v>-1587.0327070380881</v>
      </c>
      <c r="T40" s="55">
        <v>-822.13694801739621</v>
      </c>
      <c r="U40" s="61">
        <v>6.1363402950737243E-2</v>
      </c>
    </row>
    <row r="41" spans="1:74">
      <c r="A41" s="47">
        <v>45429.625</v>
      </c>
      <c r="B41" s="48">
        <v>3677.9695999999999</v>
      </c>
      <c r="C41" s="49">
        <v>1.033150794569937E-2</v>
      </c>
      <c r="D41" s="85" t="b">
        <v>0</v>
      </c>
      <c r="E41" s="106">
        <v>369286.99317653268</v>
      </c>
      <c r="F41" s="25">
        <v>20369286.993176531</v>
      </c>
      <c r="G41" s="106">
        <v>1026.3222915370557</v>
      </c>
      <c r="H41" s="106">
        <v>3774782.1880756277</v>
      </c>
      <c r="I41" s="106">
        <v>-817181.83117301541</v>
      </c>
      <c r="J41" s="106">
        <v>-34351.458181721035</v>
      </c>
      <c r="K41" s="106">
        <v>7314.8056790625133</v>
      </c>
      <c r="L41" s="106">
        <v>-71678.313402742802</v>
      </c>
      <c r="M41" s="106">
        <v>-35055.507508789437</v>
      </c>
      <c r="N41" s="53">
        <v>66.536800997372211</v>
      </c>
      <c r="O41" s="54">
        <v>0.18491905572889714</v>
      </c>
      <c r="P41" s="54">
        <v>-1.0884295822437674E-3</v>
      </c>
      <c r="Q41" s="54">
        <v>-618.93220699330413</v>
      </c>
      <c r="R41" s="54">
        <v>318.94519565663541</v>
      </c>
      <c r="S41" s="54">
        <v>-1291.4740466977946</v>
      </c>
      <c r="T41" s="55">
        <v>-631.61751431066477</v>
      </c>
      <c r="U41" s="61">
        <v>0.16072054522230786</v>
      </c>
    </row>
    <row r="42" spans="1:74">
      <c r="A42" s="47">
        <v>45432.625</v>
      </c>
      <c r="B42" s="48">
        <v>3690.9623000000001</v>
      </c>
      <c r="C42" s="49">
        <v>3.5325740593397104E-3</v>
      </c>
      <c r="D42" s="85" t="b">
        <v>0</v>
      </c>
      <c r="E42" s="106">
        <v>389249.77889213507</v>
      </c>
      <c r="F42" s="25">
        <v>20389249.778892133</v>
      </c>
      <c r="G42" s="106">
        <v>936.97756028370554</v>
      </c>
      <c r="H42" s="106">
        <v>3458348.8509531347</v>
      </c>
      <c r="I42" s="106">
        <v>-803226.89230897441</v>
      </c>
      <c r="J42" s="106">
        <v>-31540.514022382289</v>
      </c>
      <c r="K42" s="106">
        <v>7200.7454601181844</v>
      </c>
      <c r="L42" s="106">
        <v>-65042.269574209553</v>
      </c>
      <c r="M42" s="106">
        <v>-31082.312465186234</v>
      </c>
      <c r="N42" s="53">
        <v>70.133623861580872</v>
      </c>
      <c r="O42" s="54">
        <v>0.16882124369270102</v>
      </c>
      <c r="P42" s="54">
        <v>-1.0623238384259855E-3</v>
      </c>
      <c r="Q42" s="54">
        <v>-568.28562707023593</v>
      </c>
      <c r="R42" s="54">
        <v>313.97186342554596</v>
      </c>
      <c r="S42" s="54">
        <v>-1171.9081979710609</v>
      </c>
      <c r="T42" s="55">
        <v>-560.02991636523802</v>
      </c>
      <c r="U42" s="61">
        <v>5.4953955592861564E-2</v>
      </c>
      <c r="AH42" s="87"/>
      <c r="AI42" s="86"/>
    </row>
    <row r="43" spans="1:74">
      <c r="A43" s="47">
        <v>45433.625</v>
      </c>
      <c r="B43" s="48">
        <v>3676.1610999999998</v>
      </c>
      <c r="C43" s="49">
        <v>-4.0101195289912184E-3</v>
      </c>
      <c r="D43" s="85" t="b">
        <v>0</v>
      </c>
      <c r="E43" s="106">
        <v>382142.85746292589</v>
      </c>
      <c r="F43" s="25">
        <v>20382142.857462928</v>
      </c>
      <c r="G43" s="106">
        <v>1014.4322931289678</v>
      </c>
      <c r="H43" s="106">
        <v>3729216.5345845083</v>
      </c>
      <c r="I43" s="106">
        <v>-843856.6615399014</v>
      </c>
      <c r="J43" s="106">
        <v>-33127.253068450933</v>
      </c>
      <c r="K43" s="106">
        <v>7430.1536329652417</v>
      </c>
      <c r="L43" s="106">
        <v>-68322.329213778867</v>
      </c>
      <c r="M43" s="106">
        <v>-33629.184456801631</v>
      </c>
      <c r="N43" s="53">
        <v>68.853124343383115</v>
      </c>
      <c r="O43" s="54">
        <v>0.18277675861972212</v>
      </c>
      <c r="P43" s="54">
        <v>-1.1250647507431006E-3</v>
      </c>
      <c r="Q43" s="54">
        <v>-596.8749199762442</v>
      </c>
      <c r="R43" s="54">
        <v>323.9746765943728</v>
      </c>
      <c r="S43" s="54">
        <v>-1231.0071317353504</v>
      </c>
      <c r="T43" s="55">
        <v>-605.91853903624724</v>
      </c>
      <c r="U43" s="61">
        <v>6.2382819671002475E-2</v>
      </c>
    </row>
    <row r="44" spans="1:74">
      <c r="A44" s="47">
        <v>45434.625</v>
      </c>
      <c r="B44" s="48">
        <v>3684.451</v>
      </c>
      <c r="C44" s="49">
        <v>2.2550426312928362E-3</v>
      </c>
      <c r="D44" s="85" t="b">
        <v>0</v>
      </c>
      <c r="E44" s="106">
        <v>397670.60784307175</v>
      </c>
      <c r="F44" s="25">
        <v>20397670.607843071</v>
      </c>
      <c r="G44" s="106">
        <v>950.39666227440125</v>
      </c>
      <c r="H44" s="106">
        <v>3501689.9327135799</v>
      </c>
      <c r="I44" s="106">
        <v>-843266.30520369101</v>
      </c>
      <c r="J44" s="106">
        <v>-30993.324248916513</v>
      </c>
      <c r="K44" s="106">
        <v>7396.9010100533287</v>
      </c>
      <c r="L44" s="106">
        <v>-63168.524751054181</v>
      </c>
      <c r="M44" s="106">
        <v>-30655.867046169737</v>
      </c>
      <c r="N44" s="53">
        <v>71.650858506976419</v>
      </c>
      <c r="O44" s="54">
        <v>0.17123904918061741</v>
      </c>
      <c r="P44" s="54">
        <v>-1.119224175199022E-3</v>
      </c>
      <c r="Q44" s="54">
        <v>-558.42655872024807</v>
      </c>
      <c r="R44" s="54">
        <v>322.52477282576092</v>
      </c>
      <c r="S44" s="54">
        <v>-1138.1477382955836</v>
      </c>
      <c r="T44" s="55">
        <v>-552.34637632574959</v>
      </c>
      <c r="U44" s="61">
        <v>3.5080230601942236E-2</v>
      </c>
    </row>
    <row r="45" spans="1:74">
      <c r="A45" s="47">
        <v>45435.625</v>
      </c>
      <c r="B45" s="48">
        <v>3641.7917000000002</v>
      </c>
      <c r="C45" s="49">
        <v>-1.1578197131675738E-2</v>
      </c>
      <c r="D45" s="85" t="b">
        <v>0</v>
      </c>
      <c r="E45" s="106">
        <v>359233.07218801358</v>
      </c>
      <c r="F45" s="25">
        <v>20359233.072188012</v>
      </c>
      <c r="G45" s="106">
        <v>1221.3361225673193</v>
      </c>
      <c r="H45" s="106">
        <v>4447851.7540758466</v>
      </c>
      <c r="I45" s="106">
        <v>-926552.0174405548</v>
      </c>
      <c r="J45" s="106">
        <v>-37383.972534959794</v>
      </c>
      <c r="K45" s="106">
        <v>7934.6008932487885</v>
      </c>
      <c r="L45" s="106">
        <v>-78105.007593378672</v>
      </c>
      <c r="M45" s="106">
        <v>-40758.632764704991</v>
      </c>
      <c r="N45" s="53">
        <v>64.725321707776402</v>
      </c>
      <c r="O45" s="54">
        <v>0.22005594575413831</v>
      </c>
      <c r="P45" s="54">
        <v>-1.2587442733453694E-3</v>
      </c>
      <c r="Q45" s="54">
        <v>-673.57095890479286</v>
      </c>
      <c r="R45" s="54">
        <v>345.9699335005289</v>
      </c>
      <c r="S45" s="54">
        <v>-1407.2679090147631</v>
      </c>
      <c r="T45" s="55">
        <v>-734.37437204665912</v>
      </c>
      <c r="U45" s="61">
        <v>0.18011447752589607</v>
      </c>
    </row>
    <row r="46" spans="1:74">
      <c r="A46" s="47">
        <v>45436.625</v>
      </c>
      <c r="B46" s="48">
        <v>3601.4753999999998</v>
      </c>
      <c r="C46" s="49">
        <v>-1.1070457434454672E-2</v>
      </c>
      <c r="D46" s="85" t="b">
        <v>0</v>
      </c>
      <c r="E46" s="106">
        <v>312397.03014928917</v>
      </c>
      <c r="F46" s="25">
        <v>20312397.030149288</v>
      </c>
      <c r="G46" s="106">
        <v>1508.1910637830015</v>
      </c>
      <c r="H46" s="106">
        <v>5431713.0147143109</v>
      </c>
      <c r="I46" s="106">
        <v>-967207.54119882279</v>
      </c>
      <c r="J46" s="106">
        <v>-43655.216560522254</v>
      </c>
      <c r="K46" s="106">
        <v>8308.5738100209328</v>
      </c>
      <c r="L46" s="106">
        <v>-94921.570585586072</v>
      </c>
      <c r="M46" s="106">
        <v>-52113.404428787049</v>
      </c>
      <c r="N46" s="53">
        <v>56.286572262990376</v>
      </c>
      <c r="O46" s="54">
        <v>0.27174043638459155</v>
      </c>
      <c r="P46" s="54">
        <v>-1.3435587881296762E-3</v>
      </c>
      <c r="Q46" s="54">
        <v>-786.56397610952808</v>
      </c>
      <c r="R46" s="54">
        <v>362.27615821017298</v>
      </c>
      <c r="S46" s="54">
        <v>-1710.2626870456788</v>
      </c>
      <c r="T46" s="55">
        <v>-938.96056017229057</v>
      </c>
      <c r="U46" s="61">
        <v>0.17221590150027841</v>
      </c>
    </row>
    <row r="47" spans="1:74">
      <c r="A47" s="47">
        <v>45439.625</v>
      </c>
      <c r="B47" s="48">
        <v>3635.7078999999999</v>
      </c>
      <c r="C47" s="49">
        <v>9.5051322577408559E-3</v>
      </c>
      <c r="D47" s="85" t="b">
        <v>0</v>
      </c>
      <c r="E47" s="106">
        <v>367797.82056021848</v>
      </c>
      <c r="F47" s="25">
        <v>20367797.820560217</v>
      </c>
      <c r="G47" s="106">
        <v>1249.0363129142797</v>
      </c>
      <c r="H47" s="106">
        <v>4541131.1902493183</v>
      </c>
      <c r="I47" s="106">
        <v>-973658.80437991268</v>
      </c>
      <c r="J47" s="106">
        <v>-36936.420433797699</v>
      </c>
      <c r="K47" s="106">
        <v>8251.3147810421651</v>
      </c>
      <c r="L47" s="106">
        <v>-76750.120411804543</v>
      </c>
      <c r="M47" s="106">
        <v>-40551.143052447733</v>
      </c>
      <c r="N47" s="53">
        <v>66.268487236386136</v>
      </c>
      <c r="O47" s="54">
        <v>0.2250468663301684</v>
      </c>
      <c r="P47" s="54">
        <v>-1.3271705401828972E-3</v>
      </c>
      <c r="Q47" s="54">
        <v>-665.50712626481072</v>
      </c>
      <c r="R47" s="54">
        <v>359.77951058862163</v>
      </c>
      <c r="S47" s="54">
        <v>-1382.8560395365457</v>
      </c>
      <c r="T47" s="55">
        <v>-730.63589710750421</v>
      </c>
      <c r="U47" s="61">
        <v>0.14786515646151827</v>
      </c>
    </row>
    <row r="48" spans="1:74">
      <c r="A48" s="47">
        <v>45440.625</v>
      </c>
      <c r="B48" s="48">
        <v>3609.1723999999999</v>
      </c>
      <c r="C48" s="49">
        <v>-7.2985786344387238E-3</v>
      </c>
      <c r="D48" s="85" t="b">
        <v>0</v>
      </c>
      <c r="E48" s="106">
        <v>340464.92848293355</v>
      </c>
      <c r="F48" s="25">
        <v>20340464.928482935</v>
      </c>
      <c r="G48" s="106">
        <v>1444.2738288860942</v>
      </c>
      <c r="H48" s="106">
        <v>5212633.241258014</v>
      </c>
      <c r="I48" s="106">
        <v>-1009215.9735485266</v>
      </c>
      <c r="J48" s="106">
        <v>-41053.133416878081</v>
      </c>
      <c r="K48" s="106">
        <v>8503.3728883527529</v>
      </c>
      <c r="L48" s="106">
        <v>-87524.213427742536</v>
      </c>
      <c r="M48" s="106">
        <v>-47843.415727013613</v>
      </c>
      <c r="N48" s="53">
        <v>61.343745140312421</v>
      </c>
      <c r="O48" s="54">
        <v>0.26022405910291241</v>
      </c>
      <c r="P48" s="54">
        <v>-1.3959400448892401E-3</v>
      </c>
      <c r="Q48" s="54">
        <v>-739.68057877727915</v>
      </c>
      <c r="R48" s="54">
        <v>370.76992180120214</v>
      </c>
      <c r="S48" s="54">
        <v>-1576.9797688242306</v>
      </c>
      <c r="T48" s="55">
        <v>-862.02544093966935</v>
      </c>
      <c r="U48" s="61">
        <v>0.11353923779956722</v>
      </c>
      <c r="AH48"/>
    </row>
    <row r="49" spans="1:34">
      <c r="A49" s="47">
        <v>45441.625</v>
      </c>
      <c r="B49" s="48">
        <v>3613.5223000000001</v>
      </c>
      <c r="C49" s="49">
        <v>1.20523475132428E-3</v>
      </c>
      <c r="D49" s="85" t="b">
        <v>0</v>
      </c>
      <c r="E49" s="106">
        <v>355161.21122370422</v>
      </c>
      <c r="F49" s="25">
        <v>20355161.211223703</v>
      </c>
      <c r="G49" s="106">
        <v>1407.3751744999765</v>
      </c>
      <c r="H49" s="106">
        <v>5085581.5775220571</v>
      </c>
      <c r="I49" s="106">
        <v>-1033690.7780195439</v>
      </c>
      <c r="J49" s="106">
        <v>-39530.471805432418</v>
      </c>
      <c r="K49" s="106">
        <v>8640.3774814454518</v>
      </c>
      <c r="L49" s="106">
        <v>-83403.022203860804</v>
      </c>
      <c r="M49" s="106">
        <v>-45465.178610549992</v>
      </c>
      <c r="N49" s="53">
        <v>63.991668457926608</v>
      </c>
      <c r="O49" s="54">
        <v>0.25357579239077754</v>
      </c>
      <c r="P49" s="54">
        <v>-1.4263531600980828E-3</v>
      </c>
      <c r="Q49" s="54">
        <v>-712.24581002043124</v>
      </c>
      <c r="R49" s="54">
        <v>376.74369043799379</v>
      </c>
      <c r="S49" s="54">
        <v>-1502.7256289811703</v>
      </c>
      <c r="T49" s="55">
        <v>-819.17522074058979</v>
      </c>
      <c r="U49" s="61">
        <v>1.8749052642827776E-2</v>
      </c>
    </row>
    <row r="50" spans="1:34">
      <c r="A50" s="47">
        <v>45442.625</v>
      </c>
      <c r="B50" s="48">
        <v>3594.3121000000001</v>
      </c>
      <c r="C50" s="49">
        <v>-5.3161979932986325E-3</v>
      </c>
      <c r="D50" s="85" t="b">
        <v>0</v>
      </c>
      <c r="E50" s="106">
        <v>335358.78560011316</v>
      </c>
      <c r="F50" s="25">
        <v>20335358.785600115</v>
      </c>
      <c r="G50" s="106">
        <v>1560.7566661089418</v>
      </c>
      <c r="H50" s="106">
        <v>5609846.5701510292</v>
      </c>
      <c r="I50" s="106">
        <v>-1051102.7477258372</v>
      </c>
      <c r="J50" s="106">
        <v>-42506.275556311521</v>
      </c>
      <c r="K50" s="106">
        <v>8732.6048867793161</v>
      </c>
      <c r="L50" s="106">
        <v>-91663.405513451478</v>
      </c>
      <c r="M50" s="106">
        <v>-51059.022967827441</v>
      </c>
      <c r="N50" s="53">
        <v>60.423738697800218</v>
      </c>
      <c r="O50" s="54">
        <v>0.28121151737551109</v>
      </c>
      <c r="P50" s="54">
        <v>-1.4659241745728279E-3</v>
      </c>
      <c r="Q50" s="54">
        <v>-765.86277071442055</v>
      </c>
      <c r="R50" s="54">
        <v>380.76505329159772</v>
      </c>
      <c r="S50" s="54">
        <v>-1651.5582417153837</v>
      </c>
      <c r="T50" s="55">
        <v>-919.96309458604628</v>
      </c>
      <c r="U50" s="61">
        <v>8.2700632326219145E-2</v>
      </c>
    </row>
    <row r="51" spans="1:34">
      <c r="A51" s="47">
        <v>45443.625</v>
      </c>
      <c r="B51" s="48">
        <v>3579.9247</v>
      </c>
      <c r="C51" s="49">
        <v>-4.0028243512855166E-3</v>
      </c>
      <c r="D51" s="85" t="b">
        <v>0</v>
      </c>
      <c r="E51" s="106">
        <v>320764.39791292563</v>
      </c>
      <c r="F51" s="25">
        <v>20320764.397912927</v>
      </c>
      <c r="G51" s="106">
        <v>1682.6832286614433</v>
      </c>
      <c r="H51" s="106">
        <v>6023879.2525608493</v>
      </c>
      <c r="I51" s="106">
        <v>-1058801.0564036558</v>
      </c>
      <c r="J51" s="106">
        <v>-44649.359081375274</v>
      </c>
      <c r="K51" s="106">
        <v>8865.9962310369683</v>
      </c>
      <c r="L51" s="106">
        <v>-98053.572086384447</v>
      </c>
      <c r="M51" s="106">
        <v>-55410.079889275636</v>
      </c>
      <c r="N51" s="53">
        <v>57.794174464118441</v>
      </c>
      <c r="O51" s="54">
        <v>0.30317980648059561</v>
      </c>
      <c r="P51" s="54">
        <v>-1.488553635043831E-3</v>
      </c>
      <c r="Q51" s="54">
        <v>-804.47607815895026</v>
      </c>
      <c r="R51" s="54">
        <v>386.58127456387774</v>
      </c>
      <c r="S51" s="54">
        <v>-1766.6939625665236</v>
      </c>
      <c r="T51" s="55">
        <v>-998.35887181620819</v>
      </c>
      <c r="U51" s="61">
        <v>6.2269333339237898E-2</v>
      </c>
    </row>
    <row r="52" spans="1:34">
      <c r="A52" s="47">
        <v>45446.625</v>
      </c>
      <c r="B52" s="48">
        <v>3588.7483000000002</v>
      </c>
      <c r="C52" s="49">
        <v>2.4647445796834866E-3</v>
      </c>
      <c r="D52" s="85" t="b">
        <v>0</v>
      </c>
      <c r="E52" s="106">
        <v>344267.11128239252</v>
      </c>
      <c r="F52" s="25">
        <v>20344267.111282393</v>
      </c>
      <c r="G52" s="106">
        <v>1614.5288899220893</v>
      </c>
      <c r="H52" s="106">
        <v>5794137.8090087855</v>
      </c>
      <c r="I52" s="106">
        <v>-1100699.2330617886</v>
      </c>
      <c r="J52" s="106">
        <v>-42340.656256734015</v>
      </c>
      <c r="K52" s="106">
        <v>9074.8462229564793</v>
      </c>
      <c r="L52" s="106">
        <v>-91291.062566342734</v>
      </c>
      <c r="M52" s="106">
        <v>-51282.683880252123</v>
      </c>
      <c r="N52" s="53">
        <v>62.028808749260861</v>
      </c>
      <c r="O52" s="54">
        <v>0.2909000030821583</v>
      </c>
      <c r="P52" s="54">
        <v>-1.5398576310509645E-3</v>
      </c>
      <c r="Q52" s="54">
        <v>-762.87870179758102</v>
      </c>
      <c r="R52" s="54">
        <v>395.6876957674267</v>
      </c>
      <c r="S52" s="54">
        <v>-1644.849500537839</v>
      </c>
      <c r="T52" s="55">
        <v>-923.99293638818563</v>
      </c>
      <c r="U52" s="61">
        <v>3.8342427336113566E-2</v>
      </c>
    </row>
    <row r="53" spans="1:34">
      <c r="A53" s="47">
        <v>45447.625</v>
      </c>
      <c r="B53" s="48">
        <v>3615.6714000000002</v>
      </c>
      <c r="C53" s="49">
        <v>7.5020864517023611E-3</v>
      </c>
      <c r="D53" s="85" t="b">
        <v>0</v>
      </c>
      <c r="E53" s="106">
        <v>393764.6236482925</v>
      </c>
      <c r="F53" s="25">
        <v>20393764.623648293</v>
      </c>
      <c r="G53" s="106">
        <v>1382.8869268405397</v>
      </c>
      <c r="H53" s="106">
        <v>5000064.7108112322</v>
      </c>
      <c r="I53" s="106">
        <v>-1172035.3403914252</v>
      </c>
      <c r="J53" s="106">
        <v>-35808.574266145115</v>
      </c>
      <c r="K53" s="106">
        <v>9446.5222330100569</v>
      </c>
      <c r="L53" s="106">
        <v>-73717.066962247438</v>
      </c>
      <c r="M53" s="106">
        <v>-40423.081455374908</v>
      </c>
      <c r="N53" s="53">
        <v>70.947092336304195</v>
      </c>
      <c r="O53" s="54">
        <v>0.24916358808519179</v>
      </c>
      <c r="P53" s="54">
        <v>-1.6153279379473738E-3</v>
      </c>
      <c r="Q53" s="54">
        <v>-645.18600004066684</v>
      </c>
      <c r="R53" s="54">
        <v>411.89376916821857</v>
      </c>
      <c r="S53" s="54">
        <v>-1328.2075743816677</v>
      </c>
      <c r="T53" s="55">
        <v>-728.32852935362098</v>
      </c>
      <c r="U53" s="61">
        <v>0.1167050764670222</v>
      </c>
    </row>
    <row r="54" spans="1:34">
      <c r="A54" s="47">
        <v>45448.625</v>
      </c>
      <c r="B54" s="48">
        <v>3594.7936</v>
      </c>
      <c r="C54" s="49">
        <v>-5.7742526049242571E-3</v>
      </c>
      <c r="D54" s="85" t="b">
        <v>0</v>
      </c>
      <c r="E54" s="106">
        <v>372304.61706828931</v>
      </c>
      <c r="F54" s="25">
        <v>20372304.617068291</v>
      </c>
      <c r="G54" s="106">
        <v>1577.7656048806782</v>
      </c>
      <c r="H54" s="106">
        <v>5671741.6987251909</v>
      </c>
      <c r="I54" s="106">
        <v>-1182360.6940558709</v>
      </c>
      <c r="J54" s="106">
        <v>-39566.604557363964</v>
      </c>
      <c r="K54" s="106">
        <v>9557.3492493127615</v>
      </c>
      <c r="L54" s="106">
        <v>-83972.754979067278</v>
      </c>
      <c r="M54" s="106">
        <v>-47076.930625951325</v>
      </c>
      <c r="N54" s="53">
        <v>67.080505606742918</v>
      </c>
      <c r="O54" s="54">
        <v>0.28427612673122299</v>
      </c>
      <c r="P54" s="54">
        <v>-1.6485418225251538E-3</v>
      </c>
      <c r="Q54" s="54">
        <v>-712.89683693694315</v>
      </c>
      <c r="R54" s="54">
        <v>416.72612507069789</v>
      </c>
      <c r="S54" s="54">
        <v>-1512.9908690210414</v>
      </c>
      <c r="T54" s="55">
        <v>-848.21518832336551</v>
      </c>
      <c r="U54" s="61">
        <v>8.9826289810972626E-2</v>
      </c>
    </row>
    <row r="55" spans="1:34">
      <c r="A55" s="47">
        <v>45449.625</v>
      </c>
      <c r="B55" s="48">
        <v>3592.2453999999998</v>
      </c>
      <c r="C55" s="49">
        <v>-7.0885850024882124E-4</v>
      </c>
      <c r="D55" s="85" t="b">
        <v>0</v>
      </c>
      <c r="E55" s="106">
        <v>377777.88740055991</v>
      </c>
      <c r="F55" s="25">
        <v>20377777.88740056</v>
      </c>
      <c r="G55" s="106">
        <v>1614.936967498272</v>
      </c>
      <c r="H55" s="106">
        <v>5801249.8927856172</v>
      </c>
      <c r="I55" s="106">
        <v>-1221297.9525203165</v>
      </c>
      <c r="J55" s="106">
        <v>-39431.485595747123</v>
      </c>
      <c r="K55" s="106">
        <v>9760.1515353416889</v>
      </c>
      <c r="L55" s="106">
        <v>-83656.650678423903</v>
      </c>
      <c r="M55" s="106">
        <v>-47071.311316487045</v>
      </c>
      <c r="N55" s="53">
        <v>68.066659751438237</v>
      </c>
      <c r="O55" s="54">
        <v>0.29097352903075563</v>
      </c>
      <c r="P55" s="54">
        <v>-1.7052479639175326E-3</v>
      </c>
      <c r="Q55" s="54">
        <v>-710.46231212935709</v>
      </c>
      <c r="R55" s="54">
        <v>425.56885003634579</v>
      </c>
      <c r="S55" s="54">
        <v>-1507.2954155295974</v>
      </c>
      <c r="T55" s="55">
        <v>-848.11394162838951</v>
      </c>
      <c r="U55" s="61">
        <v>1.1027250353408685E-2</v>
      </c>
      <c r="AH55"/>
    </row>
    <row r="56" spans="1:34">
      <c r="A56" s="47">
        <v>45450.625</v>
      </c>
      <c r="B56" s="48">
        <v>3574.1143000000002</v>
      </c>
      <c r="C56" s="49">
        <v>-5.047288807162098E-3</v>
      </c>
      <c r="D56" s="85" t="b">
        <v>0</v>
      </c>
      <c r="E56" s="106">
        <v>356219.3575582144</v>
      </c>
      <c r="F56" s="25">
        <v>20356219.357558213</v>
      </c>
      <c r="G56" s="106">
        <v>1807.4876906463853</v>
      </c>
      <c r="H56" s="106">
        <v>6460167.6022132225</v>
      </c>
      <c r="I56" s="106">
        <v>-1165910.8111380921</v>
      </c>
      <c r="J56" s="106">
        <v>-42966.14022118014</v>
      </c>
      <c r="K56" s="106">
        <v>9490.4596268446567</v>
      </c>
      <c r="L56" s="106">
        <v>-94338.807022437803</v>
      </c>
      <c r="M56" s="106">
        <v>-53878.718390098642</v>
      </c>
      <c r="N56" s="53">
        <v>64.18232145515185</v>
      </c>
      <c r="O56" s="54">
        <v>0.32566662514497935</v>
      </c>
      <c r="P56" s="54">
        <v>-1.6444715350384255E-3</v>
      </c>
      <c r="Q56" s="54">
        <v>-774.14844669474405</v>
      </c>
      <c r="R56" s="54">
        <v>413.80955767827163</v>
      </c>
      <c r="S56" s="54">
        <v>-1699.7626629597562</v>
      </c>
      <c r="T56" s="55">
        <v>-970.76735161417673</v>
      </c>
      <c r="U56" s="61">
        <v>7.8517387127328156E-2</v>
      </c>
    </row>
    <row r="57" spans="1:34">
      <c r="A57" s="47">
        <v>45454.625</v>
      </c>
      <c r="B57" s="48">
        <v>3542.8771000000002</v>
      </c>
      <c r="C57" s="49">
        <v>-8.7398436026514537E-3</v>
      </c>
      <c r="D57" s="85" t="b">
        <v>0</v>
      </c>
      <c r="E57" s="106">
        <v>303957.2420388129</v>
      </c>
      <c r="F57" s="25">
        <v>20303957.242038812</v>
      </c>
      <c r="G57" s="106">
        <v>2102.1379726690702</v>
      </c>
      <c r="H57" s="106">
        <v>7447616.484409675</v>
      </c>
      <c r="I57" s="106">
        <v>-931121.80100037565</v>
      </c>
      <c r="J57" s="106">
        <v>-50288.849776140894</v>
      </c>
      <c r="K57" s="106">
        <v>8098.6450624884692</v>
      </c>
      <c r="L57" s="106">
        <v>-116014.64148518194</v>
      </c>
      <c r="M57" s="106">
        <v>-67585.886380653916</v>
      </c>
      <c r="N57" s="53">
        <v>54.765921624481962</v>
      </c>
      <c r="O57" s="54">
        <v>0.37875565221881141</v>
      </c>
      <c r="P57" s="54">
        <v>-1.3365715914919567E-3</v>
      </c>
      <c r="Q57" s="54">
        <v>-906.08639128058712</v>
      </c>
      <c r="R57" s="54">
        <v>353.12270036134123</v>
      </c>
      <c r="S57" s="54">
        <v>-2090.3100450090733</v>
      </c>
      <c r="T57" s="55">
        <v>-1217.7381698875251</v>
      </c>
      <c r="U57" s="61">
        <v>0.13596005891478358</v>
      </c>
    </row>
    <row r="58" spans="1:34">
      <c r="A58" s="47">
        <v>45455.625</v>
      </c>
      <c r="B58" s="48">
        <v>3544.1224999999999</v>
      </c>
      <c r="C58" s="49">
        <v>3.5152221340095657E-4</v>
      </c>
      <c r="D58" s="85" t="b">
        <v>0</v>
      </c>
      <c r="E58" s="106">
        <v>314717.82521264337</v>
      </c>
      <c r="F58" s="25">
        <v>20314717.825212643</v>
      </c>
      <c r="G58" s="106">
        <v>2132.9838090852359</v>
      </c>
      <c r="H58" s="106">
        <v>7559555.9099146891</v>
      </c>
      <c r="I58" s="106">
        <v>-866432.00448724616</v>
      </c>
      <c r="J58" s="106">
        <v>-50130.000388034146</v>
      </c>
      <c r="K58" s="106">
        <v>7553.7835121023636</v>
      </c>
      <c r="L58" s="106">
        <v>-115475.77672599118</v>
      </c>
      <c r="M58" s="106">
        <v>-67183.083023941697</v>
      </c>
      <c r="N58" s="53">
        <v>56.704724762643309</v>
      </c>
      <c r="O58" s="54">
        <v>0.38431334397926503</v>
      </c>
      <c r="P58" s="54">
        <v>-1.242839198405154E-3</v>
      </c>
      <c r="Q58" s="54">
        <v>-903.22430019145941</v>
      </c>
      <c r="R58" s="54">
        <v>329.36527174077037</v>
      </c>
      <c r="S58" s="54">
        <v>-2080.6009737692875</v>
      </c>
      <c r="T58" s="55">
        <v>-1210.4806040154926</v>
      </c>
      <c r="U58" s="61">
        <v>5.4684022983374631E-3</v>
      </c>
    </row>
    <row r="59" spans="1:34">
      <c r="A59" s="47">
        <v>45456.625</v>
      </c>
      <c r="B59" s="48">
        <v>3526.1306</v>
      </c>
      <c r="C59" s="49">
        <v>-5.076545745808736E-3</v>
      </c>
      <c r="D59" s="85" t="b">
        <v>0</v>
      </c>
      <c r="E59" s="106">
        <v>282183.57294729998</v>
      </c>
      <c r="F59" s="25">
        <v>20282183.572947301</v>
      </c>
      <c r="G59" s="106">
        <v>2273.903089507492</v>
      </c>
      <c r="H59" s="106">
        <v>8018079.2653469061</v>
      </c>
      <c r="I59" s="106">
        <v>-578121.92028567626</v>
      </c>
      <c r="J59" s="106">
        <v>-55167.391212903713</v>
      </c>
      <c r="K59" s="106">
        <v>5616.0885985439409</v>
      </c>
      <c r="L59" s="106">
        <v>-129845.09823764408</v>
      </c>
      <c r="M59" s="106">
        <v>-76218.179273390648</v>
      </c>
      <c r="N59" s="53">
        <v>50.842820312781896</v>
      </c>
      <c r="O59" s="54">
        <v>0.40970367261633767</v>
      </c>
      <c r="P59" s="54">
        <v>-8.3776180206734604E-4</v>
      </c>
      <c r="Q59" s="54">
        <v>-993.98619461326234</v>
      </c>
      <c r="R59" s="54">
        <v>244.87656343553954</v>
      </c>
      <c r="S59" s="54">
        <v>-2339.5022358105052</v>
      </c>
      <c r="T59" s="55">
        <v>-1373.2717156034141</v>
      </c>
      <c r="U59" s="61">
        <v>7.8972518281031676E-2</v>
      </c>
    </row>
    <row r="60" spans="1:34">
      <c r="A60" s="47">
        <v>45457.625</v>
      </c>
      <c r="B60" s="48">
        <v>3541.5331000000001</v>
      </c>
      <c r="C60" s="49">
        <v>4.3681025314263877E-3</v>
      </c>
      <c r="D60" s="85" t="b">
        <v>0</v>
      </c>
      <c r="E60" s="106">
        <v>322775.99832363689</v>
      </c>
      <c r="F60" s="25">
        <v>20322775.998323638</v>
      </c>
      <c r="G60" s="106">
        <v>2240.1502950965764</v>
      </c>
      <c r="H60" s="106">
        <v>7933566.4190592933</v>
      </c>
      <c r="I60" s="106">
        <v>-348729.80608423147</v>
      </c>
      <c r="J60" s="106">
        <v>-52376.900939781022</v>
      </c>
      <c r="K60" s="106">
        <v>3559.4289730388532</v>
      </c>
      <c r="L60" s="106">
        <v>-121154.56525816135</v>
      </c>
      <c r="M60" s="106">
        <v>-70344.273611506578</v>
      </c>
      <c r="N60" s="53">
        <v>58.156617384358924</v>
      </c>
      <c r="O60" s="54">
        <v>0.40362221562943873</v>
      </c>
      <c r="P60" s="54">
        <v>-5.0096151450929288E-4</v>
      </c>
      <c r="Q60" s="54">
        <v>-943.70814544863606</v>
      </c>
      <c r="R60" s="54">
        <v>155.20067381711669</v>
      </c>
      <c r="S60" s="54">
        <v>-2182.9193411780579</v>
      </c>
      <c r="T60" s="55">
        <v>-1267.4377979936253</v>
      </c>
      <c r="U60" s="61">
        <v>6.7951728259573907E-2</v>
      </c>
    </row>
    <row r="61" spans="1:34">
      <c r="A61" s="47">
        <v>45460.625</v>
      </c>
      <c r="B61" s="48">
        <v>3536.1986000000002</v>
      </c>
      <c r="C61" s="49">
        <v>-1.5062685705238277E-3</v>
      </c>
      <c r="D61" s="85" t="b">
        <v>0</v>
      </c>
      <c r="E61" s="106">
        <v>314436.6886135196</v>
      </c>
      <c r="F61" s="25">
        <v>20314436.688613519</v>
      </c>
      <c r="G61" s="106">
        <v>2215.9331587855768</v>
      </c>
      <c r="H61" s="106">
        <v>7835979.7337911343</v>
      </c>
      <c r="I61" s="106">
        <v>119002.06934194578</v>
      </c>
      <c r="J61" s="106">
        <v>-56259.227465001466</v>
      </c>
      <c r="K61" s="106">
        <v>5407.110938873232</v>
      </c>
      <c r="L61" s="106">
        <v>-129555.05768161165</v>
      </c>
      <c r="M61" s="106">
        <v>-75252.176100882207</v>
      </c>
      <c r="N61" s="53">
        <v>56.654070582304939</v>
      </c>
      <c r="O61" s="54">
        <v>0.39925885919061355</v>
      </c>
      <c r="P61" s="54">
        <v>1.7146643680369762E-4</v>
      </c>
      <c r="Q61" s="54">
        <v>-1013.6585071425088</v>
      </c>
      <c r="R61" s="54">
        <v>235.76457557476533</v>
      </c>
      <c r="S61" s="54">
        <v>-2334.2763894865129</v>
      </c>
      <c r="T61" s="55">
        <v>-1355.8666182022989</v>
      </c>
      <c r="U61" s="61">
        <v>2.3432039851122449E-2</v>
      </c>
    </row>
    <row r="62" spans="1:34">
      <c r="A62" s="47">
        <v>45461.625</v>
      </c>
      <c r="B62" s="48">
        <v>3545.5902000000001</v>
      </c>
      <c r="C62" s="49">
        <v>2.655846309084442E-3</v>
      </c>
      <c r="D62" s="85" t="b">
        <v>0</v>
      </c>
      <c r="E62" s="106">
        <v>338604.27459942253</v>
      </c>
      <c r="F62" s="25">
        <v>20338604.274599422</v>
      </c>
      <c r="G62" s="106">
        <v>1966.1337493796891</v>
      </c>
      <c r="H62" s="106">
        <v>6971104.5536898822</v>
      </c>
      <c r="I62" s="106">
        <v>-908278.89508641476</v>
      </c>
      <c r="J62" s="106">
        <v>-57432.224275449596</v>
      </c>
      <c r="K62" s="106">
        <v>8171.0564025057802</v>
      </c>
      <c r="L62" s="106">
        <v>-127202.05384364186</v>
      </c>
      <c r="M62" s="106">
        <v>-73290.824665582011</v>
      </c>
      <c r="N62" s="53">
        <v>61.008499221935381</v>
      </c>
      <c r="O62" s="54">
        <v>0.35425090088173455</v>
      </c>
      <c r="P62" s="54">
        <v>-1.301787363767437E-3</v>
      </c>
      <c r="Q62" s="54">
        <v>-1034.7931413943115</v>
      </c>
      <c r="R62" s="54">
        <v>356.28002948570702</v>
      </c>
      <c r="S62" s="54">
        <v>-2291.8808134153551</v>
      </c>
      <c r="T62" s="55">
        <v>-1320.527694127577</v>
      </c>
      <c r="U62" s="61">
        <v>4.1315272568743192E-2</v>
      </c>
    </row>
    <row r="63" spans="1:34">
      <c r="A63" s="47">
        <v>45462.625</v>
      </c>
      <c r="B63" s="48">
        <v>3528.7489999999998</v>
      </c>
      <c r="C63" s="49">
        <v>-4.7499003127886574E-3</v>
      </c>
      <c r="D63" s="85" t="b">
        <v>0</v>
      </c>
      <c r="E63" s="106">
        <v>312613.78615858115</v>
      </c>
      <c r="F63" s="25">
        <v>20312613.78615858</v>
      </c>
      <c r="G63" s="106">
        <v>2089.408722131795</v>
      </c>
      <c r="H63" s="106">
        <v>7372998.9388138494</v>
      </c>
      <c r="I63" s="106">
        <v>-902697.02528699022</v>
      </c>
      <c r="J63" s="106">
        <v>-59415.641415262529</v>
      </c>
      <c r="K63" s="106">
        <v>8165.4685026026864</v>
      </c>
      <c r="L63" s="106">
        <v>-133902.93249922697</v>
      </c>
      <c r="M63" s="106">
        <v>-78264.635045469084</v>
      </c>
      <c r="N63" s="53">
        <v>56.325626580422977</v>
      </c>
      <c r="O63" s="54">
        <v>0.37646214168230707</v>
      </c>
      <c r="P63" s="54">
        <v>-1.3061660171556021E-3</v>
      </c>
      <c r="Q63" s="54">
        <v>-1070.5296373892907</v>
      </c>
      <c r="R63" s="54">
        <v>356.03638202518687</v>
      </c>
      <c r="S63" s="54">
        <v>-2412.6148327153714</v>
      </c>
      <c r="T63" s="55">
        <v>-1410.1440189806453</v>
      </c>
      <c r="U63" s="61">
        <v>7.3891107864925185E-2</v>
      </c>
    </row>
    <row r="64" spans="1:34">
      <c r="A64" s="47">
        <v>45463.625</v>
      </c>
      <c r="B64" s="48">
        <v>3503.2817</v>
      </c>
      <c r="C64" s="49">
        <v>-7.2170902492638689E-3</v>
      </c>
      <c r="D64" s="85" t="b">
        <v>0</v>
      </c>
      <c r="E64" s="106">
        <v>265124.46081432013</v>
      </c>
      <c r="F64" s="25">
        <v>20265124.46081432</v>
      </c>
      <c r="G64" s="106">
        <v>2277.0517245311748</v>
      </c>
      <c r="H64" s="106">
        <v>7977153.6365035055</v>
      </c>
      <c r="I64" s="106">
        <v>-884573.40680550237</v>
      </c>
      <c r="J64" s="106">
        <v>-62484.470523976255</v>
      </c>
      <c r="K64" s="106">
        <v>8178.4308512806838</v>
      </c>
      <c r="L64" s="106">
        <v>-144956.16828531795</v>
      </c>
      <c r="M64" s="106">
        <v>-86328.890198672598</v>
      </c>
      <c r="N64" s="53">
        <v>47.769170901465259</v>
      </c>
      <c r="O64" s="54">
        <v>0.41027098233981873</v>
      </c>
      <c r="P64" s="54">
        <v>-1.2986187324236739E-3</v>
      </c>
      <c r="Q64" s="54">
        <v>-1125.8226954916154</v>
      </c>
      <c r="R64" s="54">
        <v>356.60157528071068</v>
      </c>
      <c r="S64" s="54">
        <v>-2611.7680559442761</v>
      </c>
      <c r="T64" s="55">
        <v>-1555.4428651992112</v>
      </c>
      <c r="U64" s="61">
        <v>0.11227157602517543</v>
      </c>
    </row>
    <row r="65" spans="1:21">
      <c r="A65" s="47">
        <v>45464.625</v>
      </c>
      <c r="B65" s="48">
        <v>3495.6197999999999</v>
      </c>
      <c r="C65" s="49">
        <v>-2.1870636323650938E-3</v>
      </c>
      <c r="D65" s="85" t="b">
        <v>0</v>
      </c>
      <c r="E65" s="106">
        <v>255617.14165687509</v>
      </c>
      <c r="F65" s="25">
        <v>20255617.141656876</v>
      </c>
      <c r="G65" s="106">
        <v>2336.9376531554985</v>
      </c>
      <c r="H65" s="106">
        <v>8169045.5317358933</v>
      </c>
      <c r="I65" s="106">
        <v>-881154.4749396313</v>
      </c>
      <c r="J65" s="106">
        <v>-63334.712686906496</v>
      </c>
      <c r="K65" s="106">
        <v>8053.5085199212781</v>
      </c>
      <c r="L65" s="106">
        <v>-147779.50360599693</v>
      </c>
      <c r="M65" s="106">
        <v>-88534.676909837755</v>
      </c>
      <c r="N65" s="53">
        <v>46.056176362025781</v>
      </c>
      <c r="O65" s="54">
        <v>0.42106101337000634</v>
      </c>
      <c r="P65" s="54">
        <v>-1.2992764752206229E-3</v>
      </c>
      <c r="Q65" s="54">
        <v>-1141.1420526961138</v>
      </c>
      <c r="R65" s="54">
        <v>351.15462574227604</v>
      </c>
      <c r="S65" s="54">
        <v>-2662.6378953515541</v>
      </c>
      <c r="T65" s="55">
        <v>-1595.1859360777689</v>
      </c>
      <c r="U65" s="61">
        <v>3.402272555730048E-2</v>
      </c>
    </row>
    <row r="66" spans="1:21">
      <c r="A66" s="47">
        <v>45467.625</v>
      </c>
      <c r="B66" s="48">
        <v>3476.8101999999999</v>
      </c>
      <c r="C66" s="49">
        <v>-5.380905555003479E-3</v>
      </c>
      <c r="D66" s="85" t="b">
        <v>0</v>
      </c>
      <c r="E66" s="106">
        <v>218343.93759828099</v>
      </c>
      <c r="F66" s="25">
        <v>20218343.937598281</v>
      </c>
      <c r="G66" s="106">
        <v>2477.1997843097301</v>
      </c>
      <c r="H66" s="106">
        <v>8612753.4775258694</v>
      </c>
      <c r="I66" s="106">
        <v>-858654.18524298898</v>
      </c>
      <c r="J66" s="106">
        <v>-65331.597135718373</v>
      </c>
      <c r="K66" s="106">
        <v>8031.6736013321579</v>
      </c>
      <c r="L66" s="106">
        <v>-156040.32948932724</v>
      </c>
      <c r="M66" s="106">
        <v>-94612.617828131435</v>
      </c>
      <c r="N66" s="53">
        <v>39.340424638282911</v>
      </c>
      <c r="O66" s="54">
        <v>0.44633293921770362</v>
      </c>
      <c r="P66" s="54">
        <v>-1.2798357292378153E-3</v>
      </c>
      <c r="Q66" s="54">
        <v>-1177.1211978164047</v>
      </c>
      <c r="R66" s="54">
        <v>350.20256458206131</v>
      </c>
      <c r="S66" s="54">
        <v>-2811.4784822200818</v>
      </c>
      <c r="T66" s="55">
        <v>-1704.6960874848537</v>
      </c>
      <c r="U66" s="61">
        <v>8.37072457510811E-2</v>
      </c>
    </row>
    <row r="67" spans="1:21">
      <c r="A67" s="47">
        <v>45468.625</v>
      </c>
      <c r="B67" s="48">
        <v>3457.9023000000002</v>
      </c>
      <c r="C67" s="49">
        <v>-5.4382893837574553E-3</v>
      </c>
      <c r="D67" s="85" t="b">
        <v>0</v>
      </c>
      <c r="E67" s="106">
        <v>178092.71480306925</v>
      </c>
      <c r="F67" s="25">
        <v>20178092.71480307</v>
      </c>
      <c r="G67" s="106">
        <v>2616.440971050165</v>
      </c>
      <c r="H67" s="106">
        <v>9047397.251608599</v>
      </c>
      <c r="I67" s="106">
        <v>-827515.5614338672</v>
      </c>
      <c r="J67" s="106">
        <v>-67215.767050923343</v>
      </c>
      <c r="K67" s="106">
        <v>7986.1374342721338</v>
      </c>
      <c r="L67" s="106">
        <v>-164402.7306764652</v>
      </c>
      <c r="M67" s="106">
        <v>-100804.26620118272</v>
      </c>
      <c r="N67" s="53">
        <v>32.088104219443721</v>
      </c>
      <c r="O67" s="54">
        <v>0.47142091497632288</v>
      </c>
      <c r="P67" s="54">
        <v>-1.2469488462280201E-3</v>
      </c>
      <c r="Q67" s="54">
        <v>-1211.0694930473983</v>
      </c>
      <c r="R67" s="54">
        <v>348.21706526059825</v>
      </c>
      <c r="S67" s="54">
        <v>-2962.1492163455059</v>
      </c>
      <c r="T67" s="55">
        <v>-1816.2549788770775</v>
      </c>
      <c r="U67" s="61">
        <v>8.4599928628813562E-2</v>
      </c>
    </row>
    <row r="68" spans="1:21">
      <c r="A68" s="47">
        <v>45469.625</v>
      </c>
      <c r="B68" s="48">
        <v>3480.2647999999999</v>
      </c>
      <c r="C68" s="49">
        <v>6.467071091048382E-3</v>
      </c>
      <c r="D68" s="85" t="b">
        <v>0</v>
      </c>
      <c r="E68" s="106">
        <v>242980.37663176376</v>
      </c>
      <c r="F68" s="25">
        <v>20242980.376631763</v>
      </c>
      <c r="G68" s="106">
        <v>2465.8897261119319</v>
      </c>
      <c r="H68" s="106">
        <v>8581949.214468997</v>
      </c>
      <c r="I68" s="106">
        <v>-870659.55342133157</v>
      </c>
      <c r="J68" s="106">
        <v>-64736.322085437838</v>
      </c>
      <c r="K68" s="106">
        <v>8110.4624121439438</v>
      </c>
      <c r="L68" s="106">
        <v>-153147.36971825789</v>
      </c>
      <c r="M68" s="106">
        <v>-92824.964695419723</v>
      </c>
      <c r="N68" s="53">
        <v>43.779329532155316</v>
      </c>
      <c r="O68" s="54">
        <v>0.4442951336478338</v>
      </c>
      <c r="P68" s="54">
        <v>-1.2951548524026528E-3</v>
      </c>
      <c r="Q68" s="54">
        <v>-1166.3957462594681</v>
      </c>
      <c r="R68" s="54">
        <v>353.63796858080968</v>
      </c>
      <c r="S68" s="54">
        <v>-2759.3541745304719</v>
      </c>
      <c r="T68" s="55">
        <v>-1672.4867968947819</v>
      </c>
      <c r="U68" s="61">
        <v>0.10060401610370749</v>
      </c>
    </row>
    <row r="69" spans="1:21">
      <c r="A69" s="47">
        <v>45470.625</v>
      </c>
      <c r="B69" s="48">
        <v>3454.1174999999998</v>
      </c>
      <c r="C69" s="49">
        <v>-7.5130202736297669E-3</v>
      </c>
      <c r="D69" s="85" t="b">
        <v>0</v>
      </c>
      <c r="E69" s="106">
        <v>183989.64984665078</v>
      </c>
      <c r="F69" s="25">
        <v>20183989.649846651</v>
      </c>
      <c r="G69" s="106">
        <v>2657.732418210257</v>
      </c>
      <c r="H69" s="106">
        <v>9180120.0560573675</v>
      </c>
      <c r="I69" s="106">
        <v>-821448.92775809125</v>
      </c>
      <c r="J69" s="106">
        <v>-67713.261896495707</v>
      </c>
      <c r="K69" s="106">
        <v>7898.2876310624142</v>
      </c>
      <c r="L69" s="106">
        <v>-165290.29319083109</v>
      </c>
      <c r="M69" s="106">
        <v>-101670.99284739811</v>
      </c>
      <c r="N69" s="53">
        <v>33.150592746630082</v>
      </c>
      <c r="O69" s="54">
        <v>0.47886065927641847</v>
      </c>
      <c r="P69" s="54">
        <v>-1.2405213933204505E-3</v>
      </c>
      <c r="Q69" s="54">
        <v>-1220.0331760767767</v>
      </c>
      <c r="R69" s="54">
        <v>344.3865776301036</v>
      </c>
      <c r="S69" s="54">
        <v>-2978.1409982068453</v>
      </c>
      <c r="T69" s="55">
        <v>-1831.8713475669938</v>
      </c>
      <c r="U69" s="61">
        <v>0.11687516681886362</v>
      </c>
    </row>
    <row r="70" spans="1:21">
      <c r="A70" s="47">
        <v>45471.625</v>
      </c>
      <c r="B70" s="48">
        <v>3461.6570000000002</v>
      </c>
      <c r="C70" s="49">
        <v>2.1827572455193067E-3</v>
      </c>
      <c r="D70" s="85" t="b">
        <v>0</v>
      </c>
      <c r="E70" s="106">
        <v>211773.36372587064</v>
      </c>
      <c r="F70" s="25">
        <v>20211773.363725871</v>
      </c>
      <c r="G70" s="106">
        <v>2613.5665323181606</v>
      </c>
      <c r="H70" s="106">
        <v>9047270.8815648872</v>
      </c>
      <c r="I70" s="106">
        <v>-836240.30438783427</v>
      </c>
      <c r="J70" s="106">
        <v>-66938.329116992492</v>
      </c>
      <c r="K70" s="106">
        <v>7893.6806744398973</v>
      </c>
      <c r="L70" s="106">
        <v>-161276.72581089268</v>
      </c>
      <c r="M70" s="106">
        <v>-98869.660170536896</v>
      </c>
      <c r="N70" s="53">
        <v>38.156562292017952</v>
      </c>
      <c r="O70" s="54">
        <v>0.47090300895356973</v>
      </c>
      <c r="P70" s="54">
        <v>-1.2573637458419119E-3</v>
      </c>
      <c r="Q70" s="54">
        <v>-1206.0707162314884</v>
      </c>
      <c r="R70" s="54">
        <v>344.1857019341769</v>
      </c>
      <c r="S70" s="54">
        <v>-2905.8259860393719</v>
      </c>
      <c r="T70" s="55">
        <v>-1781.3979438750721</v>
      </c>
      <c r="U70" s="61">
        <v>3.3955733899796975E-2</v>
      </c>
    </row>
    <row r="71" spans="1:21">
      <c r="A71" s="47">
        <v>45474.625</v>
      </c>
      <c r="B71" s="48">
        <v>3478.1826999999998</v>
      </c>
      <c r="C71" s="49">
        <v>4.7739276306115741E-3</v>
      </c>
      <c r="D71" s="85" t="b">
        <v>0</v>
      </c>
      <c r="E71" s="106">
        <v>262113.39753463794</v>
      </c>
      <c r="F71" s="25">
        <v>20262113.397534639</v>
      </c>
      <c r="G71" s="106">
        <v>2505.481472870239</v>
      </c>
      <c r="H71" s="106">
        <v>8714522.314107785</v>
      </c>
      <c r="I71" s="106">
        <v>-867932.62753397168</v>
      </c>
      <c r="J71" s="106">
        <v>-64829.496077642631</v>
      </c>
      <c r="K71" s="106">
        <v>7985.743218155354</v>
      </c>
      <c r="L71" s="106">
        <v>-152657.76030824814</v>
      </c>
      <c r="M71" s="106">
        <v>-92823.499583222918</v>
      </c>
      <c r="N71" s="53">
        <v>47.226648359559931</v>
      </c>
      <c r="O71" s="54">
        <v>0.45142863204845723</v>
      </c>
      <c r="P71" s="54">
        <v>-1.2926446074856615E-3</v>
      </c>
      <c r="Q71" s="54">
        <v>-1168.0745217083768</v>
      </c>
      <c r="R71" s="54">
        <v>348.19987637793838</v>
      </c>
      <c r="S71" s="54">
        <v>-2750.5325684403033</v>
      </c>
      <c r="T71" s="55">
        <v>-1672.4603990306605</v>
      </c>
      <c r="U71" s="61">
        <v>7.4264885210983969E-2</v>
      </c>
    </row>
    <row r="72" spans="1:21">
      <c r="A72" s="47">
        <v>45475.625</v>
      </c>
      <c r="B72" s="48">
        <v>3471.7856999999999</v>
      </c>
      <c r="C72" s="49">
        <v>-1.8391788332452474E-3</v>
      </c>
      <c r="D72" s="85" t="b">
        <v>0</v>
      </c>
      <c r="E72" s="106">
        <v>253877.47970308311</v>
      </c>
      <c r="F72" s="25">
        <v>20253877.479703084</v>
      </c>
      <c r="G72" s="106">
        <v>2560.2630179139114</v>
      </c>
      <c r="H72" s="106">
        <v>8888684.5338323619</v>
      </c>
      <c r="I72" s="106">
        <v>-850958.72766037413</v>
      </c>
      <c r="J72" s="106">
        <v>-65585.691415313515</v>
      </c>
      <c r="K72" s="106">
        <v>8011.0205878197485</v>
      </c>
      <c r="L72" s="106">
        <v>-155540.06747054783</v>
      </c>
      <c r="M72" s="106">
        <v>-94943.53815737745</v>
      </c>
      <c r="N72" s="53">
        <v>45.742730333974578</v>
      </c>
      <c r="O72" s="54">
        <v>0.46129897362086403</v>
      </c>
      <c r="P72" s="54">
        <v>-1.2720394552337563E-3</v>
      </c>
      <c r="Q72" s="54">
        <v>-1181.6993770722092</v>
      </c>
      <c r="R72" s="54">
        <v>349.30203766109753</v>
      </c>
      <c r="S72" s="54">
        <v>-2802.4649412600411</v>
      </c>
      <c r="T72" s="55">
        <v>-1710.6584908458899</v>
      </c>
      <c r="U72" s="61">
        <v>2.8610908145654493E-2</v>
      </c>
    </row>
    <row r="73" spans="1:21">
      <c r="A73" s="47">
        <v>45476.625</v>
      </c>
      <c r="B73" s="48">
        <v>3463.4141</v>
      </c>
      <c r="C73" s="49">
        <v>-2.4113239477885351E-3</v>
      </c>
      <c r="D73" s="85" t="b">
        <v>0</v>
      </c>
      <c r="E73" s="106">
        <v>240141.92783440859</v>
      </c>
      <c r="F73" s="25">
        <v>20240141.92783441</v>
      </c>
      <c r="G73" s="106">
        <v>2628.3119910183104</v>
      </c>
      <c r="H73" s="106">
        <v>9102932.8088918887</v>
      </c>
      <c r="I73" s="106">
        <v>-826387.69146951276</v>
      </c>
      <c r="J73" s="106">
        <v>-66722.568715647009</v>
      </c>
      <c r="K73" s="106">
        <v>7856.5129033796593</v>
      </c>
      <c r="L73" s="106">
        <v>-159517.49784692022</v>
      </c>
      <c r="M73" s="106">
        <v>-97831.263007138303</v>
      </c>
      <c r="N73" s="53">
        <v>43.267908046263528</v>
      </c>
      <c r="O73" s="54">
        <v>0.47355979261851144</v>
      </c>
      <c r="P73" s="54">
        <v>-1.2412889918070843E-3</v>
      </c>
      <c r="Q73" s="54">
        <v>-1202.18322299379</v>
      </c>
      <c r="R73" s="54">
        <v>342.56508717924771</v>
      </c>
      <c r="S73" s="54">
        <v>-2874.1288499065831</v>
      </c>
      <c r="T73" s="55">
        <v>-1762.6884776079351</v>
      </c>
      <c r="U73" s="61">
        <v>3.7511397332613369E-2</v>
      </c>
    </row>
    <row r="74" spans="1:21">
      <c r="A74" s="47">
        <v>45477.625</v>
      </c>
      <c r="B74" s="48">
        <v>3445.8128000000002</v>
      </c>
      <c r="C74" s="49">
        <v>-5.0820662767411262E-3</v>
      </c>
      <c r="D74" s="85" t="b">
        <v>0</v>
      </c>
      <c r="E74" s="106">
        <v>200553.99047090276</v>
      </c>
      <c r="F74" s="25">
        <v>20200553.990470901</v>
      </c>
      <c r="G74" s="106">
        <v>2755.8747590593443</v>
      </c>
      <c r="H74" s="106">
        <v>9496228.5199636053</v>
      </c>
      <c r="I74" s="106">
        <v>-780096.61522131681</v>
      </c>
      <c r="J74" s="106">
        <v>-68915.008178800141</v>
      </c>
      <c r="K74" s="106">
        <v>7665.421484663364</v>
      </c>
      <c r="L74" s="106">
        <v>-168057.03293117703</v>
      </c>
      <c r="M74" s="106">
        <v>-104007.53217033995</v>
      </c>
      <c r="N74" s="53">
        <v>36.135096008681558</v>
      </c>
      <c r="O74" s="54">
        <v>0.49654359293818001</v>
      </c>
      <c r="P74" s="54">
        <v>-1.1837580325260574E-3</v>
      </c>
      <c r="Q74" s="54">
        <v>-1241.6858079626763</v>
      </c>
      <c r="R74" s="54">
        <v>334.23298751661059</v>
      </c>
      <c r="S74" s="54">
        <v>-3027.9911188220922</v>
      </c>
      <c r="T74" s="55">
        <v>-1873.9702719336037</v>
      </c>
      <c r="U74" s="61">
        <v>7.9058397587908627E-2</v>
      </c>
    </row>
    <row r="75" spans="1:21">
      <c r="A75" s="47">
        <v>45478.625</v>
      </c>
      <c r="B75" s="48">
        <v>3431.0605</v>
      </c>
      <c r="C75" s="49">
        <v>-4.2812250276625941E-3</v>
      </c>
      <c r="D75" s="85" t="b">
        <v>0</v>
      </c>
      <c r="E75" s="106">
        <v>166790.26288301198</v>
      </c>
      <c r="F75" s="25">
        <v>20166790.262883011</v>
      </c>
      <c r="G75" s="106">
        <v>2858.4927246770258</v>
      </c>
      <c r="H75" s="106">
        <v>9807661.4771767184</v>
      </c>
      <c r="I75" s="106">
        <v>-746160.99550415319</v>
      </c>
      <c r="J75" s="106">
        <v>-70753.585416585207</v>
      </c>
      <c r="K75" s="106">
        <v>7507.0015137316686</v>
      </c>
      <c r="L75" s="106">
        <v>-174954.53025713938</v>
      </c>
      <c r="M75" s="106">
        <v>-109068.02622670475</v>
      </c>
      <c r="N75" s="53">
        <v>30.051669121314717</v>
      </c>
      <c r="O75" s="54">
        <v>0.51503292855849758</v>
      </c>
      <c r="P75" s="54">
        <v>-1.1420199649079621E-3</v>
      </c>
      <c r="Q75" s="54">
        <v>-1274.8126307452821</v>
      </c>
      <c r="R75" s="54">
        <v>327.32545082437082</v>
      </c>
      <c r="S75" s="54">
        <v>-3152.2677425422444</v>
      </c>
      <c r="T75" s="55">
        <v>-1965.1484320633244</v>
      </c>
      <c r="U75" s="61">
        <v>6.6600231474607266E-2</v>
      </c>
    </row>
    <row r="76" spans="1:21">
      <c r="A76" s="47">
        <v>45481.625</v>
      </c>
      <c r="B76" s="48">
        <v>3401.7604000000001</v>
      </c>
      <c r="C76" s="49">
        <v>-8.5396628826568399E-3</v>
      </c>
      <c r="D76" s="85" t="b">
        <v>0</v>
      </c>
      <c r="E76" s="106">
        <v>87700.706890429865</v>
      </c>
      <c r="F76" s="25">
        <v>20087700.70689043</v>
      </c>
      <c r="G76" s="106">
        <v>3044.2239312741854</v>
      </c>
      <c r="H76" s="106">
        <v>10355720.418140845</v>
      </c>
      <c r="I76" s="106">
        <v>-703148.38734476373</v>
      </c>
      <c r="J76" s="106">
        <v>-73319.130304880455</v>
      </c>
      <c r="K76" s="106">
        <v>7368.1237989226001</v>
      </c>
      <c r="L76" s="106">
        <v>-187654.05746307076</v>
      </c>
      <c r="M76" s="106">
        <v>-118584.60823915685</v>
      </c>
      <c r="N76" s="53">
        <v>15.801597644972844</v>
      </c>
      <c r="O76" s="54">
        <v>0.54849730873083002</v>
      </c>
      <c r="P76" s="54">
        <v>-1.0948067034984338E-3</v>
      </c>
      <c r="Q76" s="54">
        <v>-1321.0376949464262</v>
      </c>
      <c r="R76" s="54">
        <v>321.27000904429588</v>
      </c>
      <c r="S76" s="54">
        <v>-3381.0832519089217</v>
      </c>
      <c r="T76" s="55">
        <v>-2136.6147807941616</v>
      </c>
      <c r="U76" s="61">
        <v>0.13284597773422166</v>
      </c>
    </row>
    <row r="77" spans="1:21">
      <c r="A77" s="47">
        <v>45482.625</v>
      </c>
      <c r="B77" s="48">
        <v>3439.8110999999999</v>
      </c>
      <c r="C77" s="49">
        <v>1.1185590848785232E-2</v>
      </c>
      <c r="D77" s="85" t="b">
        <v>0</v>
      </c>
      <c r="E77" s="106">
        <v>206598.29551856843</v>
      </c>
      <c r="F77" s="25">
        <v>20206598.29551857</v>
      </c>
      <c r="G77" s="106">
        <v>2814.6248692824779</v>
      </c>
      <c r="H77" s="106">
        <v>9681777.867693916</v>
      </c>
      <c r="I77" s="106">
        <v>-734129.92719357903</v>
      </c>
      <c r="J77" s="106">
        <v>-70409.33880767753</v>
      </c>
      <c r="K77" s="106">
        <v>7439.9782361635762</v>
      </c>
      <c r="L77" s="106">
        <v>-170996.46822078232</v>
      </c>
      <c r="M77" s="106">
        <v>-106189.09094836123</v>
      </c>
      <c r="N77" s="53">
        <v>37.224137132671785</v>
      </c>
      <c r="O77" s="54">
        <v>0.50712897629778741</v>
      </c>
      <c r="P77" s="54">
        <v>-1.1178966295753165E-3</v>
      </c>
      <c r="Q77" s="54">
        <v>-1268.6101192747628</v>
      </c>
      <c r="R77" s="54">
        <v>324.40305571021327</v>
      </c>
      <c r="S77" s="54">
        <v>-3080.9528056734962</v>
      </c>
      <c r="T77" s="55">
        <v>-1913.276812634831</v>
      </c>
      <c r="U77" s="61">
        <v>0.174006957096593</v>
      </c>
    </row>
    <row r="78" spans="1:21">
      <c r="A78" s="47">
        <v>45483.625</v>
      </c>
      <c r="B78" s="48">
        <v>3428.9657000000002</v>
      </c>
      <c r="C78" s="49">
        <v>-3.1529056929898713E-3</v>
      </c>
      <c r="D78" s="85" t="b">
        <v>0</v>
      </c>
      <c r="E78" s="106">
        <v>183159.1932924781</v>
      </c>
      <c r="F78" s="25">
        <v>20183159.193292476</v>
      </c>
      <c r="G78" s="106">
        <v>2883.9771238914677</v>
      </c>
      <c r="H78" s="106">
        <v>9889058.6374084931</v>
      </c>
      <c r="I78" s="106">
        <v>-715197.90395440802</v>
      </c>
      <c r="J78" s="106">
        <v>-71880.322135652081</v>
      </c>
      <c r="K78" s="106">
        <v>7399.9473624493994</v>
      </c>
      <c r="L78" s="106">
        <v>-176018.10898390668</v>
      </c>
      <c r="M78" s="106">
        <v>-109896.12082910747</v>
      </c>
      <c r="N78" s="53">
        <v>33.000964074342846</v>
      </c>
      <c r="O78" s="54">
        <v>0.51962461586511854</v>
      </c>
      <c r="P78" s="54">
        <v>-1.0959679562948012E-3</v>
      </c>
      <c r="Q78" s="54">
        <v>-1295.1137673242101</v>
      </c>
      <c r="R78" s="54">
        <v>322.65760198126191</v>
      </c>
      <c r="S78" s="54">
        <v>-3171.4309211527961</v>
      </c>
      <c r="T78" s="55">
        <v>-1980.0687424953594</v>
      </c>
      <c r="U78" s="61">
        <v>4.9047701911005798E-2</v>
      </c>
    </row>
    <row r="79" spans="1:21">
      <c r="A79" s="47">
        <v>45484.625</v>
      </c>
      <c r="B79" s="48">
        <v>3468.1689999999999</v>
      </c>
      <c r="C79" s="49">
        <v>1.14329810881455E-2</v>
      </c>
      <c r="D79" s="85" t="b">
        <v>0</v>
      </c>
      <c r="E79" s="106">
        <v>298907.34092507587</v>
      </c>
      <c r="F79" s="25">
        <v>20298907.340925075</v>
      </c>
      <c r="G79" s="106">
        <v>2647.8307565809564</v>
      </c>
      <c r="H79" s="106">
        <v>9183124.5472206194</v>
      </c>
      <c r="I79" s="106">
        <v>-721429.0507791671</v>
      </c>
      <c r="J79" s="106">
        <v>-67599.399546135523</v>
      </c>
      <c r="K79" s="106">
        <v>7276.5926214156634</v>
      </c>
      <c r="L79" s="106">
        <v>-157689.58685447491</v>
      </c>
      <c r="M79" s="106">
        <v>-96531.957478663797</v>
      </c>
      <c r="N79" s="53">
        <v>53.856048621452828</v>
      </c>
      <c r="O79" s="54">
        <v>0.477076613530033</v>
      </c>
      <c r="P79" s="54">
        <v>-1.0806648555422233E-3</v>
      </c>
      <c r="Q79" s="54">
        <v>-1217.981645238433</v>
      </c>
      <c r="R79" s="54">
        <v>317.27900359596333</v>
      </c>
      <c r="S79" s="54">
        <v>-2841.1942076926607</v>
      </c>
      <c r="T79" s="55">
        <v>-1739.2780583458716</v>
      </c>
      <c r="U79" s="61">
        <v>0.17785544604531517</v>
      </c>
    </row>
    <row r="80" spans="1:21">
      <c r="A80" s="47">
        <v>45485.625</v>
      </c>
      <c r="B80" s="48">
        <v>3472.4014000000002</v>
      </c>
      <c r="C80" s="49">
        <v>1.2203557554433253E-3</v>
      </c>
      <c r="D80" s="85" t="b">
        <v>0</v>
      </c>
      <c r="E80" s="106">
        <v>317319.37152903923</v>
      </c>
      <c r="F80" s="25">
        <v>20317319.371529039</v>
      </c>
      <c r="G80" s="106">
        <v>2622.5076773562</v>
      </c>
      <c r="H80" s="106">
        <v>9106399.3303624187</v>
      </c>
      <c r="I80" s="106">
        <v>-692813.59338291246</v>
      </c>
      <c r="J80" s="106">
        <v>-67528.972964381523</v>
      </c>
      <c r="K80" s="106">
        <v>7287.3123688249843</v>
      </c>
      <c r="L80" s="106">
        <v>-156055.81032317484</v>
      </c>
      <c r="M80" s="106">
        <v>-95295.022877578507</v>
      </c>
      <c r="N80" s="53">
        <v>57.17346201236478</v>
      </c>
      <c r="O80" s="54">
        <v>0.47251399227840157</v>
      </c>
      <c r="P80" s="54">
        <v>-1.0352719808103287E-3</v>
      </c>
      <c r="Q80" s="54">
        <v>-1216.7127244419589</v>
      </c>
      <c r="R80" s="54">
        <v>317.74641340626658</v>
      </c>
      <c r="S80" s="54">
        <v>-2811.7574103112474</v>
      </c>
      <c r="T80" s="55">
        <v>-1716.9914159999735</v>
      </c>
      <c r="U80" s="61">
        <v>1.8984280262948159E-2</v>
      </c>
    </row>
    <row r="81" spans="1:21">
      <c r="A81" s="47">
        <v>45488.625</v>
      </c>
      <c r="B81" s="48">
        <v>3476.2467000000001</v>
      </c>
      <c r="C81" s="49">
        <v>1.1073892551707321E-3</v>
      </c>
      <c r="D81" s="85" t="b">
        <v>0</v>
      </c>
      <c r="E81" s="106">
        <v>334590.25019173336</v>
      </c>
      <c r="F81" s="25">
        <v>20334590.250191733</v>
      </c>
      <c r="G81" s="106">
        <v>2592.3888572380106</v>
      </c>
      <c r="H81" s="106">
        <v>9011783.2100904062</v>
      </c>
      <c r="I81" s="106">
        <v>-667529.53387224104</v>
      </c>
      <c r="J81" s="106">
        <v>-67825.614531394123</v>
      </c>
      <c r="K81" s="106">
        <v>7151.0642061183435</v>
      </c>
      <c r="L81" s="106">
        <v>-154745.40022808325</v>
      </c>
      <c r="M81" s="106">
        <v>-94274.621308752481</v>
      </c>
      <c r="N81" s="53">
        <v>60.285266754645818</v>
      </c>
      <c r="O81" s="54">
        <v>0.46708729169725866</v>
      </c>
      <c r="P81" s="54">
        <v>-9.9528443265553069E-4</v>
      </c>
      <c r="Q81" s="54">
        <v>-1222.0575054054279</v>
      </c>
      <c r="R81" s="54">
        <v>311.80562716819713</v>
      </c>
      <c r="S81" s="54">
        <v>-2788.1469129655216</v>
      </c>
      <c r="T81" s="55">
        <v>-1698.6061878774308</v>
      </c>
      <c r="U81" s="61">
        <v>1.7226933938375582E-2</v>
      </c>
    </row>
    <row r="82" spans="1:21">
      <c r="A82" s="47">
        <v>45489.625</v>
      </c>
      <c r="B82" s="48">
        <v>3498.2827000000002</v>
      </c>
      <c r="C82" s="49">
        <v>6.339020760523173E-3</v>
      </c>
      <c r="D82" s="85" t="b">
        <v>0</v>
      </c>
      <c r="E82" s="106">
        <v>396928.19133046141</v>
      </c>
      <c r="F82" s="25">
        <v>20396928.191330463</v>
      </c>
      <c r="G82" s="106">
        <v>2455.0269155472906</v>
      </c>
      <c r="H82" s="106">
        <v>8588378.1866934486</v>
      </c>
      <c r="I82" s="106">
        <v>-571031.83899675077</v>
      </c>
      <c r="J82" s="106">
        <v>-65222.470450199886</v>
      </c>
      <c r="K82" s="106">
        <v>6859.446700215035</v>
      </c>
      <c r="L82" s="106">
        <v>-144502.25965458489</v>
      </c>
      <c r="M82" s="106">
        <v>-86867.104087821528</v>
      </c>
      <c r="N82" s="53">
        <v>71.517092572433739</v>
      </c>
      <c r="O82" s="54">
        <v>0.44233791154641483</v>
      </c>
      <c r="P82" s="54">
        <v>-8.4071428037963954E-4</v>
      </c>
      <c r="Q82" s="54">
        <v>-1175.1549924823394</v>
      </c>
      <c r="R82" s="54">
        <v>299.09031980966301</v>
      </c>
      <c r="S82" s="54">
        <v>-2603.5896936428344</v>
      </c>
      <c r="T82" s="55">
        <v>-1565.1402092968965</v>
      </c>
      <c r="U82" s="61">
        <v>9.8612020448661311E-2</v>
      </c>
    </row>
    <row r="83" spans="1:21">
      <c r="A83" s="47">
        <v>45490.625</v>
      </c>
      <c r="B83" s="48">
        <v>3501.5835999999999</v>
      </c>
      <c r="C83" s="49">
        <v>9.4357725863591924E-4</v>
      </c>
      <c r="D83" s="85" t="b">
        <v>0</v>
      </c>
      <c r="E83" s="106">
        <v>411658.451556165</v>
      </c>
      <c r="F83" s="25">
        <v>20411658.451556165</v>
      </c>
      <c r="G83" s="106">
        <v>2384.9607294265975</v>
      </c>
      <c r="H83" s="106">
        <v>8351139.3768042112</v>
      </c>
      <c r="I83" s="106">
        <v>-707769.45331297885</v>
      </c>
      <c r="J83" s="106">
        <v>-65820.18924657852</v>
      </c>
      <c r="K83" s="106">
        <v>8096.8284304687968</v>
      </c>
      <c r="L83" s="106">
        <v>-143720.27547521424</v>
      </c>
      <c r="M83" s="106">
        <v>-86194.787863618665</v>
      </c>
      <c r="N83" s="53">
        <v>74.171137830964199</v>
      </c>
      <c r="O83" s="54">
        <v>0.42971363836945836</v>
      </c>
      <c r="P83" s="54">
        <v>-1.0400655730314226E-3</v>
      </c>
      <c r="Q83" s="54">
        <v>-1185.9244745767228</v>
      </c>
      <c r="R83" s="54">
        <v>353.04349032072332</v>
      </c>
      <c r="S83" s="54">
        <v>-2589.5001842132388</v>
      </c>
      <c r="T83" s="55">
        <v>-1553.0266576030499</v>
      </c>
      <c r="U83" s="61">
        <v>1.4678617319407169E-2</v>
      </c>
    </row>
    <row r="84" spans="1:21">
      <c r="A84" s="47">
        <v>45491.625</v>
      </c>
      <c r="B84" s="48">
        <v>3520.931</v>
      </c>
      <c r="C84" s="49">
        <v>5.5253285970382482E-3</v>
      </c>
      <c r="D84" s="85" t="b">
        <v>0</v>
      </c>
      <c r="E84" s="106">
        <v>464168.1476775505</v>
      </c>
      <c r="F84" s="25">
        <v>20464168.147677552</v>
      </c>
      <c r="G84" s="106">
        <v>2220.3564399440152</v>
      </c>
      <c r="H84" s="106">
        <v>7817721.8204485215</v>
      </c>
      <c r="I84" s="106">
        <v>-926382.49992337718</v>
      </c>
      <c r="J84" s="106">
        <v>-63607.307806989658</v>
      </c>
      <c r="K84" s="106">
        <v>8281.0948953182469</v>
      </c>
      <c r="L84" s="106">
        <v>-134433.18748478833</v>
      </c>
      <c r="M84" s="106">
        <v>-79610.193456673107</v>
      </c>
      <c r="N84" s="53">
        <v>83.6321458432094</v>
      </c>
      <c r="O84" s="54">
        <v>0.40005583006592882</v>
      </c>
      <c r="P84" s="54">
        <v>-1.3463972598252326E-3</v>
      </c>
      <c r="Q84" s="54">
        <v>-1146.053573435529</v>
      </c>
      <c r="R84" s="54">
        <v>361.07800364383002</v>
      </c>
      <c r="S84" s="54">
        <v>-2422.1687761534213</v>
      </c>
      <c r="T84" s="55">
        <v>-1434.3878060326915</v>
      </c>
      <c r="U84" s="61">
        <v>8.5953941023493352E-2</v>
      </c>
    </row>
    <row r="85" spans="1:21">
      <c r="A85" s="47">
        <v>45492.625</v>
      </c>
      <c r="B85" s="48">
        <v>3539.0156000000002</v>
      </c>
      <c r="C85" s="49">
        <v>5.1363119583995864E-3</v>
      </c>
      <c r="D85" s="85" t="b">
        <v>0</v>
      </c>
      <c r="E85" s="106">
        <v>511415.72062469739</v>
      </c>
      <c r="F85" s="25">
        <v>20511415.720624696</v>
      </c>
      <c r="G85" s="106">
        <v>2086.6334453734444</v>
      </c>
      <c r="H85" s="106">
        <v>7384628.314658368</v>
      </c>
      <c r="I85" s="106">
        <v>-948581.58328861964</v>
      </c>
      <c r="J85" s="106">
        <v>-60661.89588398613</v>
      </c>
      <c r="K85" s="106">
        <v>8438.5891907068926</v>
      </c>
      <c r="L85" s="106">
        <v>-125233.93762965973</v>
      </c>
      <c r="M85" s="106">
        <v>-73244.911435294052</v>
      </c>
      <c r="N85" s="53">
        <v>92.145043445563715</v>
      </c>
      <c r="O85" s="54">
        <v>0.37596210230698379</v>
      </c>
      <c r="P85" s="54">
        <v>-1.3646071416574279E-3</v>
      </c>
      <c r="Q85" s="54">
        <v>-1092.9842017551437</v>
      </c>
      <c r="R85" s="54">
        <v>367.94517839343644</v>
      </c>
      <c r="S85" s="54">
        <v>-2256.4200039936622</v>
      </c>
      <c r="T85" s="55">
        <v>-1319.7004460730113</v>
      </c>
      <c r="U85" s="61">
        <v>7.990226235362588E-2</v>
      </c>
    </row>
    <row r="86" spans="1:21">
      <c r="A86" s="47">
        <v>45495.625</v>
      </c>
      <c r="B86" s="48">
        <v>3514.9249</v>
      </c>
      <c r="C86" s="49">
        <v>-6.8071754190629497E-3</v>
      </c>
      <c r="D86" s="85" t="b">
        <v>0</v>
      </c>
      <c r="E86" s="106">
        <v>467279.37188957387</v>
      </c>
      <c r="F86" s="25">
        <v>20467279.371889573</v>
      </c>
      <c r="G86" s="106">
        <v>2271.9309682016046</v>
      </c>
      <c r="H86" s="106">
        <v>7985666.731212928</v>
      </c>
      <c r="I86" s="106">
        <v>-936027.62712658115</v>
      </c>
      <c r="J86" s="106">
        <v>-63813.800336923916</v>
      </c>
      <c r="K86" s="106">
        <v>8436.1329957056041</v>
      </c>
      <c r="L86" s="106">
        <v>-135199.55360792251</v>
      </c>
      <c r="M86" s="106">
        <v>-80606.137559886556</v>
      </c>
      <c r="N86" s="53">
        <v>84.192715021324602</v>
      </c>
      <c r="O86" s="54">
        <v>0.40934834289907951</v>
      </c>
      <c r="P86" s="54">
        <v>-1.3650685843419508E-3</v>
      </c>
      <c r="Q86" s="54">
        <v>-1149.7740815025736</v>
      </c>
      <c r="R86" s="54">
        <v>367.83808168716314</v>
      </c>
      <c r="S86" s="54">
        <v>-2435.9768850682485</v>
      </c>
      <c r="T86" s="55">
        <v>-1452.3323683445142</v>
      </c>
      <c r="U86" s="61">
        <v>0.10589479779000738</v>
      </c>
    </row>
    <row r="87" spans="1:21">
      <c r="A87" s="47">
        <v>45496.625</v>
      </c>
      <c r="B87" s="48">
        <v>3439.8779</v>
      </c>
      <c r="C87" s="49">
        <v>-2.1350954041720827E-2</v>
      </c>
      <c r="D87" s="85" t="b">
        <v>0</v>
      </c>
      <c r="E87" s="106">
        <v>283917.00405515049</v>
      </c>
      <c r="F87" s="25">
        <v>20283917.00405515</v>
      </c>
      <c r="G87" s="106">
        <v>2827.8940468354299</v>
      </c>
      <c r="H87" s="106">
        <v>9727610.2352507599</v>
      </c>
      <c r="I87" s="106">
        <v>-831162.84619415575</v>
      </c>
      <c r="J87" s="106">
        <v>-72410.416289747125</v>
      </c>
      <c r="K87" s="106">
        <v>7974.1519480780244</v>
      </c>
      <c r="L87" s="106">
        <v>-168270.36582823054</v>
      </c>
      <c r="M87" s="106">
        <v>-104985.55771189701</v>
      </c>
      <c r="N87" s="53">
        <v>51.155143689442411</v>
      </c>
      <c r="O87" s="54">
        <v>0.50951976894023909</v>
      </c>
      <c r="P87" s="54">
        <v>-1.2656043886618614E-3</v>
      </c>
      <c r="Q87" s="54">
        <v>-1304.6648129587993</v>
      </c>
      <c r="R87" s="54">
        <v>347.69446583595982</v>
      </c>
      <c r="S87" s="54">
        <v>-3031.834874161359</v>
      </c>
      <c r="T87" s="55">
        <v>-1891.5919840521838</v>
      </c>
      <c r="U87" s="61">
        <v>0.33214289652946866</v>
      </c>
    </row>
    <row r="88" spans="1:21">
      <c r="A88" s="47">
        <v>45497.625</v>
      </c>
      <c r="B88" s="48">
        <v>3418.1662999999999</v>
      </c>
      <c r="C88" s="49">
        <v>-6.3117356578267225E-3</v>
      </c>
      <c r="D88" s="85" t="b">
        <v>0</v>
      </c>
      <c r="E88" s="106">
        <v>228706.8779118745</v>
      </c>
      <c r="F88" s="25">
        <v>20228706.877911873</v>
      </c>
      <c r="G88" s="106">
        <v>2984.965284125723</v>
      </c>
      <c r="H88" s="106">
        <v>10203107.740868472</v>
      </c>
      <c r="I88" s="106">
        <v>-794156.71871577215</v>
      </c>
      <c r="J88" s="106">
        <v>-74108.553281682704</v>
      </c>
      <c r="K88" s="106">
        <v>7857.557047020342</v>
      </c>
      <c r="L88" s="106">
        <v>-177035.60467274245</v>
      </c>
      <c r="M88" s="106">
        <v>-111704.64856043561</v>
      </c>
      <c r="N88" s="53">
        <v>41.207581917401058</v>
      </c>
      <c r="O88" s="54">
        <v>0.53782029901874984</v>
      </c>
      <c r="P88" s="54">
        <v>-1.2246662331608744E-3</v>
      </c>
      <c r="Q88" s="54">
        <v>-1335.2612339501775</v>
      </c>
      <c r="R88" s="54">
        <v>342.61061464947488</v>
      </c>
      <c r="S88" s="54">
        <v>-3189.7637921757905</v>
      </c>
      <c r="T88" s="55">
        <v>-2012.6541440884466</v>
      </c>
      <c r="U88" s="61">
        <v>9.8187563863536609E-2</v>
      </c>
    </row>
    <row r="89" spans="1:21">
      <c r="A89" s="47">
        <v>45498.625</v>
      </c>
      <c r="B89" s="48">
        <v>3399.2716</v>
      </c>
      <c r="C89" s="49">
        <v>-5.5277298825395782E-3</v>
      </c>
      <c r="D89" s="85" t="b">
        <v>0</v>
      </c>
      <c r="E89" s="106">
        <v>178851.73486880318</v>
      </c>
      <c r="F89" s="25">
        <v>20178851.734868802</v>
      </c>
      <c r="G89" s="106">
        <v>3118.6477571085366</v>
      </c>
      <c r="H89" s="106">
        <v>10601130.751142746</v>
      </c>
      <c r="I89" s="106">
        <v>-759132.99821911927</v>
      </c>
      <c r="J89" s="106">
        <v>-75449.0316225305</v>
      </c>
      <c r="K89" s="106">
        <v>7741.3967864235065</v>
      </c>
      <c r="L89" s="106">
        <v>-184395.94217086543</v>
      </c>
      <c r="M89" s="106">
        <v>-117420.98002916793</v>
      </c>
      <c r="N89" s="53">
        <v>32.224861722415426</v>
      </c>
      <c r="O89" s="54">
        <v>0.56190672574389045</v>
      </c>
      <c r="P89" s="54">
        <v>-1.1837065299727823E-3</v>
      </c>
      <c r="Q89" s="54">
        <v>-1359.4134901233701</v>
      </c>
      <c r="R89" s="54">
        <v>337.54571495574419</v>
      </c>
      <c r="S89" s="54">
        <v>-3322.3797034954714</v>
      </c>
      <c r="T89" s="55">
        <v>-2115.6489466127368</v>
      </c>
      <c r="U89" s="61">
        <v>8.5991296259247577E-2</v>
      </c>
    </row>
    <row r="90" spans="1:21">
      <c r="A90" s="47">
        <v>45499.625</v>
      </c>
      <c r="B90" s="48">
        <v>3409.2930999999999</v>
      </c>
      <c r="C90" s="49">
        <v>2.9481315938391095E-3</v>
      </c>
      <c r="D90" s="85" t="b">
        <v>0</v>
      </c>
      <c r="E90" s="106">
        <v>217567.89795164028</v>
      </c>
      <c r="F90" s="25">
        <v>20217567.89795164</v>
      </c>
      <c r="G90" s="106">
        <v>3059.6868836339195</v>
      </c>
      <c r="H90" s="106">
        <v>10431369.380533624</v>
      </c>
      <c r="I90" s="106">
        <v>-776881.33533599519</v>
      </c>
      <c r="J90" s="106">
        <v>-74951.443577733298</v>
      </c>
      <c r="K90" s="106">
        <v>7855.2395258174392</v>
      </c>
      <c r="L90" s="106">
        <v>-180012.63377335397</v>
      </c>
      <c r="M90" s="106">
        <v>-114168.70322306328</v>
      </c>
      <c r="N90" s="53">
        <v>39.200600608493914</v>
      </c>
      <c r="O90" s="54">
        <v>0.55128336782037846</v>
      </c>
      <c r="P90" s="54">
        <v>-1.2042701281512695E-3</v>
      </c>
      <c r="Q90" s="54">
        <v>-1350.4481278639105</v>
      </c>
      <c r="R90" s="54">
        <v>342.50956449367732</v>
      </c>
      <c r="S90" s="54">
        <v>-3243.4028307801327</v>
      </c>
      <c r="T90" s="55">
        <v>-2057.0505939399936</v>
      </c>
      <c r="U90" s="61">
        <v>4.5862164520346652E-2</v>
      </c>
    </row>
    <row r="91" spans="1:21">
      <c r="A91" s="47">
        <v>45502.625</v>
      </c>
      <c r="B91" s="48">
        <v>3390.7420000000002</v>
      </c>
      <c r="C91" s="49">
        <v>-5.4413332781507728E-3</v>
      </c>
      <c r="D91" s="85" t="b">
        <v>0</v>
      </c>
      <c r="E91" s="106">
        <v>167329.1779187322</v>
      </c>
      <c r="F91" s="25">
        <v>20167329.177918732</v>
      </c>
      <c r="G91" s="106">
        <v>3188.8394365008603</v>
      </c>
      <c r="H91" s="106">
        <v>10812531.8085998</v>
      </c>
      <c r="I91" s="106">
        <v>-741183.29833803617</v>
      </c>
      <c r="J91" s="106">
        <v>-76240.123402916754</v>
      </c>
      <c r="K91" s="106">
        <v>7631.8100278762113</v>
      </c>
      <c r="L91" s="106">
        <v>-187207.96536293891</v>
      </c>
      <c r="M91" s="106">
        <v>-119758.7488773104</v>
      </c>
      <c r="N91" s="53">
        <v>30.148768892356657</v>
      </c>
      <c r="O91" s="54">
        <v>0.57455360984675352</v>
      </c>
      <c r="P91" s="54">
        <v>-1.1615396469549604E-3</v>
      </c>
      <c r="Q91" s="54">
        <v>-1373.6670970293289</v>
      </c>
      <c r="R91" s="54">
        <v>332.76743762620572</v>
      </c>
      <c r="S91" s="54">
        <v>-3373.0457250419022</v>
      </c>
      <c r="T91" s="55">
        <v>-2157.7700241217826</v>
      </c>
      <c r="U91" s="61">
        <v>8.4647280512881631E-2</v>
      </c>
    </row>
    <row r="92" spans="1:21">
      <c r="A92" s="47">
        <v>45503.625</v>
      </c>
      <c r="B92" s="48">
        <v>3369.38</v>
      </c>
      <c r="C92" s="49">
        <v>-6.3000959671953849E-3</v>
      </c>
      <c r="D92" s="85" t="b">
        <v>0</v>
      </c>
      <c r="E92" s="106" t="e">
        <v>#VALUE!</v>
      </c>
      <c r="F92" s="25" t="e">
        <v>#VALUE!</v>
      </c>
      <c r="G92" s="106">
        <v>0</v>
      </c>
      <c r="H92" s="106">
        <v>0</v>
      </c>
      <c r="I92" s="106">
        <v>0</v>
      </c>
      <c r="J92" s="106">
        <v>0</v>
      </c>
      <c r="K92" s="106">
        <v>0</v>
      </c>
      <c r="L92" s="106">
        <v>0</v>
      </c>
      <c r="M92" s="106">
        <v>0</v>
      </c>
      <c r="N92" s="53" t="s">
        <v>176</v>
      </c>
      <c r="O92" s="54"/>
      <c r="P92" s="54"/>
      <c r="Q92" s="54"/>
      <c r="R92" s="54"/>
      <c r="U92" s="61">
        <v>9.8006492771657308E-2</v>
      </c>
    </row>
  </sheetData>
  <mergeCells count="4">
    <mergeCell ref="Y1:Z2"/>
    <mergeCell ref="Y21:Z21"/>
    <mergeCell ref="Y27:Z27"/>
    <mergeCell ref="Y29:Z2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330A-5417-4949-8CA0-AC63B8A13664}">
  <sheetPr codeName="Sheet5"/>
  <dimension ref="A1:BW92"/>
  <sheetViews>
    <sheetView topLeftCell="T1" zoomScaleNormal="100" workbookViewId="0">
      <selection activeCell="AJ17" sqref="AJ17"/>
    </sheetView>
  </sheetViews>
  <sheetFormatPr defaultRowHeight="14.4"/>
  <cols>
    <col min="1" max="1" width="18" style="47" bestFit="1" customWidth="1"/>
    <col min="2" max="2" width="11.88671875" style="48" bestFit="1" customWidth="1"/>
    <col min="3" max="3" width="9.5546875" style="49" bestFit="1" customWidth="1"/>
    <col min="4" max="4" width="10" style="85" customWidth="1"/>
    <col min="5" max="5" width="12.44140625" style="78" bestFit="1" customWidth="1"/>
    <col min="6" max="6" width="14.109375" style="26" bestFit="1" customWidth="1"/>
    <col min="7" max="7" width="17.77734375" style="78" bestFit="1" customWidth="1"/>
    <col min="8" max="8" width="15.33203125" style="78" customWidth="1"/>
    <col min="9" max="9" width="19.109375" style="78" bestFit="1" customWidth="1"/>
    <col min="10" max="10" width="16" style="78" bestFit="1" customWidth="1"/>
    <col min="11" max="11" width="14.44140625" style="78" bestFit="1" customWidth="1"/>
    <col min="12" max="13" width="14.44140625" style="78" customWidth="1"/>
    <col min="14" max="14" width="12.77734375" style="56" customWidth="1"/>
    <col min="15" max="16" width="12.77734375" style="57" customWidth="1"/>
    <col min="17" max="17" width="14.33203125" style="57" customWidth="1"/>
    <col min="18" max="18" width="12.77734375" style="57" customWidth="1"/>
    <col min="19" max="19" width="12.77734375" style="54" customWidth="1"/>
    <col min="20" max="20" width="14.88671875" style="55" customWidth="1"/>
    <col min="21" max="21" width="12.33203125" style="61" customWidth="1"/>
    <col min="22" max="22" width="12.77734375" style="2" customWidth="1"/>
    <col min="23" max="23" width="2" customWidth="1"/>
    <col min="24" max="24" width="3.5546875" customWidth="1"/>
    <col min="25" max="25" width="37.88671875" customWidth="1"/>
    <col min="26" max="26" width="24.77734375" style="4" customWidth="1"/>
    <col min="27" max="27" width="3.88671875" customWidth="1"/>
    <col min="28" max="28" width="11.6640625" bestFit="1" customWidth="1"/>
    <col min="29" max="29" width="15.109375" customWidth="1"/>
    <col min="30" max="30" width="14.44140625" style="34" customWidth="1"/>
    <col min="31" max="31" width="11.109375" style="34" customWidth="1"/>
    <col min="32" max="32" width="11.6640625" bestFit="1" customWidth="1"/>
    <col min="33" max="33" width="1.5546875" customWidth="1"/>
    <col min="34" max="34" width="20.109375" customWidth="1"/>
    <col min="35" max="35" width="16.5546875" style="69" bestFit="1" customWidth="1"/>
    <col min="36" max="43" width="5.77734375" customWidth="1"/>
    <col min="44" max="44" width="10.5546875" customWidth="1"/>
    <col min="45" max="45" width="12.77734375" customWidth="1"/>
    <col min="46" max="46" width="12.5546875" customWidth="1"/>
    <col min="47" max="53" width="5.77734375" customWidth="1"/>
  </cols>
  <sheetData>
    <row r="1" spans="1:41" s="3" customFormat="1" ht="14.4" customHeight="1">
      <c r="A1" s="46" t="s">
        <v>0</v>
      </c>
      <c r="B1" s="46" t="s">
        <v>1</v>
      </c>
      <c r="C1" s="46" t="s">
        <v>54</v>
      </c>
      <c r="D1" s="111" t="s">
        <v>80</v>
      </c>
      <c r="E1" s="1" t="s">
        <v>2</v>
      </c>
      <c r="F1" s="1" t="s">
        <v>33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61</v>
      </c>
      <c r="N1" s="51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60</v>
      </c>
      <c r="U1" s="50" t="s">
        <v>59</v>
      </c>
      <c r="V1" s="2"/>
      <c r="W1" s="5"/>
      <c r="X1" s="5"/>
      <c r="Y1" s="165" t="s">
        <v>88</v>
      </c>
      <c r="Z1" s="165"/>
      <c r="AA1" s="110"/>
      <c r="AB1" s="110"/>
      <c r="AC1" s="110"/>
      <c r="AD1" s="110"/>
      <c r="AE1" s="110"/>
      <c r="AF1" s="5"/>
      <c r="AG1" s="5"/>
    </row>
    <row r="2" spans="1:41" ht="14.4" customHeight="1" thickBot="1">
      <c r="A2" s="47">
        <v>45369.625</v>
      </c>
      <c r="B2" s="48">
        <v>3603.5279999999998</v>
      </c>
      <c r="C2" s="49">
        <v>0</v>
      </c>
      <c r="D2" s="85" t="b">
        <v>0</v>
      </c>
      <c r="E2" s="106">
        <v>0</v>
      </c>
      <c r="F2" s="25">
        <v>200000000</v>
      </c>
      <c r="G2" s="106">
        <v>9745.8802608184524</v>
      </c>
      <c r="H2" s="106">
        <v>35119552.404506594</v>
      </c>
      <c r="I2" s="106">
        <v>-4904968.9419310084</v>
      </c>
      <c r="J2" s="106">
        <v>-676155.46642735286</v>
      </c>
      <c r="K2" s="106">
        <v>56539.253355853114</v>
      </c>
      <c r="L2" s="106">
        <v>-1582614.3559982798</v>
      </c>
      <c r="M2" s="106">
        <v>-566243.21092559758</v>
      </c>
      <c r="N2" s="53">
        <v>-9.7541018672018254E-2</v>
      </c>
      <c r="O2" s="54">
        <v>0.17559776202253297</v>
      </c>
      <c r="P2" s="54">
        <v>-6.8057871923445697E-4</v>
      </c>
      <c r="Q2" s="54">
        <v>-1218.272577812013</v>
      </c>
      <c r="R2" s="54">
        <v>246.52634690596187</v>
      </c>
      <c r="S2" s="54">
        <v>-2851.4975725208842</v>
      </c>
      <c r="T2" s="55">
        <v>-1020.2366326901483</v>
      </c>
      <c r="U2" s="61">
        <v>0</v>
      </c>
      <c r="W2" s="5"/>
      <c r="X2" s="5"/>
      <c r="Y2" s="166"/>
      <c r="Z2" s="166"/>
      <c r="AA2" s="109"/>
      <c r="AB2" s="109"/>
      <c r="AC2" s="109"/>
      <c r="AD2" s="109"/>
      <c r="AE2" s="125"/>
      <c r="AF2" s="5"/>
      <c r="AG2" s="5"/>
    </row>
    <row r="3" spans="1:41">
      <c r="A3" s="47">
        <v>45370.625</v>
      </c>
      <c r="B3" s="48">
        <v>3577.6302999999998</v>
      </c>
      <c r="C3" s="49">
        <v>-7.1867625282778791E-3</v>
      </c>
      <c r="D3" s="85" t="b">
        <v>0</v>
      </c>
      <c r="E3" s="106">
        <v>-212533.43243356832</v>
      </c>
      <c r="F3" s="25">
        <v>199787466.56756642</v>
      </c>
      <c r="G3" s="106">
        <v>10685.719531652458</v>
      </c>
      <c r="H3" s="106">
        <v>38229553.973741636</v>
      </c>
      <c r="I3" s="106">
        <v>-5158159.8312821612</v>
      </c>
      <c r="J3" s="106">
        <v>-713690.65701062931</v>
      </c>
      <c r="K3" s="106">
        <v>58405.36152360827</v>
      </c>
      <c r="L3" s="106">
        <v>-1655975.4540524397</v>
      </c>
      <c r="M3" s="106">
        <v>-613385.93141165003</v>
      </c>
      <c r="N3" s="53">
        <v>-3.8293508735523574</v>
      </c>
      <c r="O3" s="54">
        <v>0.19253144766228256</v>
      </c>
      <c r="P3" s="54">
        <v>-7.261089339316146E-4</v>
      </c>
      <c r="Q3" s="54">
        <v>-1285.9021329380994</v>
      </c>
      <c r="R3" s="54">
        <v>254.66308027653849</v>
      </c>
      <c r="S3" s="54">
        <v>-2983.6769579953398</v>
      </c>
      <c r="T3" s="55">
        <v>-1105.1766893239801</v>
      </c>
      <c r="U3" s="61">
        <v>0.11179978740749863</v>
      </c>
      <c r="W3" s="5"/>
      <c r="X3" s="6"/>
      <c r="Y3" s="7"/>
      <c r="Z3" s="8"/>
      <c r="AA3" s="7"/>
      <c r="AB3" s="7"/>
      <c r="AC3" s="7"/>
      <c r="AD3" s="72"/>
      <c r="AE3" s="72"/>
      <c r="AF3" s="9"/>
      <c r="AG3" s="5"/>
    </row>
    <row r="4" spans="1:41">
      <c r="A4" s="47">
        <v>45371.625</v>
      </c>
      <c r="B4" s="48">
        <v>3585.3838000000001</v>
      </c>
      <c r="C4" s="49">
        <v>2.1672166629402856E-3</v>
      </c>
      <c r="D4" s="85" t="b">
        <v>0</v>
      </c>
      <c r="E4" s="106">
        <v>-73186.579942499171</v>
      </c>
      <c r="F4" s="25">
        <v>199926813.42005751</v>
      </c>
      <c r="G4" s="106">
        <v>10304.39558846123</v>
      </c>
      <c r="H4" s="106">
        <v>36945213.01166036</v>
      </c>
      <c r="I4" s="106">
        <v>-5086775.1616832102</v>
      </c>
      <c r="J4" s="106">
        <v>-697025.81702058064</v>
      </c>
      <c r="K4" s="106">
        <v>57898.640337628553</v>
      </c>
      <c r="L4" s="106">
        <v>-1618489.1186441509</v>
      </c>
      <c r="M4" s="106">
        <v>-592874.44064478856</v>
      </c>
      <c r="N4" s="53">
        <v>-1.3186494502351707</v>
      </c>
      <c r="O4" s="54">
        <v>0.18566089013048256</v>
      </c>
      <c r="P4" s="54">
        <v>-7.1296653173242729E-4</v>
      </c>
      <c r="Q4" s="54">
        <v>-1255.8760241782693</v>
      </c>
      <c r="R4" s="54">
        <v>252.45363965847446</v>
      </c>
      <c r="S4" s="54">
        <v>-2916.1354283647597</v>
      </c>
      <c r="T4" s="55">
        <v>-1068.2198236739168</v>
      </c>
      <c r="U4" s="61">
        <v>3.3713979170642235E-2</v>
      </c>
      <c r="W4" s="5"/>
      <c r="X4" s="10"/>
      <c r="Y4" s="11" t="s">
        <v>15</v>
      </c>
      <c r="Z4" s="12"/>
      <c r="AA4" s="12"/>
      <c r="AB4" s="12"/>
      <c r="AC4" s="12"/>
      <c r="AD4" s="66"/>
      <c r="AE4" s="66"/>
      <c r="AF4" s="13"/>
      <c r="AG4" s="5"/>
    </row>
    <row r="5" spans="1:41">
      <c r="A5" s="47">
        <v>45372.625</v>
      </c>
      <c r="B5" s="48">
        <v>3581.0902000000001</v>
      </c>
      <c r="C5" s="49">
        <v>-1.1975286997168988E-3</v>
      </c>
      <c r="D5" s="85" t="b">
        <v>0</v>
      </c>
      <c r="E5" s="106">
        <v>-59559.541197448212</v>
      </c>
      <c r="F5" s="25">
        <v>199940440.45880255</v>
      </c>
      <c r="G5" s="106">
        <v>10402.451997991586</v>
      </c>
      <c r="H5" s="106">
        <v>37252118.905978091</v>
      </c>
      <c r="I5" s="106">
        <v>-5139151.6194286617</v>
      </c>
      <c r="J5" s="106">
        <v>-700254.9275982437</v>
      </c>
      <c r="K5" s="106">
        <v>58104.631975232274</v>
      </c>
      <c r="L5" s="106">
        <v>-1621140.196558171</v>
      </c>
      <c r="M5" s="106">
        <v>-596796.19210858946</v>
      </c>
      <c r="N5" s="53">
        <v>-1.0731223718607907</v>
      </c>
      <c r="O5" s="54">
        <v>0.1874276352170931</v>
      </c>
      <c r="P5" s="54">
        <v>-7.2203594059270116E-4</v>
      </c>
      <c r="Q5" s="54">
        <v>-1261.6941193691218</v>
      </c>
      <c r="R5" s="54">
        <v>253.3518185854582</v>
      </c>
      <c r="S5" s="54">
        <v>-2920.9120451114359</v>
      </c>
      <c r="T5" s="55">
        <v>-1075.2858942783405</v>
      </c>
      <c r="U5" s="61">
        <v>1.8629174613177212E-2</v>
      </c>
      <c r="W5" s="5"/>
      <c r="X5" s="10"/>
      <c r="Y5" s="14"/>
      <c r="Z5" s="15"/>
      <c r="AA5" s="14"/>
      <c r="AB5" s="14"/>
      <c r="AC5" s="14"/>
      <c r="AD5" s="70"/>
      <c r="AE5" s="70"/>
      <c r="AF5" s="13"/>
      <c r="AG5" s="5"/>
    </row>
    <row r="6" spans="1:41">
      <c r="A6" s="47">
        <v>45373.625</v>
      </c>
      <c r="B6" s="48">
        <v>3545.0023000000001</v>
      </c>
      <c r="C6" s="49">
        <v>-1.0077350187939982E-2</v>
      </c>
      <c r="D6" s="85" t="b">
        <v>0</v>
      </c>
      <c r="E6" s="106">
        <v>-400710.13478073222</v>
      </c>
      <c r="F6" s="25">
        <v>199599289.86521927</v>
      </c>
      <c r="G6" s="106">
        <v>11839.197373047393</v>
      </c>
      <c r="H6" s="106">
        <v>41969981.917606965</v>
      </c>
      <c r="I6" s="106">
        <v>-5482588.7940204795</v>
      </c>
      <c r="J6" s="106">
        <v>-755807.52629230253</v>
      </c>
      <c r="K6" s="106">
        <v>60639.370806541818</v>
      </c>
      <c r="L6" s="106">
        <v>-1733117.5622856028</v>
      </c>
      <c r="M6" s="106">
        <v>-668093.5557168097</v>
      </c>
      <c r="N6" s="53">
        <v>-7.2198509528307113</v>
      </c>
      <c r="O6" s="54">
        <v>0.2133143961565136</v>
      </c>
      <c r="P6" s="54">
        <v>-7.8605066017909883E-4</v>
      </c>
      <c r="Q6" s="54">
        <v>-1361.786791802524</v>
      </c>
      <c r="R6" s="54">
        <v>264.40396143054477</v>
      </c>
      <c r="S6" s="54">
        <v>-3122.6688314939565</v>
      </c>
      <c r="T6" s="55">
        <v>-1203.7469173225418</v>
      </c>
      <c r="U6" s="61">
        <v>0.15676677839424558</v>
      </c>
      <c r="W6" s="5"/>
      <c r="X6" s="10"/>
      <c r="Y6" s="14" t="s">
        <v>16</v>
      </c>
      <c r="Z6" s="16" t="s">
        <v>17</v>
      </c>
      <c r="AA6" s="12"/>
      <c r="AB6" s="12"/>
      <c r="AC6" s="12"/>
      <c r="AD6" s="66"/>
      <c r="AE6" s="66"/>
      <c r="AF6" s="13"/>
      <c r="AG6" s="5"/>
    </row>
    <row r="7" spans="1:41">
      <c r="A7" s="47">
        <v>45376.625</v>
      </c>
      <c r="B7" s="48">
        <v>3525.7633999999998</v>
      </c>
      <c r="C7" s="49">
        <v>-5.427048665102463E-3</v>
      </c>
      <c r="D7" s="85" t="b">
        <v>0</v>
      </c>
      <c r="E7" s="106">
        <v>-574505.02553950227</v>
      </c>
      <c r="F7" s="25">
        <v>199425494.97446051</v>
      </c>
      <c r="G7" s="106">
        <v>12626.254736390218</v>
      </c>
      <c r="H7" s="106">
        <v>44517186.828641273</v>
      </c>
      <c r="I7" s="106">
        <v>-5657328.8852306576</v>
      </c>
      <c r="J7" s="106">
        <v>-783014.37449143257</v>
      </c>
      <c r="K7" s="106">
        <v>61962.141963786358</v>
      </c>
      <c r="L7" s="106">
        <v>-1789444.6216669497</v>
      </c>
      <c r="M7" s="106">
        <v>-705616.74139673857</v>
      </c>
      <c r="N7" s="53">
        <v>-10.351224728361558</v>
      </c>
      <c r="O7" s="54">
        <v>0.22749531238857382</v>
      </c>
      <c r="P7" s="54">
        <v>-8.1997951318833761E-4</v>
      </c>
      <c r="Q7" s="54">
        <v>-1410.8071114411814</v>
      </c>
      <c r="R7" s="54">
        <v>270.17159934283973</v>
      </c>
      <c r="S7" s="54">
        <v>-3224.1568993131295</v>
      </c>
      <c r="T7" s="55">
        <v>-1271.3548424459532</v>
      </c>
      <c r="U7" s="61">
        <v>8.4425064084313745E-2</v>
      </c>
      <c r="W7" s="5"/>
      <c r="X7" s="10"/>
      <c r="Y7" s="17"/>
      <c r="Z7" s="65"/>
      <c r="AA7" s="12"/>
      <c r="AB7" s="129" t="s">
        <v>121</v>
      </c>
      <c r="AC7" s="129" t="s">
        <v>87</v>
      </c>
      <c r="AD7" s="65" t="s">
        <v>89</v>
      </c>
      <c r="AE7" s="65" t="s">
        <v>122</v>
      </c>
      <c r="AF7" s="13" t="s">
        <v>118</v>
      </c>
      <c r="AG7" s="5"/>
    </row>
    <row r="8" spans="1:41">
      <c r="A8" s="47">
        <v>45377.625</v>
      </c>
      <c r="B8" s="48">
        <v>3543.7467000000001</v>
      </c>
      <c r="C8" s="49">
        <v>5.1005407793387469E-3</v>
      </c>
      <c r="D8" s="85" t="b">
        <v>0</v>
      </c>
      <c r="E8" s="106">
        <v>-294161.60839274194</v>
      </c>
      <c r="F8" s="25">
        <v>199705838.39160725</v>
      </c>
      <c r="G8" s="106">
        <v>11751.563169698384</v>
      </c>
      <c r="H8" s="106">
        <v>41644563.202460192</v>
      </c>
      <c r="I8" s="106">
        <v>-5521719.3835568884</v>
      </c>
      <c r="J8" s="106">
        <v>-750311.01677555882</v>
      </c>
      <c r="K8" s="106">
        <v>60831.91298559869</v>
      </c>
      <c r="L8" s="106">
        <v>-1715596.8070807466</v>
      </c>
      <c r="M8" s="106">
        <v>-661338.10626307456</v>
      </c>
      <c r="N8" s="53">
        <v>-5.3000979618414021</v>
      </c>
      <c r="O8" s="54">
        <v>0.21173543462888436</v>
      </c>
      <c r="P8" s="54">
        <v>-7.922219906472453E-4</v>
      </c>
      <c r="Q8" s="54">
        <v>-1351.8833788295979</v>
      </c>
      <c r="R8" s="54">
        <v>265.24349710197384</v>
      </c>
      <c r="S8" s="54">
        <v>-3091.1005655130339</v>
      </c>
      <c r="T8" s="55">
        <v>-1191.5751916929821</v>
      </c>
      <c r="U8" s="61">
        <v>7.9345793401356807E-2</v>
      </c>
      <c r="W8" s="5"/>
      <c r="X8" s="10"/>
      <c r="Y8" s="17" t="s">
        <v>18</v>
      </c>
      <c r="Z8" s="108">
        <v>3603.5279999999998</v>
      </c>
      <c r="AA8" s="12"/>
      <c r="AB8" s="66">
        <v>45461</v>
      </c>
      <c r="AC8" s="124">
        <v>1</v>
      </c>
      <c r="AD8" s="126">
        <v>45400</v>
      </c>
      <c r="AE8" s="127">
        <v>5.8399999999999997E-3</v>
      </c>
      <c r="AF8" s="13">
        <f>$Z$20*AE8</f>
        <v>1168000</v>
      </c>
      <c r="AG8" s="5"/>
      <c r="AH8" t="s">
        <v>120</v>
      </c>
    </row>
    <row r="9" spans="1:41">
      <c r="A9" s="47">
        <v>45378.625</v>
      </c>
      <c r="B9" s="48">
        <v>3502.7865999999999</v>
      </c>
      <c r="C9" s="49">
        <v>-1.1558416407132066E-2</v>
      </c>
      <c r="D9" s="85" t="b">
        <v>0</v>
      </c>
      <c r="E9" s="106">
        <v>-749635.16491960397</v>
      </c>
      <c r="F9" s="25">
        <v>199250364.83508039</v>
      </c>
      <c r="G9" s="106">
        <v>13560.489457766111</v>
      </c>
      <c r="H9" s="106">
        <v>47499500.7621044</v>
      </c>
      <c r="I9" s="106">
        <v>-5886886.9842938585</v>
      </c>
      <c r="J9" s="106">
        <v>-812498.30059232749</v>
      </c>
      <c r="K9" s="106">
        <v>63837.045158284498</v>
      </c>
      <c r="L9" s="106">
        <v>-1850252.9310716414</v>
      </c>
      <c r="M9" s="106">
        <v>-748325.26531227189</v>
      </c>
      <c r="N9" s="53">
        <v>-13.506656532862053</v>
      </c>
      <c r="O9" s="54">
        <v>0.24432801727382497</v>
      </c>
      <c r="P9" s="54">
        <v>-8.6448257612367391E-4</v>
      </c>
      <c r="Q9" s="54">
        <v>-1463.9301880684343</v>
      </c>
      <c r="R9" s="54">
        <v>278.34668139482255</v>
      </c>
      <c r="S9" s="54">
        <v>-3333.7191220993645</v>
      </c>
      <c r="T9" s="55">
        <v>-1348.3055233301002</v>
      </c>
      <c r="U9" s="61">
        <v>0.17980676166774057</v>
      </c>
      <c r="W9" s="5"/>
      <c r="X9" s="10"/>
      <c r="Y9" s="11" t="s">
        <v>19</v>
      </c>
      <c r="Z9" s="107">
        <v>45369.625</v>
      </c>
      <c r="AA9" s="12"/>
      <c r="AB9" s="66">
        <v>45491</v>
      </c>
      <c r="AC9" s="124">
        <v>1</v>
      </c>
      <c r="AD9" s="126">
        <v>45432</v>
      </c>
      <c r="AE9" s="127">
        <v>5.8399999999999997E-3</v>
      </c>
      <c r="AF9" s="13">
        <f>$Z$20*AE9</f>
        <v>1168000</v>
      </c>
      <c r="AG9" s="5"/>
      <c r="AH9" t="s">
        <v>120</v>
      </c>
    </row>
    <row r="10" spans="1:41">
      <c r="A10" s="47">
        <v>45379.625</v>
      </c>
      <c r="B10" s="48">
        <v>3520.9648000000002</v>
      </c>
      <c r="C10" s="49">
        <v>5.1896395858086475E-3</v>
      </c>
      <c r="D10" s="85" t="b">
        <v>0</v>
      </c>
      <c r="E10" s="106">
        <v>-448649.97132051073</v>
      </c>
      <c r="F10" s="25">
        <v>199551350.02867949</v>
      </c>
      <c r="G10" s="106">
        <v>12633.426261978444</v>
      </c>
      <c r="H10" s="106">
        <v>44481849.171821684</v>
      </c>
      <c r="I10" s="106">
        <v>-5734468.4840815077</v>
      </c>
      <c r="J10" s="106">
        <v>-780007.96415887214</v>
      </c>
      <c r="K10" s="106">
        <v>62403.267375727002</v>
      </c>
      <c r="L10" s="106">
        <v>-1775041.5974001605</v>
      </c>
      <c r="M10" s="106">
        <v>-702366.33670613915</v>
      </c>
      <c r="N10" s="53">
        <v>-8.0836136692632863</v>
      </c>
      <c r="O10" s="54">
        <v>0.22762452635487326</v>
      </c>
      <c r="P10" s="54">
        <v>-8.3342727433340959E-4</v>
      </c>
      <c r="Q10" s="54">
        <v>-1405.390269534746</v>
      </c>
      <c r="R10" s="54">
        <v>272.09502474870169</v>
      </c>
      <c r="S10" s="54">
        <v>-3198.2060486981027</v>
      </c>
      <c r="T10" s="55">
        <v>-1265.4983802890001</v>
      </c>
      <c r="U10" s="61">
        <v>8.0731845546867687E-2</v>
      </c>
      <c r="W10" s="5"/>
      <c r="X10" s="10"/>
      <c r="Y10" s="11" t="s">
        <v>123</v>
      </c>
      <c r="Z10" s="105">
        <v>0.8</v>
      </c>
      <c r="AA10" s="12"/>
      <c r="AB10" s="66">
        <v>45523</v>
      </c>
      <c r="AC10" s="124">
        <v>1</v>
      </c>
      <c r="AD10" s="126">
        <v>45461</v>
      </c>
      <c r="AE10" s="127">
        <v>5.8399999999999997E-3</v>
      </c>
      <c r="AF10" s="13">
        <f>$Z$20*AE10</f>
        <v>1168000</v>
      </c>
      <c r="AG10" s="5"/>
      <c r="AH10" t="s">
        <v>120</v>
      </c>
    </row>
    <row r="11" spans="1:41">
      <c r="A11" s="47">
        <v>45380.625</v>
      </c>
      <c r="B11" s="48">
        <v>3537.4843000000001</v>
      </c>
      <c r="C11" s="49">
        <v>4.6917538056614472E-3</v>
      </c>
      <c r="D11" s="85" t="b">
        <v>0</v>
      </c>
      <c r="E11" s="106">
        <v>-185129.17794206773</v>
      </c>
      <c r="F11" s="25">
        <v>199814870.82205793</v>
      </c>
      <c r="G11" s="106">
        <v>11810.775744449626</v>
      </c>
      <c r="H11" s="106">
        <v>41780433.766811363</v>
      </c>
      <c r="I11" s="106">
        <v>-5581015.6287484644</v>
      </c>
      <c r="J11" s="106">
        <v>-749248.28596495651</v>
      </c>
      <c r="K11" s="106">
        <v>61347.768175556397</v>
      </c>
      <c r="L11" s="106">
        <v>-1705022.2729221678</v>
      </c>
      <c r="M11" s="106">
        <v>-660860.6540446108</v>
      </c>
      <c r="N11" s="53">
        <v>-3.3355908816561168</v>
      </c>
      <c r="O11" s="54">
        <v>0.21280230548422535</v>
      </c>
      <c r="P11" s="54">
        <v>-8.0356701580159868E-4</v>
      </c>
      <c r="Q11" s="54">
        <v>-1349.9685887133637</v>
      </c>
      <c r="R11" s="54">
        <v>267.49276443333292</v>
      </c>
      <c r="S11" s="54">
        <v>-3072.0477505493363</v>
      </c>
      <c r="T11" s="55">
        <v>-1190.7149354740341</v>
      </c>
      <c r="U11" s="61">
        <v>7.2986560496102013E-2</v>
      </c>
      <c r="W11" s="18"/>
      <c r="X11" s="10"/>
      <c r="Y11" s="11" t="s">
        <v>124</v>
      </c>
      <c r="Z11" s="99">
        <v>0.8</v>
      </c>
      <c r="AA11" s="12"/>
      <c r="AB11" s="66">
        <v>45553</v>
      </c>
      <c r="AC11" s="124">
        <v>1</v>
      </c>
      <c r="AD11" s="126">
        <v>45491</v>
      </c>
      <c r="AE11" s="127">
        <v>5.8399999999999997E-3</v>
      </c>
      <c r="AF11" s="13">
        <f>$Z$20*AE11</f>
        <v>1168000</v>
      </c>
      <c r="AG11" s="5"/>
      <c r="AH11" t="s">
        <v>120</v>
      </c>
      <c r="AJ11" s="59"/>
    </row>
    <row r="12" spans="1:41">
      <c r="A12" s="47">
        <v>45383.625</v>
      </c>
      <c r="B12" s="48">
        <v>3595.6466</v>
      </c>
      <c r="C12" s="49">
        <v>1.6441712546964471E-2</v>
      </c>
      <c r="D12" s="85" t="b">
        <v>0</v>
      </c>
      <c r="E12" s="106">
        <v>486458.33317059226</v>
      </c>
      <c r="F12" s="25">
        <v>200486458.33317059</v>
      </c>
      <c r="G12" s="106">
        <v>9310.7604058270244</v>
      </c>
      <c r="H12" s="106">
        <v>33478203.99662656</v>
      </c>
      <c r="I12" s="106">
        <v>-5016975.8964320468</v>
      </c>
      <c r="J12" s="106">
        <v>-646989.80080634868</v>
      </c>
      <c r="K12" s="106">
        <v>56892.151594984833</v>
      </c>
      <c r="L12" s="106">
        <v>-1486754.2975172005</v>
      </c>
      <c r="M12" s="106">
        <v>-533729.22734701727</v>
      </c>
      <c r="N12" s="53">
        <v>8.7648311220677897</v>
      </c>
      <c r="O12" s="54">
        <v>0.16775792911844523</v>
      </c>
      <c r="P12" s="54">
        <v>-6.9917504525091685E-4</v>
      </c>
      <c r="Q12" s="54">
        <v>-1165.7229314600499</v>
      </c>
      <c r="R12" s="54">
        <v>248.0650781158547</v>
      </c>
      <c r="S12" s="54">
        <v>-2678.7803701117809</v>
      </c>
      <c r="T12" s="55">
        <v>-961.65410758167127</v>
      </c>
      <c r="U12" s="61">
        <v>0.25577302159812743</v>
      </c>
      <c r="W12" s="5"/>
      <c r="X12" s="10"/>
      <c r="Y12" s="102" t="s">
        <v>144</v>
      </c>
      <c r="Z12" s="114" t="b">
        <v>1</v>
      </c>
      <c r="AA12" s="12"/>
      <c r="AB12" s="66">
        <v>45583</v>
      </c>
      <c r="AC12" s="124">
        <v>1</v>
      </c>
      <c r="AD12" s="126">
        <v>45523</v>
      </c>
      <c r="AE12" s="127">
        <v>5.8399999999999997E-3</v>
      </c>
      <c r="AF12" s="13">
        <f>$Z$20*AE12</f>
        <v>1168000</v>
      </c>
      <c r="AG12" s="5"/>
      <c r="AH12" t="s">
        <v>120</v>
      </c>
    </row>
    <row r="13" spans="1:41">
      <c r="A13" s="47">
        <v>45384.625</v>
      </c>
      <c r="B13" s="48">
        <v>3580.6759000000002</v>
      </c>
      <c r="C13" s="49">
        <v>-4.1635626816050042E-3</v>
      </c>
      <c r="D13" s="85" t="b">
        <v>0</v>
      </c>
      <c r="E13" s="106">
        <v>400603.58556388324</v>
      </c>
      <c r="F13" s="25">
        <v>200400603.5855639</v>
      </c>
      <c r="G13" s="106">
        <v>9825.5112168773121</v>
      </c>
      <c r="H13" s="106">
        <v>35181971.219452269</v>
      </c>
      <c r="I13" s="106">
        <v>-5162570.3451553602</v>
      </c>
      <c r="J13" s="106">
        <v>-668099.54037257284</v>
      </c>
      <c r="K13" s="106">
        <v>57730.431583783226</v>
      </c>
      <c r="L13" s="106">
        <v>-1527172.5628212607</v>
      </c>
      <c r="M13" s="106">
        <v>-559285.41732776782</v>
      </c>
      <c r="N13" s="53">
        <v>7.2179311873992447</v>
      </c>
      <c r="O13" s="54">
        <v>0.17703252392165733</v>
      </c>
      <c r="P13" s="54">
        <v>-7.2549406042690917E-4</v>
      </c>
      <c r="Q13" s="54">
        <v>-1203.7577002598482</v>
      </c>
      <c r="R13" s="54">
        <v>251.72020426373911</v>
      </c>
      <c r="S13" s="54">
        <v>-2751.6045454790856</v>
      </c>
      <c r="T13" s="55">
        <v>-1007.7003306661481</v>
      </c>
      <c r="U13" s="61">
        <v>6.4769834933279188E-2</v>
      </c>
      <c r="W13" s="5"/>
      <c r="X13" s="10"/>
      <c r="Y13" s="11" t="s">
        <v>125</v>
      </c>
      <c r="Z13" s="104">
        <v>0.8</v>
      </c>
      <c r="AA13" s="12"/>
      <c r="AB13" s="66">
        <v>45614</v>
      </c>
      <c r="AC13" s="124">
        <v>1</v>
      </c>
      <c r="AD13" s="126">
        <v>45553</v>
      </c>
      <c r="AE13" s="127">
        <v>5.8399999999999997E-3</v>
      </c>
      <c r="AF13" s="13"/>
      <c r="AG13" s="19"/>
      <c r="AH13">
        <f>SUM(AF8:AF12)</f>
        <v>5840000</v>
      </c>
    </row>
    <row r="14" spans="1:41" s="34" customFormat="1">
      <c r="A14" s="47">
        <v>45385.625</v>
      </c>
      <c r="B14" s="48">
        <v>3567.8031000000001</v>
      </c>
      <c r="C14" s="49">
        <v>-3.5950754437171772E-3</v>
      </c>
      <c r="D14" s="85" t="b">
        <v>0</v>
      </c>
      <c r="E14" s="106">
        <v>329628.6836035556</v>
      </c>
      <c r="F14" s="25">
        <v>200329628.68360355</v>
      </c>
      <c r="G14" s="106">
        <v>10276.23173777597</v>
      </c>
      <c r="H14" s="106">
        <v>36663571.450355493</v>
      </c>
      <c r="I14" s="106">
        <v>-5294968.7960706474</v>
      </c>
      <c r="J14" s="106">
        <v>-686026.25368554052</v>
      </c>
      <c r="K14" s="106">
        <v>59063.597016632848</v>
      </c>
      <c r="L14" s="106">
        <v>-1561374.1928246203</v>
      </c>
      <c r="M14" s="106">
        <v>-581197.84806083317</v>
      </c>
      <c r="N14" s="53">
        <v>5.9391309548427671</v>
      </c>
      <c r="O14" s="54">
        <v>0.1851534440078218</v>
      </c>
      <c r="P14" s="54">
        <v>-7.4947914617429267E-4</v>
      </c>
      <c r="Q14" s="54">
        <v>-1236.0574069454742</v>
      </c>
      <c r="R14" s="54">
        <v>257.53316401248503</v>
      </c>
      <c r="S14" s="54">
        <v>-2813.2278111604592</v>
      </c>
      <c r="T14" s="55">
        <v>-1047.181359513479</v>
      </c>
      <c r="U14" s="61">
        <v>5.592624895285235E-2</v>
      </c>
      <c r="V14" s="2"/>
      <c r="W14" s="5"/>
      <c r="X14" s="10"/>
      <c r="AA14" s="12"/>
      <c r="AB14" s="66">
        <v>45644</v>
      </c>
      <c r="AC14" s="124">
        <v>1</v>
      </c>
      <c r="AD14" s="126">
        <v>45583</v>
      </c>
      <c r="AE14" s="127">
        <v>5.8399999999999997E-3</v>
      </c>
      <c r="AF14" s="13"/>
      <c r="AG14" s="5"/>
      <c r="AH14"/>
      <c r="AI14" s="69"/>
      <c r="AJ14"/>
      <c r="AK14"/>
      <c r="AL14"/>
      <c r="AM14"/>
      <c r="AN14"/>
      <c r="AO14"/>
    </row>
    <row r="15" spans="1:41">
      <c r="A15" s="47">
        <v>45390.625</v>
      </c>
      <c r="B15" s="48">
        <v>3536.4077000000002</v>
      </c>
      <c r="C15" s="49">
        <v>-8.7996448010261297E-3</v>
      </c>
      <c r="D15" s="85" t="b">
        <v>0</v>
      </c>
      <c r="E15" s="106">
        <v>47882.796720198909</v>
      </c>
      <c r="F15" s="25">
        <v>200047882.79672021</v>
      </c>
      <c r="G15" s="106">
        <v>11562.177983540736</v>
      </c>
      <c r="H15" s="106">
        <v>40888575.249763936</v>
      </c>
      <c r="I15" s="106">
        <v>-5636086.8515275223</v>
      </c>
      <c r="J15" s="106">
        <v>-736517.29079137545</v>
      </c>
      <c r="K15" s="106">
        <v>61091.651452813414</v>
      </c>
      <c r="L15" s="106">
        <v>-1665096.347006887</v>
      </c>
      <c r="M15" s="106">
        <v>-644238.04076163634</v>
      </c>
      <c r="N15" s="53">
        <v>0.86273499349772464</v>
      </c>
      <c r="O15" s="54">
        <v>0.20832316052336289</v>
      </c>
      <c r="P15" s="54">
        <v>-8.1199046074878511E-4</v>
      </c>
      <c r="Q15" s="54">
        <v>-1327.0303399254317</v>
      </c>
      <c r="R15" s="54">
        <v>266.3760266575091</v>
      </c>
      <c r="S15" s="54">
        <v>-3000.1106545685161</v>
      </c>
      <c r="T15" s="55">
        <v>-1160.7649092748488</v>
      </c>
      <c r="U15" s="61">
        <v>0.13689034723844754</v>
      </c>
      <c r="W15" s="5"/>
      <c r="X15" s="10"/>
      <c r="Y15" s="11" t="s">
        <v>143</v>
      </c>
      <c r="Z15" s="101">
        <v>1</v>
      </c>
      <c r="AA15" s="12"/>
      <c r="AB15" s="66">
        <v>45677</v>
      </c>
      <c r="AC15" s="124">
        <v>1</v>
      </c>
      <c r="AD15" s="126">
        <v>45614</v>
      </c>
      <c r="AE15" s="127">
        <v>5.8399999999999997E-3</v>
      </c>
      <c r="AF15" s="13"/>
      <c r="AG15" s="5"/>
    </row>
    <row r="16" spans="1:41">
      <c r="A16" s="47">
        <v>45391.625</v>
      </c>
      <c r="B16" s="48">
        <v>3533.4870999999998</v>
      </c>
      <c r="C16" s="49">
        <v>-8.2586631626224705E-4</v>
      </c>
      <c r="D16" s="85" t="b">
        <v>0</v>
      </c>
      <c r="E16" s="106">
        <v>75274.219469759206</v>
      </c>
      <c r="F16" s="25">
        <v>200075274.21946976</v>
      </c>
      <c r="G16" s="106">
        <v>11621.01480154341</v>
      </c>
      <c r="H16" s="106">
        <v>41062705.890162699</v>
      </c>
      <c r="I16" s="106">
        <v>-5671859.4094309984</v>
      </c>
      <c r="J16" s="106">
        <v>-737887.95874051924</v>
      </c>
      <c r="K16" s="106">
        <v>61630.221110358216</v>
      </c>
      <c r="L16" s="106">
        <v>-1664987.302239635</v>
      </c>
      <c r="M16" s="106">
        <v>-645993.40917233343</v>
      </c>
      <c r="N16" s="53">
        <v>1.3562637876871122</v>
      </c>
      <c r="O16" s="54">
        <v>0.20938326112888059</v>
      </c>
      <c r="P16" s="54">
        <v>-8.1849558714745547E-4</v>
      </c>
      <c r="Q16" s="54">
        <v>-1329.4999600921528</v>
      </c>
      <c r="R16" s="54">
        <v>268.72433517501395</v>
      </c>
      <c r="S16" s="54">
        <v>-2999.9141816324936</v>
      </c>
      <c r="T16" s="55">
        <v>-1163.92766888398</v>
      </c>
      <c r="U16" s="61">
        <v>1.2847464796816952E-2</v>
      </c>
      <c r="W16" s="5"/>
      <c r="X16" s="10"/>
      <c r="Y16" s="11" t="s">
        <v>20</v>
      </c>
      <c r="Z16" s="101">
        <v>1</v>
      </c>
      <c r="AA16" s="12"/>
      <c r="AB16" s="66">
        <v>45706</v>
      </c>
      <c r="AC16" s="124">
        <v>1</v>
      </c>
      <c r="AD16" s="126">
        <v>45644</v>
      </c>
      <c r="AE16" s="127">
        <v>5.8399999999999997E-3</v>
      </c>
      <c r="AF16" s="13"/>
      <c r="AG16" s="5"/>
    </row>
    <row r="17" spans="1:33">
      <c r="A17" s="47">
        <v>45392.625</v>
      </c>
      <c r="B17" s="48">
        <v>3504.7085999999999</v>
      </c>
      <c r="C17" s="49">
        <v>-8.1445040509698918E-3</v>
      </c>
      <c r="D17" s="85" t="b">
        <v>0</v>
      </c>
      <c r="E17" s="106">
        <v>-214784.16490449972</v>
      </c>
      <c r="F17" s="25">
        <v>199785215.83509549</v>
      </c>
      <c r="G17" s="106">
        <v>12897.961893140495</v>
      </c>
      <c r="H17" s="106">
        <v>45203597.969361775</v>
      </c>
      <c r="I17" s="106">
        <v>-5956267.3976153685</v>
      </c>
      <c r="J17" s="106">
        <v>-782848.10540990473</v>
      </c>
      <c r="K17" s="106">
        <v>63863.425469602989</v>
      </c>
      <c r="L17" s="106">
        <v>-1762915.604616513</v>
      </c>
      <c r="M17" s="106">
        <v>-706895.6247707064</v>
      </c>
      <c r="N17" s="53">
        <v>-3.8699037609499101</v>
      </c>
      <c r="O17" s="54">
        <v>0.23239083412432388</v>
      </c>
      <c r="P17" s="54">
        <v>-8.7371192494828268E-4</v>
      </c>
      <c r="Q17" s="54">
        <v>-1410.5075337957715</v>
      </c>
      <c r="R17" s="54">
        <v>278.46170664530928</v>
      </c>
      <c r="S17" s="54">
        <v>-3176.3578714362666</v>
      </c>
      <c r="T17" s="55">
        <v>-1273.6590884693669</v>
      </c>
      <c r="U17" s="61">
        <v>0.12669874896452657</v>
      </c>
      <c r="V17" s="100"/>
      <c r="W17" s="5"/>
      <c r="X17" s="10"/>
      <c r="Y17" s="17" t="s">
        <v>145</v>
      </c>
      <c r="Z17" s="99">
        <v>0</v>
      </c>
      <c r="AA17" s="12"/>
      <c r="AB17" s="66">
        <v>45734</v>
      </c>
      <c r="AC17" s="124">
        <v>1</v>
      </c>
      <c r="AD17" s="126">
        <v>45677</v>
      </c>
      <c r="AE17" s="127">
        <v>5.8399999999999997E-3</v>
      </c>
      <c r="AF17" s="13"/>
      <c r="AG17" s="5"/>
    </row>
    <row r="18" spans="1:33">
      <c r="A18" s="47">
        <v>45393.625</v>
      </c>
      <c r="B18" s="48">
        <v>3504.2447000000002</v>
      </c>
      <c r="C18" s="49">
        <v>-1.3236478490674664E-4</v>
      </c>
      <c r="D18" s="85" t="b">
        <v>0</v>
      </c>
      <c r="E18" s="106">
        <v>-156869.36734021967</v>
      </c>
      <c r="F18" s="25">
        <v>199843130.63265979</v>
      </c>
      <c r="G18" s="106">
        <v>12847.063476179614</v>
      </c>
      <c r="H18" s="106">
        <v>45019254.096965991</v>
      </c>
      <c r="I18" s="106">
        <v>-5966080.9675639123</v>
      </c>
      <c r="J18" s="106">
        <v>-780495.25489226752</v>
      </c>
      <c r="K18" s="106">
        <v>63980.91948891744</v>
      </c>
      <c r="L18" s="106">
        <v>-1754573.2731906858</v>
      </c>
      <c r="M18" s="106">
        <v>-703321.07452899544</v>
      </c>
      <c r="N18" s="53">
        <v>-2.8264157877638354</v>
      </c>
      <c r="O18" s="54">
        <v>0.23147376477095283</v>
      </c>
      <c r="P18" s="54">
        <v>-8.7538318068043305E-4</v>
      </c>
      <c r="Q18" s="54">
        <v>-1406.2682524357115</v>
      </c>
      <c r="R18" s="54">
        <v>278.9740121613122</v>
      </c>
      <c r="S18" s="54">
        <v>-3161.3269589971424</v>
      </c>
      <c r="T18" s="55">
        <v>-1267.2185925276608</v>
      </c>
      <c r="U18" s="61">
        <v>2.0591128139529052E-3</v>
      </c>
      <c r="W18" s="5"/>
      <c r="X18" s="10"/>
      <c r="Y18" s="17" t="s">
        <v>146</v>
      </c>
      <c r="Z18" s="99">
        <v>0</v>
      </c>
      <c r="AA18" s="12"/>
      <c r="AB18" s="66">
        <v>45765</v>
      </c>
      <c r="AC18" s="124">
        <v>1</v>
      </c>
      <c r="AD18" s="126">
        <v>45706</v>
      </c>
      <c r="AE18" s="127">
        <v>5.8399999999999997E-3</v>
      </c>
      <c r="AF18" s="13"/>
      <c r="AG18" s="5"/>
    </row>
    <row r="19" spans="1:33">
      <c r="A19" s="47">
        <v>45394.625</v>
      </c>
      <c r="B19" s="48">
        <v>3475.8389000000002</v>
      </c>
      <c r="C19" s="49">
        <v>-8.1061119961172157E-3</v>
      </c>
      <c r="D19" s="85" t="b">
        <v>0</v>
      </c>
      <c r="E19" s="106">
        <v>-475895.95594370883</v>
      </c>
      <c r="F19" s="25">
        <v>199524104.0440563</v>
      </c>
      <c r="G19" s="106">
        <v>14201.567158121139</v>
      </c>
      <c r="H19" s="106">
        <v>49362359.56915991</v>
      </c>
      <c r="I19" s="106">
        <v>-6229224.1049728151</v>
      </c>
      <c r="J19" s="106">
        <v>-824440.32503306307</v>
      </c>
      <c r="K19" s="106">
        <v>66081.291553296338</v>
      </c>
      <c r="L19" s="106">
        <v>-1853654.3498456096</v>
      </c>
      <c r="M19" s="106">
        <v>-766047.23620707646</v>
      </c>
      <c r="N19" s="53">
        <v>-8.5745220116496057</v>
      </c>
      <c r="O19" s="54">
        <v>0.25587872449084975</v>
      </c>
      <c r="P19" s="54">
        <v>-9.2899330061632483E-4</v>
      </c>
      <c r="Q19" s="54">
        <v>-1485.4468977928718</v>
      </c>
      <c r="R19" s="54">
        <v>288.13219911004489</v>
      </c>
      <c r="S19" s="54">
        <v>-3339.8476759952246</v>
      </c>
      <c r="T19" s="55">
        <v>-1380.2363324974067</v>
      </c>
      <c r="U19" s="61">
        <v>0.12610150875326628</v>
      </c>
      <c r="W19" s="5"/>
      <c r="X19" s="10"/>
      <c r="Y19" s="14"/>
      <c r="Z19" s="14"/>
      <c r="AA19" s="12"/>
      <c r="AB19" s="66">
        <v>45796</v>
      </c>
      <c r="AC19" s="124">
        <v>1</v>
      </c>
      <c r="AD19" s="126">
        <v>45734</v>
      </c>
      <c r="AE19" s="127">
        <v>5.8399999999999997E-3</v>
      </c>
      <c r="AF19" s="13"/>
      <c r="AG19" s="5"/>
    </row>
    <row r="20" spans="1:33">
      <c r="A20" s="47">
        <v>45397.625</v>
      </c>
      <c r="B20" s="48">
        <v>3549.0758999999998</v>
      </c>
      <c r="C20" s="49">
        <v>2.1070309098617734E-2</v>
      </c>
      <c r="D20" s="85" t="b">
        <v>0</v>
      </c>
      <c r="E20" s="106">
        <v>492775.76715630217</v>
      </c>
      <c r="F20" s="25">
        <v>200492775.7671563</v>
      </c>
      <c r="G20" s="106">
        <v>10616.11318570175</v>
      </c>
      <c r="H20" s="106">
        <v>37677391.459046304</v>
      </c>
      <c r="I20" s="106">
        <v>-5549084.6840622416</v>
      </c>
      <c r="J20" s="106">
        <v>-694795.54837066552</v>
      </c>
      <c r="K20" s="106">
        <v>60248.866861206639</v>
      </c>
      <c r="L20" s="106">
        <v>-1560746.5790444433</v>
      </c>
      <c r="M20" s="106">
        <v>-592314.2707123505</v>
      </c>
      <c r="N20" s="53">
        <v>8.8786563733460753</v>
      </c>
      <c r="O20" s="54">
        <v>0.19127730557922726</v>
      </c>
      <c r="P20" s="54">
        <v>-7.9375903822407386E-4</v>
      </c>
      <c r="Q20" s="54">
        <v>-1251.8576064145236</v>
      </c>
      <c r="R20" s="54">
        <v>262.70125923018259</v>
      </c>
      <c r="S20" s="54">
        <v>-2812.096999245432</v>
      </c>
      <c r="T20" s="55">
        <v>-1067.2105296557675</v>
      </c>
      <c r="U20" s="61">
        <v>0.32777708579724263</v>
      </c>
      <c r="W20" s="5"/>
      <c r="X20" s="10"/>
      <c r="Y20" s="17" t="s">
        <v>21</v>
      </c>
      <c r="Z20" s="98">
        <v>200000000</v>
      </c>
      <c r="AA20" s="12"/>
      <c r="AB20" s="66">
        <v>45826</v>
      </c>
      <c r="AC20" s="124">
        <v>1</v>
      </c>
      <c r="AD20" s="126">
        <v>45765</v>
      </c>
      <c r="AE20" s="127">
        <v>5.8399999999999997E-3</v>
      </c>
      <c r="AF20" s="13"/>
      <c r="AG20" s="5"/>
    </row>
    <row r="21" spans="1:33">
      <c r="A21" s="47">
        <v>45398.625</v>
      </c>
      <c r="B21" s="48">
        <v>3511.1145999999999</v>
      </c>
      <c r="C21" s="49">
        <v>-1.0696108246093017E-2</v>
      </c>
      <c r="D21" s="85" t="b">
        <v>0</v>
      </c>
      <c r="E21" s="106">
        <v>120531.55352532443</v>
      </c>
      <c r="F21" s="25">
        <v>200120531.55352533</v>
      </c>
      <c r="G21" s="106">
        <v>12292.673493463406</v>
      </c>
      <c r="H21" s="106">
        <v>43160985.375932366</v>
      </c>
      <c r="I21" s="106">
        <v>-5950632.5629106984</v>
      </c>
      <c r="J21" s="106">
        <v>-758388.99839300069</v>
      </c>
      <c r="K21" s="106">
        <v>63035.451284122835</v>
      </c>
      <c r="L21" s="106">
        <v>-1697305.3066554528</v>
      </c>
      <c r="M21" s="106">
        <v>-673403.00445391494</v>
      </c>
      <c r="N21" s="53">
        <v>2.1716941400600263</v>
      </c>
      <c r="O21" s="54">
        <v>0.22148496564276599</v>
      </c>
      <c r="P21" s="54">
        <v>-8.6970312444538617E-4</v>
      </c>
      <c r="Q21" s="54">
        <v>-1366.4379953005664</v>
      </c>
      <c r="R21" s="54">
        <v>274.85151657091683</v>
      </c>
      <c r="S21" s="54">
        <v>-3058.1435985407552</v>
      </c>
      <c r="T21" s="55">
        <v>-1213.3132909169035</v>
      </c>
      <c r="U21" s="61">
        <v>0.16639239480858986</v>
      </c>
      <c r="W21" s="5"/>
      <c r="X21" s="10"/>
      <c r="Y21" s="17" t="s">
        <v>22</v>
      </c>
      <c r="Z21" s="97">
        <f>Z20/Z8</f>
        <v>55501.164414429419</v>
      </c>
      <c r="AA21" s="12"/>
      <c r="AB21" s="66">
        <v>45856</v>
      </c>
      <c r="AC21" s="124">
        <v>1</v>
      </c>
      <c r="AD21" s="126">
        <v>45796</v>
      </c>
      <c r="AE21" s="127">
        <v>5.8399999999999997E-3</v>
      </c>
      <c r="AF21" s="13"/>
      <c r="AG21" s="5"/>
    </row>
    <row r="22" spans="1:33" ht="15.6">
      <c r="A22" s="47">
        <v>45399.625</v>
      </c>
      <c r="B22" s="48">
        <v>3565.4029999999998</v>
      </c>
      <c r="C22" s="49">
        <v>1.5461870711938497E-2</v>
      </c>
      <c r="D22" s="85" t="b">
        <v>0</v>
      </c>
      <c r="E22" s="106">
        <v>778790.50586479681</v>
      </c>
      <c r="F22" s="25">
        <v>200778790.5058648</v>
      </c>
      <c r="G22" s="106">
        <v>9749.1253567458189</v>
      </c>
      <c r="H22" s="106">
        <v>34759560.794317611</v>
      </c>
      <c r="I22" s="106">
        <v>-5395199.2459920095</v>
      </c>
      <c r="J22" s="106">
        <v>-657044.30904654856</v>
      </c>
      <c r="K22" s="106">
        <v>58956.699404890853</v>
      </c>
      <c r="L22" s="106">
        <v>-1473892.8534588641</v>
      </c>
      <c r="M22" s="106">
        <v>-547158.712036515</v>
      </c>
      <c r="N22" s="53">
        <v>14.031966970089798</v>
      </c>
      <c r="O22" s="54">
        <v>0.17565623099271774</v>
      </c>
      <c r="P22" s="54">
        <v>-7.6469480897891533E-4</v>
      </c>
      <c r="Q22" s="54">
        <v>-1183.8387824449455</v>
      </c>
      <c r="R22" s="54">
        <v>257.0670616826601</v>
      </c>
      <c r="S22" s="54">
        <v>-2655.6070832194564</v>
      </c>
      <c r="T22" s="55">
        <v>-985.85086963375943</v>
      </c>
      <c r="U22" s="61">
        <v>0.2405302598653104</v>
      </c>
      <c r="W22" s="5"/>
      <c r="X22" s="10"/>
      <c r="Y22" s="167" t="s">
        <v>74</v>
      </c>
      <c r="Z22" s="168"/>
      <c r="AA22" s="12"/>
      <c r="AB22" s="66">
        <v>45887</v>
      </c>
      <c r="AC22" s="124">
        <v>1</v>
      </c>
      <c r="AD22" s="126">
        <v>45826</v>
      </c>
      <c r="AE22" s="127">
        <v>5.8399999999999997E-3</v>
      </c>
      <c r="AF22" s="13"/>
      <c r="AG22" s="5"/>
    </row>
    <row r="23" spans="1:33" ht="15.6">
      <c r="A23" s="47">
        <v>45400.625</v>
      </c>
      <c r="B23" s="48">
        <v>3569.8018000000002</v>
      </c>
      <c r="C23" s="49">
        <v>1.2337455261020036E-3</v>
      </c>
      <c r="D23" s="85" t="b">
        <v>0</v>
      </c>
      <c r="E23" s="106">
        <v>879957.15376051748</v>
      </c>
      <c r="F23" s="25">
        <v>200879957.15376052</v>
      </c>
      <c r="G23" s="106">
        <v>9476.219157555639</v>
      </c>
      <c r="H23" s="106">
        <v>33828224.205836609</v>
      </c>
      <c r="I23" s="106">
        <v>-5434638.9817507239</v>
      </c>
      <c r="J23" s="106">
        <v>-644111.74965256767</v>
      </c>
      <c r="K23" s="106">
        <v>-1109348.5182876976</v>
      </c>
      <c r="L23" s="106">
        <v>-1444450.0384603026</v>
      </c>
      <c r="M23" s="106">
        <v>-532618.22982655431</v>
      </c>
      <c r="N23" s="53">
        <v>15.854751211881648</v>
      </c>
      <c r="O23" s="54">
        <v>0.17073910534194078</v>
      </c>
      <c r="P23" s="54">
        <v>-7.6838768624530325E-4</v>
      </c>
      <c r="Q23" s="54">
        <v>-1160.5373625010088</v>
      </c>
      <c r="R23" s="54">
        <v>-4837.0578213639583</v>
      </c>
      <c r="S23" s="54">
        <v>-2602.5580790963886</v>
      </c>
      <c r="T23" s="55">
        <v>-959.65235224521166</v>
      </c>
      <c r="U23" s="61">
        <v>1.919257621083641E-2</v>
      </c>
      <c r="W23" s="5"/>
      <c r="X23" s="10"/>
      <c r="Y23" s="95" t="s">
        <v>73</v>
      </c>
      <c r="Z23" s="94">
        <v>0.03</v>
      </c>
      <c r="AA23" s="12"/>
      <c r="AB23" s="66">
        <v>45918</v>
      </c>
      <c r="AC23" s="124">
        <v>1</v>
      </c>
      <c r="AD23" s="126">
        <v>45856</v>
      </c>
      <c r="AE23" s="127">
        <v>5.8399999999999997E-3</v>
      </c>
      <c r="AF23" s="13"/>
      <c r="AG23" s="5"/>
    </row>
    <row r="24" spans="1:33" ht="15.6">
      <c r="A24" s="47">
        <v>45401.625</v>
      </c>
      <c r="B24" s="48">
        <v>3541.6619000000001</v>
      </c>
      <c r="C24" s="49">
        <v>-7.8827625668181911E-3</v>
      </c>
      <c r="D24" s="85" t="b">
        <v>0</v>
      </c>
      <c r="E24" s="106">
        <v>657074.14377141604</v>
      </c>
      <c r="F24" s="25">
        <v>200657074.14377141</v>
      </c>
      <c r="G24" s="106">
        <v>10633.115025795358</v>
      </c>
      <c r="H24" s="106">
        <v>37658898.365176938</v>
      </c>
      <c r="I24" s="106">
        <v>-5694741.6527752094</v>
      </c>
      <c r="J24" s="106">
        <v>-691590.2784601606</v>
      </c>
      <c r="K24" s="106">
        <v>61054.433880370751</v>
      </c>
      <c r="L24" s="106">
        <v>-1543590.2240860336</v>
      </c>
      <c r="M24" s="106">
        <v>-589399.88104667433</v>
      </c>
      <c r="N24" s="53">
        <v>-9.2056781442183819</v>
      </c>
      <c r="O24" s="54">
        <v>0.19158363861337147</v>
      </c>
      <c r="P24" s="54">
        <v>-8.180083427260298E-4</v>
      </c>
      <c r="Q24" s="54">
        <v>-1246.0824664794927</v>
      </c>
      <c r="R24" s="54">
        <v>266.21374803459821</v>
      </c>
      <c r="S24" s="54">
        <v>-2781.185296510148</v>
      </c>
      <c r="T24" s="55">
        <v>-1061.95948727418</v>
      </c>
      <c r="U24" s="61">
        <v>0.1226270070405736</v>
      </c>
      <c r="W24" s="5"/>
      <c r="X24" s="10"/>
      <c r="Y24" s="95" t="s">
        <v>72</v>
      </c>
      <c r="Z24" s="96">
        <v>0.1</v>
      </c>
      <c r="AA24" s="12"/>
      <c r="AB24" s="66">
        <v>45950</v>
      </c>
      <c r="AC24" s="124">
        <v>1</v>
      </c>
      <c r="AD24" s="126">
        <v>45887</v>
      </c>
      <c r="AE24" s="127">
        <v>5.8399999999999997E-3</v>
      </c>
      <c r="AF24" s="13"/>
      <c r="AG24" s="5"/>
    </row>
    <row r="25" spans="1:33" ht="15.6">
      <c r="A25" s="47">
        <v>45404.625</v>
      </c>
      <c r="B25" s="48">
        <v>3530.9045000000001</v>
      </c>
      <c r="C25" s="49">
        <v>-3.0373876173781511E-3</v>
      </c>
      <c r="D25" s="85" t="b">
        <v>0</v>
      </c>
      <c r="E25" s="106">
        <v>602124.69168807112</v>
      </c>
      <c r="F25" s="25">
        <v>200602124.69168806</v>
      </c>
      <c r="G25" s="106">
        <v>11048.014395889355</v>
      </c>
      <c r="H25" s="106">
        <v>39009483.746510506</v>
      </c>
      <c r="I25" s="106">
        <v>-5815439.98787452</v>
      </c>
      <c r="J25" s="106">
        <v>-707511.30965278798</v>
      </c>
      <c r="K25" s="106">
        <v>62042.559770628955</v>
      </c>
      <c r="L25" s="106">
        <v>-1575597.4715401956</v>
      </c>
      <c r="M25" s="106">
        <v>-608938.00342016597</v>
      </c>
      <c r="N25" s="53">
        <v>-10.195737590053341</v>
      </c>
      <c r="O25" s="54">
        <v>0.19905914609995187</v>
      </c>
      <c r="P25" s="54">
        <v>-8.4044353518727998E-4</v>
      </c>
      <c r="Q25" s="54">
        <v>-1274.7684073252458</v>
      </c>
      <c r="R25" s="54">
        <v>270.52224260341336</v>
      </c>
      <c r="S25" s="54">
        <v>-2838.8548027121487</v>
      </c>
      <c r="T25" s="55">
        <v>-1097.1625727943319</v>
      </c>
      <c r="U25" s="61">
        <v>4.7250662389483104E-2</v>
      </c>
      <c r="W25" s="5"/>
      <c r="X25" s="10"/>
      <c r="Y25" s="95" t="s">
        <v>71</v>
      </c>
      <c r="Z25" s="94">
        <v>4.2999999999999997E-2</v>
      </c>
      <c r="AA25" s="12"/>
      <c r="AB25" s="66">
        <v>45979</v>
      </c>
      <c r="AC25" s="124">
        <v>1</v>
      </c>
      <c r="AD25" s="126">
        <v>45918</v>
      </c>
      <c r="AE25" s="127">
        <v>5.8399999999999997E-3</v>
      </c>
      <c r="AF25" s="13"/>
      <c r="AG25" s="5"/>
    </row>
    <row r="26" spans="1:33" ht="15.6">
      <c r="A26" s="47">
        <v>45405.625</v>
      </c>
      <c r="B26" s="48">
        <v>3506.2249000000002</v>
      </c>
      <c r="C26" s="49">
        <v>-6.9895971414689617E-3</v>
      </c>
      <c r="D26" s="85" t="b">
        <v>0</v>
      </c>
      <c r="E26" s="106">
        <v>379462.65626359568</v>
      </c>
      <c r="F26" s="25">
        <v>200379462.65626359</v>
      </c>
      <c r="G26" s="106">
        <v>12152.962940225569</v>
      </c>
      <c r="H26" s="106">
        <v>42611021.269796103</v>
      </c>
      <c r="I26" s="106">
        <v>-6067009.7880307436</v>
      </c>
      <c r="J26" s="106">
        <v>-750258.82035531127</v>
      </c>
      <c r="K26" s="106">
        <v>63533.540921736501</v>
      </c>
      <c r="L26" s="106">
        <v>-1665617.545340589</v>
      </c>
      <c r="M26" s="106">
        <v>-661708.82010380505</v>
      </c>
      <c r="N26" s="53">
        <v>-14.207581985998786</v>
      </c>
      <c r="O26" s="54">
        <v>0.21896771119032579</v>
      </c>
      <c r="P26" s="54">
        <v>-8.8918691192030894E-4</v>
      </c>
      <c r="Q26" s="54">
        <v>-1351.789333198667</v>
      </c>
      <c r="R26" s="54">
        <v>277.02332131725416</v>
      </c>
      <c r="S26" s="54">
        <v>-3001.0497309630409</v>
      </c>
      <c r="T26" s="55">
        <v>-1192.243130545512</v>
      </c>
      <c r="U26" s="61">
        <v>0.10873261380288585</v>
      </c>
      <c r="W26" s="5"/>
      <c r="X26" s="10"/>
      <c r="Y26" s="95" t="s">
        <v>70</v>
      </c>
      <c r="Z26" s="94">
        <f>Z23*Z24-Z25</f>
        <v>-3.9999999999999994E-2</v>
      </c>
      <c r="AA26" s="12"/>
      <c r="AB26" s="66">
        <v>46009</v>
      </c>
      <c r="AC26" s="124">
        <v>1</v>
      </c>
      <c r="AD26" s="126">
        <v>45950</v>
      </c>
      <c r="AE26" s="127">
        <v>5.8399999999999997E-3</v>
      </c>
      <c r="AF26" s="13"/>
      <c r="AG26" s="5"/>
    </row>
    <row r="27" spans="1:33" ht="15.6">
      <c r="A27" s="47">
        <v>45406.625</v>
      </c>
      <c r="B27" s="48">
        <v>3521.6219000000001</v>
      </c>
      <c r="C27" s="49">
        <v>4.3913326837647926E-3</v>
      </c>
      <c r="D27" s="85" t="b">
        <v>0</v>
      </c>
      <c r="E27" s="106">
        <v>623352.52122326335</v>
      </c>
      <c r="F27" s="25">
        <v>200623352.52122328</v>
      </c>
      <c r="G27" s="106">
        <v>11326.466881922108</v>
      </c>
      <c r="H27" s="106">
        <v>39887533.821001612</v>
      </c>
      <c r="I27" s="106">
        <v>-5930316.5647270037</v>
      </c>
      <c r="J27" s="106">
        <v>-718129.21671073849</v>
      </c>
      <c r="K27" s="106">
        <v>62874.203141838443</v>
      </c>
      <c r="L27" s="106">
        <v>-1591732.4300533349</v>
      </c>
      <c r="M27" s="106">
        <v>-620822.98874443036</v>
      </c>
      <c r="N27" s="53">
        <v>-9.8132621995068803</v>
      </c>
      <c r="O27" s="54">
        <v>0.20407620275039504</v>
      </c>
      <c r="P27" s="54">
        <v>-8.6156952770009582E-4</v>
      </c>
      <c r="Q27" s="54">
        <v>-1293.899370017607</v>
      </c>
      <c r="R27" s="54">
        <v>274.14843131415637</v>
      </c>
      <c r="S27" s="54">
        <v>-2867.9261901026166</v>
      </c>
      <c r="T27" s="55">
        <v>-1118.5765114921196</v>
      </c>
      <c r="U27" s="61">
        <v>6.8313104620996518E-2</v>
      </c>
      <c r="W27" s="5"/>
      <c r="X27" s="21"/>
      <c r="Y27" s="93" t="s">
        <v>69</v>
      </c>
      <c r="Z27" s="92">
        <v>0.16</v>
      </c>
      <c r="AA27" s="12"/>
      <c r="AB27" s="66">
        <v>46041</v>
      </c>
      <c r="AC27" s="124">
        <v>1</v>
      </c>
      <c r="AD27" s="128">
        <v>45979</v>
      </c>
      <c r="AE27" s="127">
        <v>5.8399999999999997E-3</v>
      </c>
      <c r="AF27" s="13"/>
      <c r="AG27" s="5"/>
    </row>
    <row r="28" spans="1:33" ht="15.6">
      <c r="A28" s="47">
        <v>45407.625</v>
      </c>
      <c r="B28" s="48">
        <v>3530.2813000000001</v>
      </c>
      <c r="C28" s="49">
        <v>2.4589238271151004E-3</v>
      </c>
      <c r="D28" s="85" t="b">
        <v>0</v>
      </c>
      <c r="E28" s="106">
        <v>781673.14865445602</v>
      </c>
      <c r="F28" s="25">
        <v>200781673.14865446</v>
      </c>
      <c r="G28" s="106">
        <v>10836.273849926038</v>
      </c>
      <c r="H28" s="106">
        <v>38255094.934072897</v>
      </c>
      <c r="I28" s="106">
        <v>-5865101.7458692603</v>
      </c>
      <c r="J28" s="106">
        <v>-697839.12456096744</v>
      </c>
      <c r="K28" s="106">
        <v>61801.925141233231</v>
      </c>
      <c r="L28" s="106">
        <v>-1544801.8182404551</v>
      </c>
      <c r="M28" s="106">
        <v>-596026.56704565627</v>
      </c>
      <c r="N28" s="53">
        <v>-6.9606981298775281</v>
      </c>
      <c r="O28" s="54">
        <v>0.19524408116938136</v>
      </c>
      <c r="P28" s="54">
        <v>-8.4791990664144566E-4</v>
      </c>
      <c r="Q28" s="54">
        <v>-1257.3414124254668</v>
      </c>
      <c r="R28" s="54">
        <v>269.47301091740883</v>
      </c>
      <c r="S28" s="54">
        <v>-2783.368303240195</v>
      </c>
      <c r="T28" s="55">
        <v>-1073.8992115464498</v>
      </c>
      <c r="U28" s="61">
        <v>3.8251877676633836E-2</v>
      </c>
      <c r="W28" s="5"/>
      <c r="X28" s="10"/>
      <c r="Y28" s="169"/>
      <c r="Z28" s="169"/>
      <c r="AA28" s="12"/>
      <c r="AB28" s="66">
        <v>46076</v>
      </c>
      <c r="AC28" s="124">
        <v>1</v>
      </c>
      <c r="AD28" s="128">
        <v>46009</v>
      </c>
      <c r="AE28" s="127">
        <v>5.8399999999999997E-3</v>
      </c>
      <c r="AF28" s="13"/>
      <c r="AG28" s="5"/>
    </row>
    <row r="29" spans="1:33">
      <c r="A29" s="47">
        <v>45408.625</v>
      </c>
      <c r="B29" s="48">
        <v>3584.2685999999999</v>
      </c>
      <c r="C29" s="49">
        <v>1.529263404590453E-2</v>
      </c>
      <c r="D29" s="85" t="b">
        <v>0</v>
      </c>
      <c r="E29" s="106">
        <v>1358004.9695160743</v>
      </c>
      <c r="F29" s="25">
        <v>201358004.96951607</v>
      </c>
      <c r="G29" s="106">
        <v>8377.7660071168521</v>
      </c>
      <c r="H29" s="106">
        <v>30028163.637456309</v>
      </c>
      <c r="I29" s="106">
        <v>-5254211.1911597783</v>
      </c>
      <c r="J29" s="106">
        <v>-587904.36745786853</v>
      </c>
      <c r="K29" s="106">
        <v>57633.037538590208</v>
      </c>
      <c r="L29" s="106">
        <v>-1309330.200554132</v>
      </c>
      <c r="M29" s="106">
        <v>-471949.52199114644</v>
      </c>
      <c r="N29" s="53">
        <v>3.4234411389516026</v>
      </c>
      <c r="O29" s="54">
        <v>0.15094757192046887</v>
      </c>
      <c r="P29" s="54">
        <v>-7.3689283732280533E-4</v>
      </c>
      <c r="Q29" s="54">
        <v>-1059.2649247283589</v>
      </c>
      <c r="R29" s="54">
        <v>251.29554003938665</v>
      </c>
      <c r="S29" s="54">
        <v>-2359.104019471215</v>
      </c>
      <c r="T29" s="55">
        <v>-850.34165854085586</v>
      </c>
      <c r="U29" s="61">
        <v>0.23789755519339395</v>
      </c>
      <c r="W29" s="5"/>
      <c r="X29" s="10"/>
      <c r="Y29" s="20"/>
      <c r="Z29" s="15"/>
      <c r="AA29" s="12"/>
      <c r="AB29" s="66">
        <v>46099</v>
      </c>
      <c r="AC29" s="124">
        <v>1</v>
      </c>
      <c r="AD29" s="128">
        <v>46041</v>
      </c>
      <c r="AE29" s="127">
        <v>5.8399999999999997E-3</v>
      </c>
      <c r="AF29" s="13"/>
      <c r="AG29" s="5"/>
    </row>
    <row r="30" spans="1:33" ht="15.6">
      <c r="A30" s="47">
        <v>45411.625</v>
      </c>
      <c r="B30" s="48">
        <v>3623.9124000000002</v>
      </c>
      <c r="C30" s="49">
        <v>1.1060499204775143E-2</v>
      </c>
      <c r="D30" s="85" t="b">
        <v>0</v>
      </c>
      <c r="E30" s="106">
        <v>1712848.3636077784</v>
      </c>
      <c r="F30" s="25">
        <v>201712848.36360776</v>
      </c>
      <c r="G30" s="106">
        <v>6763.0953720656862</v>
      </c>
      <c r="H30" s="106">
        <v>24508865.181211457</v>
      </c>
      <c r="I30" s="106">
        <v>-4741780.2638370767</v>
      </c>
      <c r="J30" s="106">
        <v>-505891.74025091267</v>
      </c>
      <c r="K30" s="106">
        <v>54096.156536176211</v>
      </c>
      <c r="L30" s="106">
        <v>-1137176.2915101191</v>
      </c>
      <c r="M30" s="106">
        <v>-387150.61283800821</v>
      </c>
      <c r="N30" s="53">
        <v>9.8168816700740535</v>
      </c>
      <c r="O30" s="54">
        <v>0.12185501769954558</v>
      </c>
      <c r="P30" s="54">
        <v>-6.5055489340558944E-4</v>
      </c>
      <c r="Q30" s="54">
        <v>-911.49752548144534</v>
      </c>
      <c r="R30" s="54">
        <v>235.87378787229773</v>
      </c>
      <c r="S30" s="54">
        <v>-2048.9233036964379</v>
      </c>
      <c r="T30" s="55">
        <v>-697.55403678946095</v>
      </c>
      <c r="U30" s="61">
        <v>0.17206098780210824</v>
      </c>
      <c r="W30" s="5"/>
      <c r="X30" s="10"/>
      <c r="Y30" s="169"/>
      <c r="Z30" s="169"/>
      <c r="AA30" s="12"/>
      <c r="AB30" s="12"/>
      <c r="AC30" s="12"/>
      <c r="AD30" s="126">
        <v>46076</v>
      </c>
      <c r="AE30" s="127">
        <v>5.8399999999999997E-3</v>
      </c>
      <c r="AF30" s="13"/>
      <c r="AG30" s="5"/>
    </row>
    <row r="31" spans="1:33">
      <c r="A31" s="47">
        <v>45412.625</v>
      </c>
      <c r="B31" s="48">
        <v>3604.3942999999999</v>
      </c>
      <c r="C31" s="49">
        <v>-5.3859193726648602E-3</v>
      </c>
      <c r="D31" s="85" t="b">
        <v>0</v>
      </c>
      <c r="E31" s="106">
        <v>1629997.0618033223</v>
      </c>
      <c r="F31" s="25">
        <v>201629997.06180331</v>
      </c>
      <c r="G31" s="106">
        <v>7399.5309868235172</v>
      </c>
      <c r="H31" s="106">
        <v>26670827.311580058</v>
      </c>
      <c r="I31" s="106">
        <v>-5026524.2833191184</v>
      </c>
      <c r="J31" s="106">
        <v>-538519.33925331663</v>
      </c>
      <c r="K31" s="106">
        <v>55854.776168253127</v>
      </c>
      <c r="L31" s="106">
        <v>-1199658.7077434363</v>
      </c>
      <c r="M31" s="106">
        <v>-420049.66096508474</v>
      </c>
      <c r="N31" s="53">
        <v>8.3240967406300115</v>
      </c>
      <c r="O31" s="54">
        <v>0.13332208548943086</v>
      </c>
      <c r="P31" s="54">
        <v>-6.9710966149812961E-4</v>
      </c>
      <c r="Q31" s="54">
        <v>-970.28475877041274</v>
      </c>
      <c r="R31" s="54">
        <v>243.54184232579973</v>
      </c>
      <c r="S31" s="54">
        <v>-2161.5018718986448</v>
      </c>
      <c r="T31" s="55">
        <v>-756.83035733909492</v>
      </c>
      <c r="U31" s="61">
        <v>8.3785242449377004E-2</v>
      </c>
      <c r="W31" s="5"/>
      <c r="X31" s="10"/>
      <c r="Y31" s="170" t="s">
        <v>96</v>
      </c>
      <c r="Z31" s="170"/>
      <c r="AA31" s="12"/>
      <c r="AB31" s="12"/>
      <c r="AC31" s="12"/>
      <c r="AD31" s="126">
        <v>46099</v>
      </c>
      <c r="AE31" s="127">
        <v>5.8399999999999997E-3</v>
      </c>
      <c r="AF31" s="13"/>
      <c r="AG31" s="5"/>
    </row>
    <row r="32" spans="1:33" ht="15.6" customHeight="1">
      <c r="A32" s="47">
        <v>45418.625</v>
      </c>
      <c r="B32" s="48">
        <v>3657.8766999999998</v>
      </c>
      <c r="C32" s="49">
        <v>1.4838110247816116E-2</v>
      </c>
      <c r="D32" s="85" t="b">
        <v>0</v>
      </c>
      <c r="E32" s="106">
        <v>2023954.0549163879</v>
      </c>
      <c r="F32" s="25">
        <v>202023954.05491638</v>
      </c>
      <c r="G32" s="106">
        <v>5420.6532029539094</v>
      </c>
      <c r="H32" s="106">
        <v>19828081.049865477</v>
      </c>
      <c r="I32" s="106">
        <v>-4274796.0718923211</v>
      </c>
      <c r="J32" s="106">
        <v>-429590.94940446981</v>
      </c>
      <c r="K32" s="106">
        <v>50821.982597919588</v>
      </c>
      <c r="L32" s="106">
        <v>-976667.1050264535</v>
      </c>
      <c r="M32" s="106">
        <v>-314241.18194712955</v>
      </c>
      <c r="N32" s="53">
        <v>15.422272018023705</v>
      </c>
      <c r="O32" s="54">
        <v>9.7667377975670475E-2</v>
      </c>
      <c r="P32" s="54">
        <v>-5.756455909603455E-4</v>
      </c>
      <c r="Q32" s="54">
        <v>-774.02150736279509</v>
      </c>
      <c r="R32" s="54">
        <v>221.59750914161032</v>
      </c>
      <c r="S32" s="54">
        <v>-1759.7236298208827</v>
      </c>
      <c r="T32" s="55">
        <v>-566.18844894978793</v>
      </c>
      <c r="U32" s="61">
        <v>0.23082682427693632</v>
      </c>
      <c r="W32" s="5"/>
      <c r="X32" s="10"/>
      <c r="Y32" s="170"/>
      <c r="Z32" s="170"/>
      <c r="AA32" s="12"/>
      <c r="AB32" s="12"/>
      <c r="AC32" s="12"/>
      <c r="AD32" s="66"/>
      <c r="AE32" s="66"/>
      <c r="AF32" s="13"/>
      <c r="AG32" s="5"/>
    </row>
    <row r="33" spans="1:75" ht="15" thickBot="1">
      <c r="A33" s="47">
        <v>45419.625</v>
      </c>
      <c r="B33" s="48">
        <v>3659.0075999999999</v>
      </c>
      <c r="C33" s="49">
        <v>3.0916843096440161E-4</v>
      </c>
      <c r="D33" s="85" t="b">
        <v>0</v>
      </c>
      <c r="E33" s="106">
        <v>2080765.2025436237</v>
      </c>
      <c r="F33" s="25">
        <v>202080765.20254362</v>
      </c>
      <c r="G33" s="106">
        <v>5289.0557965131393</v>
      </c>
      <c r="H33" s="106">
        <v>19352695.356265631</v>
      </c>
      <c r="I33" s="106">
        <v>-4257159.956571565</v>
      </c>
      <c r="J33" s="106">
        <v>-421067.25017538184</v>
      </c>
      <c r="K33" s="106">
        <v>50683.233789178288</v>
      </c>
      <c r="L33" s="106">
        <v>-955650.88525164663</v>
      </c>
      <c r="M33" s="106">
        <v>-306671.66668503755</v>
      </c>
      <c r="N33" s="53">
        <v>16.445874823958093</v>
      </c>
      <c r="O33" s="54">
        <v>9.5296303281486999E-2</v>
      </c>
      <c r="P33" s="54">
        <v>-5.7291639518042303E-4</v>
      </c>
      <c r="Q33" s="54">
        <v>-758.66381294499661</v>
      </c>
      <c r="R33" s="54">
        <v>220.99252702871854</v>
      </c>
      <c r="S33" s="54">
        <v>-1721.8573616145477</v>
      </c>
      <c r="T33" s="55">
        <v>-552.54996885309993</v>
      </c>
      <c r="U33" s="61">
        <v>4.8095320694021334E-3</v>
      </c>
      <c r="W33" s="5"/>
      <c r="X33" s="22"/>
      <c r="Y33" s="89"/>
      <c r="Z33" s="89"/>
      <c r="AA33" s="88"/>
      <c r="AB33" s="88"/>
      <c r="AC33" s="88"/>
      <c r="AD33" s="23"/>
      <c r="AE33" s="23"/>
      <c r="AF33" s="24"/>
      <c r="AG33" s="5"/>
    </row>
    <row r="34" spans="1:75">
      <c r="A34" s="47">
        <v>45420.625</v>
      </c>
      <c r="B34" s="48">
        <v>3630.2233000000001</v>
      </c>
      <c r="C34" s="49">
        <v>-7.8666958767726891E-3</v>
      </c>
      <c r="D34" s="85" t="b">
        <v>0</v>
      </c>
      <c r="E34" s="106">
        <v>1968635.9313202293</v>
      </c>
      <c r="F34" s="25">
        <v>201968635.93132022</v>
      </c>
      <c r="G34" s="106">
        <v>6157.9667311067396</v>
      </c>
      <c r="H34" s="106">
        <v>22354794.307888523</v>
      </c>
      <c r="I34" s="106">
        <v>-4678113.6032353546</v>
      </c>
      <c r="J34" s="106">
        <v>-470319.19743897254</v>
      </c>
      <c r="K34" s="106">
        <v>53423.939100303185</v>
      </c>
      <c r="L34" s="106">
        <v>-1049768.1867825051</v>
      </c>
      <c r="M34" s="106">
        <v>-353132.98339088808</v>
      </c>
      <c r="N34" s="53">
        <v>14.425569981592616</v>
      </c>
      <c r="O34" s="54">
        <v>0.11095202769305802</v>
      </c>
      <c r="P34" s="54">
        <v>-6.3959047796582175E-4</v>
      </c>
      <c r="Q34" s="54">
        <v>-847.40419845443284</v>
      </c>
      <c r="R34" s="54">
        <v>232.94273910606717</v>
      </c>
      <c r="S34" s="54">
        <v>-1891.4345272899936</v>
      </c>
      <c r="T34" s="55">
        <v>-636.26229668630003</v>
      </c>
      <c r="U34" s="61">
        <v>0.12237706799996087</v>
      </c>
      <c r="W34" s="5"/>
      <c r="X34" s="5"/>
      <c r="Y34" s="5"/>
      <c r="Z34" s="18"/>
      <c r="AA34" s="5"/>
      <c r="AB34" s="5"/>
      <c r="AC34" s="5"/>
      <c r="AD34" s="18"/>
      <c r="AE34" s="18"/>
      <c r="AF34" s="5"/>
      <c r="AG34" s="5"/>
    </row>
    <row r="35" spans="1:75">
      <c r="A35" s="47">
        <v>45421.625</v>
      </c>
      <c r="B35" s="48">
        <v>3664.5610000000001</v>
      </c>
      <c r="C35" s="49">
        <v>9.458839625650528E-3</v>
      </c>
      <c r="D35" s="85" t="b">
        <v>0</v>
      </c>
      <c r="E35" s="106">
        <v>2209723.3222616604</v>
      </c>
      <c r="F35" s="25">
        <v>202209723.32226166</v>
      </c>
      <c r="G35" s="106">
        <v>4919.1609743156896</v>
      </c>
      <c r="H35" s="106">
        <v>18026565.45919928</v>
      </c>
      <c r="I35" s="106">
        <v>-4169893.7937521217</v>
      </c>
      <c r="J35" s="106">
        <v>-397088.27324242535</v>
      </c>
      <c r="K35" s="106">
        <v>49959.84881298463</v>
      </c>
      <c r="L35" s="106">
        <v>-900432.3157637727</v>
      </c>
      <c r="M35" s="106">
        <v>-285744.24298374611</v>
      </c>
      <c r="N35" s="53">
        <v>18.76939580011458</v>
      </c>
      <c r="O35" s="54">
        <v>8.8631671537269335E-2</v>
      </c>
      <c r="P35" s="54">
        <v>-5.5947281439739879E-4</v>
      </c>
      <c r="Q35" s="54">
        <v>-715.45935555036522</v>
      </c>
      <c r="R35" s="54">
        <v>217.83837402876179</v>
      </c>
      <c r="S35" s="54">
        <v>-1622.366530979798</v>
      </c>
      <c r="T35" s="55">
        <v>-514.84369021536622</v>
      </c>
      <c r="U35" s="61">
        <v>0.14714501211197728</v>
      </c>
    </row>
    <row r="36" spans="1:75">
      <c r="A36" s="47">
        <v>45422.625</v>
      </c>
      <c r="B36" s="48">
        <v>3666.2770999999998</v>
      </c>
      <c r="C36" s="49">
        <v>4.6829620246446879E-4</v>
      </c>
      <c r="D36" s="85" t="b">
        <v>0</v>
      </c>
      <c r="E36" s="106">
        <v>2267889.0050779055</v>
      </c>
      <c r="F36" s="25">
        <v>202267889.0050779</v>
      </c>
      <c r="G36" s="106">
        <v>4765.2958075074212</v>
      </c>
      <c r="H36" s="106">
        <v>17470894.893790465</v>
      </c>
      <c r="I36" s="106">
        <v>-4147890.1086082626</v>
      </c>
      <c r="J36" s="106">
        <v>-387323.77139028517</v>
      </c>
      <c r="K36" s="106">
        <v>49667.599799739728</v>
      </c>
      <c r="L36" s="106">
        <v>-876207.41564053774</v>
      </c>
      <c r="M36" s="106">
        <v>-277007.48259970616</v>
      </c>
      <c r="N36" s="53">
        <v>19.817404133451873</v>
      </c>
      <c r="O36" s="54">
        <v>8.5859384353177998E-2</v>
      </c>
      <c r="P36" s="54">
        <v>-5.5599972260056353E-4</v>
      </c>
      <c r="Q36" s="54">
        <v>-697.8660276352457</v>
      </c>
      <c r="R36" s="54">
        <v>216.56408975109935</v>
      </c>
      <c r="S36" s="54">
        <v>-1578.7189780341578</v>
      </c>
      <c r="T36" s="55">
        <v>-499.1021098787769</v>
      </c>
      <c r="U36" s="61">
        <v>7.284979248063754E-3</v>
      </c>
    </row>
    <row r="37" spans="1:75">
      <c r="A37" s="47">
        <v>45425.625</v>
      </c>
      <c r="B37" s="48">
        <v>3664.6907000000001</v>
      </c>
      <c r="C37" s="49">
        <v>-4.3270051791766129E-4</v>
      </c>
      <c r="D37" s="85" t="b">
        <v>0</v>
      </c>
      <c r="E37" s="106">
        <v>2310136.6098433346</v>
      </c>
      <c r="F37" s="25">
        <v>202310136.60984334</v>
      </c>
      <c r="G37" s="106">
        <v>4712.1505928600554</v>
      </c>
      <c r="H37" s="106">
        <v>17268574.454653732</v>
      </c>
      <c r="I37" s="106">
        <v>-4169534.6446139151</v>
      </c>
      <c r="J37" s="106">
        <v>-383235.63444840844</v>
      </c>
      <c r="K37" s="106">
        <v>50330.86593423559</v>
      </c>
      <c r="L37" s="106">
        <v>-864002.9360794184</v>
      </c>
      <c r="M37" s="106">
        <v>-273805.31430272979</v>
      </c>
      <c r="N37" s="53">
        <v>20.578606266977658</v>
      </c>
      <c r="O37" s="54">
        <v>8.4901833007939048E-2</v>
      </c>
      <c r="P37" s="54">
        <v>-5.5938503012740721E-4</v>
      </c>
      <c r="Q37" s="54">
        <v>-690.5001696663021</v>
      </c>
      <c r="R37" s="54">
        <v>219.45610843649956</v>
      </c>
      <c r="S37" s="54">
        <v>-1556.729386122197</v>
      </c>
      <c r="T37" s="55">
        <v>-493.33255831934366</v>
      </c>
      <c r="U37" s="61">
        <v>6.731240349735209E-3</v>
      </c>
    </row>
    <row r="38" spans="1:75">
      <c r="A38" s="47">
        <v>45426.625</v>
      </c>
      <c r="B38" s="48">
        <v>3657.0454</v>
      </c>
      <c r="C38" s="49">
        <v>-2.0862060746354993E-3</v>
      </c>
      <c r="D38" s="85" t="b">
        <v>0</v>
      </c>
      <c r="E38" s="106">
        <v>2324306.1674659941</v>
      </c>
      <c r="F38" s="25">
        <v>202324306.16746598</v>
      </c>
      <c r="G38" s="106">
        <v>4859.9613776408878</v>
      </c>
      <c r="H38" s="106">
        <v>17773099.400279272</v>
      </c>
      <c r="I38" s="106">
        <v>-4298917.8439632086</v>
      </c>
      <c r="J38" s="106">
        <v>-391555.97109848668</v>
      </c>
      <c r="K38" s="106">
        <v>50133.758460154277</v>
      </c>
      <c r="L38" s="106">
        <v>-875005.37503672764</v>
      </c>
      <c r="M38" s="106">
        <v>-281010.52719383291</v>
      </c>
      <c r="N38" s="53">
        <v>20.833908255181996</v>
      </c>
      <c r="O38" s="54">
        <v>8.7565034516237553E-2</v>
      </c>
      <c r="P38" s="54">
        <v>-5.7915704955881567E-4</v>
      </c>
      <c r="Q38" s="54">
        <v>-705.49145271029374</v>
      </c>
      <c r="R38" s="54">
        <v>218.59666685124739</v>
      </c>
      <c r="S38" s="54">
        <v>-1576.5531845476744</v>
      </c>
      <c r="T38" s="55">
        <v>-506.31465151886914</v>
      </c>
      <c r="U38" s="61">
        <v>3.2453750171201265E-2</v>
      </c>
      <c r="AK38" s="87"/>
      <c r="AL38" s="86"/>
      <c r="AM38" s="87"/>
      <c r="AN38" s="86"/>
      <c r="AO38" s="87"/>
      <c r="AP38" s="86"/>
      <c r="AQ38" s="87"/>
      <c r="AR38" s="86"/>
      <c r="AS38" s="90"/>
      <c r="AT38" s="87"/>
      <c r="AU38" s="86"/>
      <c r="AV38" s="87"/>
      <c r="AW38" s="86"/>
      <c r="AX38" s="87"/>
      <c r="AY38" s="86"/>
      <c r="AZ38" s="87"/>
      <c r="BA38" s="86"/>
      <c r="BB38" s="87"/>
      <c r="BC38" s="86"/>
      <c r="BD38" s="87"/>
      <c r="BE38" s="86"/>
      <c r="BF38" s="87"/>
      <c r="BG38" s="86"/>
      <c r="BH38" s="87"/>
      <c r="BI38" s="86"/>
      <c r="BJ38" s="87"/>
      <c r="BK38" s="86"/>
      <c r="BL38" s="87"/>
      <c r="BM38" s="86"/>
      <c r="BN38" s="87"/>
      <c r="BO38" s="86"/>
      <c r="BP38" s="87"/>
      <c r="BQ38" s="86"/>
      <c r="BR38" s="87"/>
      <c r="BS38" s="86"/>
      <c r="BT38" s="87"/>
      <c r="BU38" s="86"/>
      <c r="BV38" s="87"/>
      <c r="BW38" s="86"/>
    </row>
    <row r="39" spans="1:75">
      <c r="A39" s="47">
        <v>45427.625</v>
      </c>
      <c r="B39" s="48">
        <v>3626.0558999999998</v>
      </c>
      <c r="C39" s="49">
        <v>-8.473917222903582E-3</v>
      </c>
      <c r="D39" s="85" t="b">
        <v>0</v>
      </c>
      <c r="E39" s="106">
        <v>2211327.644397038</v>
      </c>
      <c r="F39" s="25">
        <v>202211327.64439705</v>
      </c>
      <c r="G39" s="106">
        <v>5812.7547736266542</v>
      </c>
      <c r="H39" s="106">
        <v>21077373.742162094</v>
      </c>
      <c r="I39" s="106">
        <v>-4784592.7175850775</v>
      </c>
      <c r="J39" s="106">
        <v>-446100.3479189073</v>
      </c>
      <c r="K39" s="106">
        <v>53597.254938516118</v>
      </c>
      <c r="L39" s="106">
        <v>-983623.04314195027</v>
      </c>
      <c r="M39" s="106">
        <v>-332243.71442780452</v>
      </c>
      <c r="N39" s="53">
        <v>18.798301898793852</v>
      </c>
      <c r="O39" s="54">
        <v>0.10473212291948654</v>
      </c>
      <c r="P39" s="54">
        <v>-6.5565275472525143E-4</v>
      </c>
      <c r="Q39" s="54">
        <v>-803.76754726776198</v>
      </c>
      <c r="R39" s="54">
        <v>233.69844276183812</v>
      </c>
      <c r="S39" s="54">
        <v>-1772.2565887036126</v>
      </c>
      <c r="T39" s="55">
        <v>-598.62476388229879</v>
      </c>
      <c r="U39" s="61">
        <v>0.1318232152936292</v>
      </c>
    </row>
    <row r="40" spans="1:75">
      <c r="A40" s="47">
        <v>45428.625</v>
      </c>
      <c r="B40" s="48">
        <v>3640.3591999999999</v>
      </c>
      <c r="C40" s="49">
        <v>3.9445889402862644E-3</v>
      </c>
      <c r="D40" s="85" t="b">
        <v>0</v>
      </c>
      <c r="E40" s="106">
        <v>2342970.9247969473</v>
      </c>
      <c r="F40" s="25">
        <v>202342970.92479694</v>
      </c>
      <c r="G40" s="106">
        <v>5201.1160753041868</v>
      </c>
      <c r="H40" s="106">
        <v>18933930.755001489</v>
      </c>
      <c r="I40" s="106">
        <v>-4565549.3549729465</v>
      </c>
      <c r="J40" s="106">
        <v>-409621.35606889095</v>
      </c>
      <c r="K40" s="106">
        <v>52011.05893518751</v>
      </c>
      <c r="L40" s="106">
        <v>-905600.7457210673</v>
      </c>
      <c r="M40" s="106">
        <v>-298952.66690944502</v>
      </c>
      <c r="N40" s="53">
        <v>21.170203133458472</v>
      </c>
      <c r="O40" s="54">
        <v>9.3711837043043714E-2</v>
      </c>
      <c r="P40" s="54">
        <v>-6.2072962163846356E-4</v>
      </c>
      <c r="Q40" s="54">
        <v>-738.0410129961092</v>
      </c>
      <c r="R40" s="54">
        <v>226.78220169094402</v>
      </c>
      <c r="S40" s="54">
        <v>-1631.6788220133731</v>
      </c>
      <c r="T40" s="55">
        <v>-538.64215294142923</v>
      </c>
      <c r="U40" s="61">
        <v>6.1363402950737243E-2</v>
      </c>
    </row>
    <row r="41" spans="1:75">
      <c r="A41" s="47">
        <v>45429.625</v>
      </c>
      <c r="B41" s="48">
        <v>3677.9695999999999</v>
      </c>
      <c r="C41" s="49">
        <v>1.033150794569937E-2</v>
      </c>
      <c r="D41" s="85" t="b">
        <v>0</v>
      </c>
      <c r="E41" s="106">
        <v>2563399.3236571224</v>
      </c>
      <c r="F41" s="25">
        <v>202563399.32365713</v>
      </c>
      <c r="G41" s="106">
        <v>3898.4252263851586</v>
      </c>
      <c r="H41" s="106">
        <v>14338289.47051773</v>
      </c>
      <c r="I41" s="106">
        <v>-3941038.3482131935</v>
      </c>
      <c r="J41" s="106">
        <v>-327626.84398023691</v>
      </c>
      <c r="K41" s="106">
        <v>48117.30804397483</v>
      </c>
      <c r="L41" s="106">
        <v>-737117.40850544767</v>
      </c>
      <c r="M41" s="106">
        <v>-227214.20007793044</v>
      </c>
      <c r="N41" s="53">
        <v>25.141802669897515</v>
      </c>
      <c r="O41" s="54">
        <v>7.024042229592628E-2</v>
      </c>
      <c r="P41" s="54">
        <v>-5.2491900325230836E-4</v>
      </c>
      <c r="Q41" s="54">
        <v>-590.30625291720753</v>
      </c>
      <c r="R41" s="54">
        <v>209.80440085351711</v>
      </c>
      <c r="S41" s="54">
        <v>-1328.1116104184093</v>
      </c>
      <c r="T41" s="55">
        <v>-409.38636598921221</v>
      </c>
      <c r="U41" s="61">
        <v>0.16072054522230786</v>
      </c>
    </row>
    <row r="42" spans="1:75">
      <c r="A42" s="47">
        <v>45432.625</v>
      </c>
      <c r="B42" s="48">
        <v>3690.9623000000001</v>
      </c>
      <c r="C42" s="49">
        <v>3.5325740593397104E-3</v>
      </c>
      <c r="D42" s="85" t="b">
        <v>0</v>
      </c>
      <c r="E42" s="106">
        <v>2658216.6939829001</v>
      </c>
      <c r="F42" s="25">
        <v>202658216.6939829</v>
      </c>
      <c r="G42" s="106">
        <v>3421.8367026916944</v>
      </c>
      <c r="H42" s="106">
        <v>12629870.266391354</v>
      </c>
      <c r="I42" s="106">
        <v>-3643715.213012001</v>
      </c>
      <c r="J42" s="106">
        <v>-295115.20792581048</v>
      </c>
      <c r="K42" s="106">
        <v>-1122710.7909795726</v>
      </c>
      <c r="L42" s="106">
        <v>-668755.304249926</v>
      </c>
      <c r="M42" s="106">
        <v>-200464.71068697562</v>
      </c>
      <c r="N42" s="53">
        <v>26.850187914174057</v>
      </c>
      <c r="O42" s="54">
        <v>6.1653421847885977E-2</v>
      </c>
      <c r="P42" s="54">
        <v>-4.8190686445905224E-4</v>
      </c>
      <c r="Q42" s="54">
        <v>-531.72795749323996</v>
      </c>
      <c r="R42" s="54">
        <v>-4895.3209231484143</v>
      </c>
      <c r="S42" s="54">
        <v>-1204.9392320065635</v>
      </c>
      <c r="T42" s="55">
        <v>-361.19009898620789</v>
      </c>
      <c r="U42" s="61">
        <v>5.4953955592861564E-2</v>
      </c>
      <c r="AI42" s="87"/>
      <c r="AJ42" s="86"/>
    </row>
    <row r="43" spans="1:75">
      <c r="A43" s="47">
        <v>45433.625</v>
      </c>
      <c r="B43" s="48">
        <v>3676.1610999999998</v>
      </c>
      <c r="C43" s="49">
        <v>-4.0101195289912184E-3</v>
      </c>
      <c r="D43" s="85" t="b">
        <v>0</v>
      </c>
      <c r="E43" s="106">
        <v>2651885.728212622</v>
      </c>
      <c r="F43" s="25">
        <v>202651885.72821262</v>
      </c>
      <c r="G43" s="106">
        <v>3711.3716064674672</v>
      </c>
      <c r="H43" s="106">
        <v>13643599.927340211</v>
      </c>
      <c r="I43" s="106">
        <v>-3944737.5137846097</v>
      </c>
      <c r="J43" s="106">
        <v>-313820.121234163</v>
      </c>
      <c r="K43" s="106">
        <v>47683.965735273639</v>
      </c>
      <c r="L43" s="106">
        <v>-702549.09922197624</v>
      </c>
      <c r="M43" s="106">
        <v>-217015.15280941621</v>
      </c>
      <c r="N43" s="53">
        <v>5.6915153320728677</v>
      </c>
      <c r="O43" s="54">
        <v>6.6870157511552494E-2</v>
      </c>
      <c r="P43" s="54">
        <v>-5.2592878980113231E-4</v>
      </c>
      <c r="Q43" s="54">
        <v>-565.42979691535038</v>
      </c>
      <c r="R43" s="54">
        <v>207.91491187049996</v>
      </c>
      <c r="S43" s="54">
        <v>-1265.8276752105849</v>
      </c>
      <c r="T43" s="55">
        <v>-391.01008978650498</v>
      </c>
      <c r="U43" s="61">
        <v>6.2382819671002475E-2</v>
      </c>
    </row>
    <row r="44" spans="1:75">
      <c r="A44" s="47">
        <v>45434.625</v>
      </c>
      <c r="B44" s="48">
        <v>3684.451</v>
      </c>
      <c r="C44" s="49">
        <v>2.2550426312928362E-3</v>
      </c>
      <c r="D44" s="85" t="b">
        <v>0</v>
      </c>
      <c r="E44" s="106">
        <v>2728472.7134920531</v>
      </c>
      <c r="F44" s="25">
        <v>202728472.71349207</v>
      </c>
      <c r="G44" s="106">
        <v>3359.1668273495138</v>
      </c>
      <c r="H44" s="106">
        <v>12376685.576194745</v>
      </c>
      <c r="I44" s="106">
        <v>-3761569.1346218837</v>
      </c>
      <c r="J44" s="106">
        <v>-289091.6820552267</v>
      </c>
      <c r="K44" s="106">
        <v>46622.354752402578</v>
      </c>
      <c r="L44" s="106">
        <v>-649522.86013021623</v>
      </c>
      <c r="M44" s="106">
        <v>-197094.24984494585</v>
      </c>
      <c r="N44" s="53">
        <v>7.0714320615229553</v>
      </c>
      <c r="O44" s="54">
        <v>6.0524258595125689E-2</v>
      </c>
      <c r="P44" s="54">
        <v>-4.9925380466071649E-4</v>
      </c>
      <c r="Q44" s="54">
        <v>-520.87498542655339</v>
      </c>
      <c r="R44" s="54">
        <v>203.28600253922104</v>
      </c>
      <c r="S44" s="54">
        <v>-1170.2869065596587</v>
      </c>
      <c r="T44" s="55">
        <v>-355.11732397762898</v>
      </c>
      <c r="U44" s="61">
        <v>3.5080230601942236E-2</v>
      </c>
    </row>
    <row r="45" spans="1:75">
      <c r="A45" s="47">
        <v>45435.625</v>
      </c>
      <c r="B45" s="48">
        <v>3641.7917000000002</v>
      </c>
      <c r="C45" s="49">
        <v>-1.1578197131675738E-2</v>
      </c>
      <c r="D45" s="85" t="b">
        <v>0</v>
      </c>
      <c r="E45" s="106">
        <v>2610241.7796839713</v>
      </c>
      <c r="F45" s="25">
        <v>202610241.77968398</v>
      </c>
      <c r="G45" s="106">
        <v>4569.0595134445866</v>
      </c>
      <c r="H45" s="106">
        <v>16639563.012868535</v>
      </c>
      <c r="I45" s="106">
        <v>-4601720.4960456667</v>
      </c>
      <c r="J45" s="106">
        <v>-367881.70184929139</v>
      </c>
      <c r="K45" s="106">
        <v>51513.177675211264</v>
      </c>
      <c r="L45" s="106">
        <v>-802890.37764662714</v>
      </c>
      <c r="M45" s="106">
        <v>-263885.76744619291</v>
      </c>
      <c r="N45" s="53">
        <v>4.9411896593051097</v>
      </c>
      <c r="O45" s="54">
        <v>8.2323669451819709E-2</v>
      </c>
      <c r="P45" s="54">
        <v>-6.2515532996560786E-4</v>
      </c>
      <c r="Q45" s="54">
        <v>-662.83600665078666</v>
      </c>
      <c r="R45" s="54">
        <v>224.61130552713439</v>
      </c>
      <c r="S45" s="54">
        <v>-1446.6189783900973</v>
      </c>
      <c r="T45" s="55">
        <v>-475.45987589692231</v>
      </c>
      <c r="U45" s="61">
        <v>0.18011447752589607</v>
      </c>
    </row>
    <row r="46" spans="1:75">
      <c r="A46" s="47">
        <v>45436.625</v>
      </c>
      <c r="B46" s="48">
        <v>3601.4753999999998</v>
      </c>
      <c r="C46" s="49">
        <v>-1.1070457434454672E-2</v>
      </c>
      <c r="D46" s="85" t="b">
        <v>0</v>
      </c>
      <c r="E46" s="106">
        <v>2452972.0608573593</v>
      </c>
      <c r="F46" s="25">
        <v>202452972.06085736</v>
      </c>
      <c r="G46" s="106">
        <v>5981.8164678761441</v>
      </c>
      <c r="H46" s="106">
        <v>21543364.856370822</v>
      </c>
      <c r="I46" s="106">
        <v>-5372770.8143785829</v>
      </c>
      <c r="J46" s="106">
        <v>-451616.73591726524</v>
      </c>
      <c r="K46" s="106">
        <v>56931.989606269475</v>
      </c>
      <c r="L46" s="106">
        <v>-974500.43486103835</v>
      </c>
      <c r="M46" s="106">
        <v>-339923.46021971706</v>
      </c>
      <c r="N46" s="53">
        <v>2.1075604825859955</v>
      </c>
      <c r="O46" s="54">
        <v>0.10777821566426392</v>
      </c>
      <c r="P46" s="54">
        <v>-7.4633758906777331E-4</v>
      </c>
      <c r="Q46" s="54">
        <v>-813.7067765732354</v>
      </c>
      <c r="R46" s="54">
        <v>248.23878255670024</v>
      </c>
      <c r="S46" s="54">
        <v>-1755.8198015169637</v>
      </c>
      <c r="T46" s="55">
        <v>-612.4618533793182</v>
      </c>
      <c r="U46" s="61">
        <v>0.17221590150027841</v>
      </c>
    </row>
    <row r="47" spans="1:75">
      <c r="A47" s="47">
        <v>45439.625</v>
      </c>
      <c r="B47" s="48">
        <v>3635.7078999999999</v>
      </c>
      <c r="C47" s="49">
        <v>9.5051322577408559E-3</v>
      </c>
      <c r="D47" s="85" t="b">
        <v>0</v>
      </c>
      <c r="E47" s="106">
        <v>2686801.9264700576</v>
      </c>
      <c r="F47" s="25">
        <v>202686801.92647007</v>
      </c>
      <c r="G47" s="106">
        <v>4537.4998144092115</v>
      </c>
      <c r="H47" s="106">
        <v>16497023.921496103</v>
      </c>
      <c r="I47" s="106">
        <v>-4750246.9867395991</v>
      </c>
      <c r="J47" s="106">
        <v>-363986.45409316866</v>
      </c>
      <c r="K47" s="106">
        <v>52824.925062335125</v>
      </c>
      <c r="L47" s="106">
        <v>-788823.42405758041</v>
      </c>
      <c r="M47" s="106">
        <v>-261689.58473435161</v>
      </c>
      <c r="N47" s="53">
        <v>6.3206228224439656</v>
      </c>
      <c r="O47" s="54">
        <v>8.1755038156091975E-2</v>
      </c>
      <c r="P47" s="54">
        <v>-6.4749456699140172E-4</v>
      </c>
      <c r="Q47" s="54">
        <v>-655.81768947272394</v>
      </c>
      <c r="R47" s="54">
        <v>230.33087683763188</v>
      </c>
      <c r="S47" s="54">
        <v>-1421.273647823682</v>
      </c>
      <c r="T47" s="55">
        <v>-471.50287294930422</v>
      </c>
      <c r="U47" s="61">
        <v>0.14786515646151827</v>
      </c>
    </row>
    <row r="48" spans="1:75">
      <c r="A48" s="47">
        <v>45440.625</v>
      </c>
      <c r="B48" s="48">
        <v>3609.1723999999999</v>
      </c>
      <c r="C48" s="49">
        <v>-7.2985786344387238E-3</v>
      </c>
      <c r="D48" s="85" t="b">
        <v>0</v>
      </c>
      <c r="E48" s="106">
        <v>2609694.1109026559</v>
      </c>
      <c r="F48" s="25">
        <v>202609694.11090267</v>
      </c>
      <c r="G48" s="106">
        <v>5427.74928560028</v>
      </c>
      <c r="H48" s="106">
        <v>19589682.915708248</v>
      </c>
      <c r="I48" s="106">
        <v>-5308154.6711386964</v>
      </c>
      <c r="J48" s="106">
        <v>-418367.53888851363</v>
      </c>
      <c r="K48" s="106">
        <v>56213.434974682721</v>
      </c>
      <c r="L48" s="106">
        <v>-898720.02780476119</v>
      </c>
      <c r="M48" s="106">
        <v>-309906.82386291318</v>
      </c>
      <c r="N48" s="53">
        <v>4.9313219603641301</v>
      </c>
      <c r="O48" s="54">
        <v>9.7795232638203028E-2</v>
      </c>
      <c r="P48" s="54">
        <v>-7.3422001475604768E-4</v>
      </c>
      <c r="Q48" s="54">
        <v>-753.7995703379238</v>
      </c>
      <c r="R48" s="54">
        <v>245.10569115801263</v>
      </c>
      <c r="S48" s="54">
        <v>-1619.2813921776178</v>
      </c>
      <c r="T48" s="55">
        <v>-558.37895859053788</v>
      </c>
      <c r="U48" s="61">
        <v>0.11353923779956722</v>
      </c>
      <c r="AI48"/>
    </row>
    <row r="49" spans="1:35">
      <c r="A49" s="47">
        <v>45441.625</v>
      </c>
      <c r="B49" s="48">
        <v>3613.5223000000001</v>
      </c>
      <c r="C49" s="49">
        <v>1.20523475132428E-3</v>
      </c>
      <c r="D49" s="85" t="b">
        <v>0</v>
      </c>
      <c r="E49" s="106">
        <v>2688523.7158347298</v>
      </c>
      <c r="F49" s="25">
        <v>202688523.71583474</v>
      </c>
      <c r="G49" s="106">
        <v>5125.3644410999495</v>
      </c>
      <c r="H49" s="106">
        <v>18520618.703541704</v>
      </c>
      <c r="I49" s="106">
        <v>-5270134.7845994839</v>
      </c>
      <c r="J49" s="106">
        <v>-399363.07181040826</v>
      </c>
      <c r="K49" s="106">
        <v>55955.640410625529</v>
      </c>
      <c r="L49" s="106">
        <v>-856497.24486112001</v>
      </c>
      <c r="M49" s="106">
        <v>-293494.00338414975</v>
      </c>
      <c r="N49" s="53">
        <v>6.3516454033724585</v>
      </c>
      <c r="O49" s="54">
        <v>9.2346971368540087E-2</v>
      </c>
      <c r="P49" s="54">
        <v>-7.272071652373956E-4</v>
      </c>
      <c r="Q49" s="54">
        <v>-719.55800571740838</v>
      </c>
      <c r="R49" s="54">
        <v>243.98163754292091</v>
      </c>
      <c r="S49" s="54">
        <v>-1543.2059018899508</v>
      </c>
      <c r="T49" s="55">
        <v>-528.80692951343917</v>
      </c>
      <c r="U49" s="61">
        <v>1.8749052642827776E-2</v>
      </c>
    </row>
    <row r="50" spans="1:35">
      <c r="A50" s="47">
        <v>45442.625</v>
      </c>
      <c r="B50" s="48">
        <v>3594.3121000000001</v>
      </c>
      <c r="C50" s="49">
        <v>-5.3161979932986325E-3</v>
      </c>
      <c r="D50" s="85" t="b">
        <v>0</v>
      </c>
      <c r="E50" s="106">
        <v>2641227.0517006675</v>
      </c>
      <c r="F50" s="25">
        <v>202641227.05170068</v>
      </c>
      <c r="G50" s="106">
        <v>5808.3820410684084</v>
      </c>
      <c r="H50" s="106">
        <v>20877137.851634879</v>
      </c>
      <c r="I50" s="106">
        <v>-5705730.0880431104</v>
      </c>
      <c r="J50" s="106">
        <v>-439991.04159515136</v>
      </c>
      <c r="K50" s="106">
        <v>58135.022769636111</v>
      </c>
      <c r="L50" s="106">
        <v>-940440.35253505013</v>
      </c>
      <c r="M50" s="106">
        <v>-330288.78167233628</v>
      </c>
      <c r="N50" s="53">
        <v>5.4994711358040149</v>
      </c>
      <c r="O50" s="54">
        <v>0.10465333659843579</v>
      </c>
      <c r="P50" s="54">
        <v>-7.9575167011470909E-4</v>
      </c>
      <c r="Q50" s="54">
        <v>-792.76001906864622</v>
      </c>
      <c r="R50" s="54">
        <v>253.48433062053573</v>
      </c>
      <c r="S50" s="54">
        <v>-1694.4515713449618</v>
      </c>
      <c r="T50" s="55">
        <v>-595.10243642107525</v>
      </c>
      <c r="U50" s="61">
        <v>8.2700632326219145E-2</v>
      </c>
    </row>
    <row r="51" spans="1:35">
      <c r="A51" s="47">
        <v>45443.625</v>
      </c>
      <c r="B51" s="48">
        <v>3579.9247</v>
      </c>
      <c r="C51" s="49">
        <v>-4.0028243512855166E-3</v>
      </c>
      <c r="D51" s="85" t="b">
        <v>0</v>
      </c>
      <c r="E51" s="106">
        <v>2613157.1266835001</v>
      </c>
      <c r="F51" s="25">
        <v>202613157.1266835</v>
      </c>
      <c r="G51" s="106">
        <v>6345.3628356077488</v>
      </c>
      <c r="H51" s="106">
        <v>22715921.14565422</v>
      </c>
      <c r="I51" s="106">
        <v>-6042532.3348631905</v>
      </c>
      <c r="J51" s="106">
        <v>-470523.15820911212</v>
      </c>
      <c r="K51" s="106">
        <v>60843.653416352689</v>
      </c>
      <c r="L51" s="106">
        <v>-1005126.2694099139</v>
      </c>
      <c r="M51" s="106">
        <v>-358900.4093761504</v>
      </c>
      <c r="N51" s="53">
        <v>4.9937173320176953</v>
      </c>
      <c r="O51" s="54">
        <v>0.11432846324135959</v>
      </c>
      <c r="P51" s="54">
        <v>-8.4951119169467365E-4</v>
      </c>
      <c r="Q51" s="54">
        <v>-847.77168762748261</v>
      </c>
      <c r="R51" s="54">
        <v>265.29468853682829</v>
      </c>
      <c r="S51" s="54">
        <v>-1811.000327677084</v>
      </c>
      <c r="T51" s="55">
        <v>-646.6538371992101</v>
      </c>
      <c r="U51" s="61">
        <v>6.2269333339237898E-2</v>
      </c>
    </row>
    <row r="52" spans="1:35">
      <c r="A52" s="47">
        <v>45446.625</v>
      </c>
      <c r="B52" s="48">
        <v>3588.7483000000002</v>
      </c>
      <c r="C52" s="49">
        <v>2.4647445796834866E-3</v>
      </c>
      <c r="D52" s="85" t="b">
        <v>0</v>
      </c>
      <c r="E52" s="106">
        <v>2726983.8923621401</v>
      </c>
      <c r="F52" s="25">
        <v>202726983.89236215</v>
      </c>
      <c r="G52" s="106">
        <v>5811.310758779081</v>
      </c>
      <c r="H52" s="106">
        <v>20855331.606340136</v>
      </c>
      <c r="I52" s="106">
        <v>-5968445.1751357932</v>
      </c>
      <c r="J52" s="106">
        <v>-439122.57196484489</v>
      </c>
      <c r="K52" s="106">
        <v>60248.564802178407</v>
      </c>
      <c r="L52" s="106">
        <v>-936113.35137369484</v>
      </c>
      <c r="M52" s="106">
        <v>-330537.16497361462</v>
      </c>
      <c r="N52" s="53">
        <v>7.0446070183797929</v>
      </c>
      <c r="O52" s="54">
        <v>0.10470610517980831</v>
      </c>
      <c r="P52" s="54">
        <v>-8.3497431199956523E-4</v>
      </c>
      <c r="Q52" s="54">
        <v>-791.19524175366678</v>
      </c>
      <c r="R52" s="54">
        <v>262.69994217160183</v>
      </c>
      <c r="S52" s="54">
        <v>-1686.6553364244737</v>
      </c>
      <c r="T52" s="55">
        <v>-595.54996451151965</v>
      </c>
      <c r="U52" s="61">
        <v>3.8342427336113566E-2</v>
      </c>
    </row>
    <row r="53" spans="1:35">
      <c r="A53" s="47">
        <v>45447.625</v>
      </c>
      <c r="B53" s="48">
        <v>3615.6714000000002</v>
      </c>
      <c r="C53" s="49">
        <v>7.5020864517023611E-3</v>
      </c>
      <c r="D53" s="85" t="b">
        <v>0</v>
      </c>
      <c r="E53" s="106">
        <v>2923217.7671484523</v>
      </c>
      <c r="F53" s="25">
        <v>202923217.76714846</v>
      </c>
      <c r="G53" s="106">
        <v>4480.9254067298807</v>
      </c>
      <c r="H53" s="106">
        <v>16201553.838646598</v>
      </c>
      <c r="I53" s="106">
        <v>-5500718.8777665086</v>
      </c>
      <c r="J53" s="106">
        <v>-355930.65924695297</v>
      </c>
      <c r="K53" s="106">
        <v>56990.167193996916</v>
      </c>
      <c r="L53" s="106">
        <v>-756847.62053124909</v>
      </c>
      <c r="M53" s="106">
        <v>-258109.30241407437</v>
      </c>
      <c r="N53" s="53">
        <v>10.580278330084639</v>
      </c>
      <c r="O53" s="54">
        <v>8.0735700845312564E-2</v>
      </c>
      <c r="P53" s="54">
        <v>-7.5812260738513954E-4</v>
      </c>
      <c r="Q53" s="54">
        <v>-641.30304832742695</v>
      </c>
      <c r="R53" s="54">
        <v>248.49245248198167</v>
      </c>
      <c r="S53" s="54">
        <v>-1363.6607961588652</v>
      </c>
      <c r="T53" s="55">
        <v>-465.05204915479226</v>
      </c>
      <c r="U53" s="61">
        <v>0.1167050764670222</v>
      </c>
    </row>
    <row r="54" spans="1:35">
      <c r="A54" s="47">
        <v>45448.625</v>
      </c>
      <c r="B54" s="48">
        <v>3594.7936</v>
      </c>
      <c r="C54" s="49">
        <v>-5.7742526049242571E-3</v>
      </c>
      <c r="D54" s="85" t="b">
        <v>0</v>
      </c>
      <c r="E54" s="106">
        <v>2880646.8895174391</v>
      </c>
      <c r="F54" s="25">
        <v>202880646.88951743</v>
      </c>
      <c r="G54" s="106">
        <v>5263.1432468422945</v>
      </c>
      <c r="H54" s="106">
        <v>18919913.6596319</v>
      </c>
      <c r="I54" s="106">
        <v>-6096787.1495892331</v>
      </c>
      <c r="J54" s="106">
        <v>-405420.23589022865</v>
      </c>
      <c r="K54" s="106">
        <v>60647.756028782162</v>
      </c>
      <c r="L54" s="106">
        <v>-861093.16691336618</v>
      </c>
      <c r="M54" s="106">
        <v>-301278.25321303686</v>
      </c>
      <c r="N54" s="53">
        <v>9.8132515824449911</v>
      </c>
      <c r="O54" s="54">
        <v>9.482942029003559E-2</v>
      </c>
      <c r="P54" s="54">
        <v>-8.5006281498197671E-4</v>
      </c>
      <c r="Q54" s="54">
        <v>-730.47158589852188</v>
      </c>
      <c r="R54" s="54">
        <v>264.44052325413122</v>
      </c>
      <c r="S54" s="54">
        <v>-1551.4866687904942</v>
      </c>
      <c r="T54" s="55">
        <v>-542.83231062213417</v>
      </c>
      <c r="U54" s="61">
        <v>8.9826289810972626E-2</v>
      </c>
    </row>
    <row r="55" spans="1:35">
      <c r="A55" s="47">
        <v>45449.625</v>
      </c>
      <c r="B55" s="48">
        <v>3592.2453999999998</v>
      </c>
      <c r="C55" s="49">
        <v>-7.0885850024882124E-4</v>
      </c>
      <c r="D55" s="85" t="b">
        <v>0</v>
      </c>
      <c r="E55" s="106">
        <v>2928133.9925248455</v>
      </c>
      <c r="F55" s="25">
        <v>202928133.99252483</v>
      </c>
      <c r="G55" s="106">
        <v>5243.6784309417735</v>
      </c>
      <c r="H55" s="106">
        <v>18836579.722629804</v>
      </c>
      <c r="I55" s="106">
        <v>-6300282.7550835842</v>
      </c>
      <c r="J55" s="106">
        <v>-404745.74703678832</v>
      </c>
      <c r="K55" s="106">
        <v>61646.612458964781</v>
      </c>
      <c r="L55" s="106">
        <v>-857565.14486191748</v>
      </c>
      <c r="M55" s="106">
        <v>-300597.79819925578</v>
      </c>
      <c r="N55" s="53">
        <v>10.668857109075361</v>
      </c>
      <c r="O55" s="54">
        <v>9.4478710244473726E-2</v>
      </c>
      <c r="P55" s="54">
        <v>-8.7968249828309633E-4</v>
      </c>
      <c r="Q55" s="54">
        <v>-729.25631616399187</v>
      </c>
      <c r="R55" s="54">
        <v>268.79580586224438</v>
      </c>
      <c r="S55" s="54">
        <v>-1545.1300056669879</v>
      </c>
      <c r="T55" s="55">
        <v>-541.60629127468383</v>
      </c>
      <c r="U55" s="61">
        <v>1.1027250353408685E-2</v>
      </c>
      <c r="AI55"/>
    </row>
    <row r="56" spans="1:35">
      <c r="A56" s="47">
        <v>45450.625</v>
      </c>
      <c r="B56" s="48">
        <v>3574.1143000000002</v>
      </c>
      <c r="C56" s="49">
        <v>-5.047288807162098E-3</v>
      </c>
      <c r="D56" s="85" t="b">
        <v>0</v>
      </c>
      <c r="E56" s="106">
        <v>2888297.2092674784</v>
      </c>
      <c r="F56" s="25">
        <v>202888297.20926747</v>
      </c>
      <c r="G56" s="106">
        <v>6048.2928235816189</v>
      </c>
      <c r="H56" s="106">
        <v>21617289.871350441</v>
      </c>
      <c r="I56" s="106">
        <v>-6838314.6781993089</v>
      </c>
      <c r="J56" s="106">
        <v>-452931.69420032139</v>
      </c>
      <c r="K56" s="106">
        <v>65463.772356584894</v>
      </c>
      <c r="L56" s="106">
        <v>-965727.51863229368</v>
      </c>
      <c r="M56" s="106">
        <v>-344625.39302549075</v>
      </c>
      <c r="N56" s="53">
        <v>9.9510922895860858</v>
      </c>
      <c r="O56" s="54">
        <v>0.10897596270987711</v>
      </c>
      <c r="P56" s="54">
        <v>-9.645175024114509E-4</v>
      </c>
      <c r="Q56" s="54">
        <v>-816.07602106914783</v>
      </c>
      <c r="R56" s="54">
        <v>285.43964937382134</v>
      </c>
      <c r="S56" s="54">
        <v>-1740.0130768809959</v>
      </c>
      <c r="T56" s="55">
        <v>-620.93362663918015</v>
      </c>
      <c r="U56" s="61">
        <v>7.8517387127328156E-2</v>
      </c>
    </row>
    <row r="57" spans="1:35">
      <c r="A57" s="47">
        <v>45454.625</v>
      </c>
      <c r="B57" s="48">
        <v>3542.8771000000002</v>
      </c>
      <c r="C57" s="49">
        <v>-8.7398436026514537E-3</v>
      </c>
      <c r="D57" s="85" t="b">
        <v>0</v>
      </c>
      <c r="E57" s="106">
        <v>2741448.5455306415</v>
      </c>
      <c r="F57" s="25">
        <v>202741448.54553065</v>
      </c>
      <c r="G57" s="106">
        <v>7719.3569844820522</v>
      </c>
      <c r="H57" s="106">
        <v>27348733.087046519</v>
      </c>
      <c r="I57" s="106">
        <v>-7353345.9666729616</v>
      </c>
      <c r="J57" s="106">
        <v>-551824.90237020084</v>
      </c>
      <c r="K57" s="106">
        <v>69032.842964472162</v>
      </c>
      <c r="L57" s="106">
        <v>-1184737.0608791132</v>
      </c>
      <c r="M57" s="106">
        <v>-434706.65230602317</v>
      </c>
      <c r="N57" s="53">
        <v>7.3052259318947108</v>
      </c>
      <c r="O57" s="54">
        <v>0.13908459517788319</v>
      </c>
      <c r="P57" s="54">
        <v>-1.0555303625055042E-3</v>
      </c>
      <c r="Q57" s="54">
        <v>-994.25824339414248</v>
      </c>
      <c r="R57" s="54">
        <v>301.00175687591491</v>
      </c>
      <c r="S57" s="54">
        <v>-2134.6165857577944</v>
      </c>
      <c r="T57" s="55">
        <v>-783.23879668550944</v>
      </c>
      <c r="U57" s="61">
        <v>0.13596005891478358</v>
      </c>
    </row>
    <row r="58" spans="1:35">
      <c r="A58" s="47">
        <v>45455.625</v>
      </c>
      <c r="B58" s="48">
        <v>3544.1224999999999</v>
      </c>
      <c r="C58" s="49">
        <v>3.5152221340095657E-4</v>
      </c>
      <c r="D58" s="85" t="b">
        <v>0</v>
      </c>
      <c r="E58" s="106">
        <v>2819979.1597041464</v>
      </c>
      <c r="F58" s="25">
        <v>202819979.15970415</v>
      </c>
      <c r="G58" s="106">
        <v>7606.7282395132042</v>
      </c>
      <c r="H58" s="106">
        <v>26959176.705044135</v>
      </c>
      <c r="I58" s="106">
        <v>-7543108.6479923707</v>
      </c>
      <c r="J58" s="106">
        <v>-550148.27053169813</v>
      </c>
      <c r="K58" s="106">
        <v>70027.188606119016</v>
      </c>
      <c r="L58" s="106">
        <v>-1178850.0397675708</v>
      </c>
      <c r="M58" s="106">
        <v>-430551.26353381725</v>
      </c>
      <c r="N58" s="53">
        <v>8.7201622670518191</v>
      </c>
      <c r="O58" s="54">
        <v>0.13705529099738267</v>
      </c>
      <c r="P58" s="54">
        <v>-1.0820088659007773E-3</v>
      </c>
      <c r="Q58" s="54">
        <v>-991.23734850627443</v>
      </c>
      <c r="R58" s="54">
        <v>305.33737123315132</v>
      </c>
      <c r="S58" s="54">
        <v>-2124.0095630517771</v>
      </c>
      <c r="T58" s="55">
        <v>-775.75176678974458</v>
      </c>
      <c r="U58" s="61">
        <v>5.4684022983374631E-3</v>
      </c>
    </row>
    <row r="59" spans="1:35">
      <c r="A59" s="47">
        <v>45456.625</v>
      </c>
      <c r="B59" s="48">
        <v>3526.1306</v>
      </c>
      <c r="C59" s="49">
        <v>-5.076545745808736E-3</v>
      </c>
      <c r="D59" s="85" t="b">
        <v>0</v>
      </c>
      <c r="E59" s="106">
        <v>2743505.5206059753</v>
      </c>
      <c r="F59" s="25">
        <v>202743505.52060598</v>
      </c>
      <c r="G59" s="106">
        <v>8704.1771631397878</v>
      </c>
      <c r="H59" s="106">
        <v>30692065.442768399</v>
      </c>
      <c r="I59" s="106">
        <v>-7521865.9919558866</v>
      </c>
      <c r="J59" s="106">
        <v>-615242.32155579806</v>
      </c>
      <c r="K59" s="106">
        <v>67825.535628870712</v>
      </c>
      <c r="L59" s="106">
        <v>-1323359.002487537</v>
      </c>
      <c r="M59" s="106">
        <v>-489597.45699483022</v>
      </c>
      <c r="N59" s="53">
        <v>7.3422877682910439</v>
      </c>
      <c r="O59" s="54">
        <v>0.15682873062167396</v>
      </c>
      <c r="P59" s="54">
        <v>-1.0900005322780663E-3</v>
      </c>
      <c r="Q59" s="54">
        <v>-1108.5214662556609</v>
      </c>
      <c r="R59" s="54">
        <v>295.73757227189617</v>
      </c>
      <c r="S59" s="54">
        <v>-2384.3806097579545</v>
      </c>
      <c r="T59" s="55">
        <v>-882.13907250483317</v>
      </c>
      <c r="U59" s="61">
        <v>7.8972518281031676E-2</v>
      </c>
    </row>
    <row r="60" spans="1:35">
      <c r="A60" s="47">
        <v>45457.625</v>
      </c>
      <c r="B60" s="48">
        <v>3541.5331000000001</v>
      </c>
      <c r="C60" s="49">
        <v>4.3681025314263877E-3</v>
      </c>
      <c r="D60" s="85" t="b">
        <v>0</v>
      </c>
      <c r="E60" s="106">
        <v>2941076.2545312182</v>
      </c>
      <c r="F60" s="25">
        <v>202941076.2545312</v>
      </c>
      <c r="G60" s="106">
        <v>7829.3497772521696</v>
      </c>
      <c r="H60" s="106">
        <v>27727901.387616187</v>
      </c>
      <c r="I60" s="106">
        <v>-7830908.5841292748</v>
      </c>
      <c r="J60" s="106">
        <v>-573850.05149205332</v>
      </c>
      <c r="K60" s="106">
        <v>68433.731683636928</v>
      </c>
      <c r="L60" s="106">
        <v>-1235313.9803373066</v>
      </c>
      <c r="M60" s="106">
        <v>-447898.73573630833</v>
      </c>
      <c r="N60" s="53">
        <v>10.902046126691857</v>
      </c>
      <c r="O60" s="54">
        <v>0.14106640572060977</v>
      </c>
      <c r="P60" s="54">
        <v>-1.1249350516777093E-3</v>
      </c>
      <c r="Q60" s="54">
        <v>-1033.9423641765279</v>
      </c>
      <c r="R60" s="54">
        <v>298.38947060243208</v>
      </c>
      <c r="S60" s="54">
        <v>-2225.7442584684668</v>
      </c>
      <c r="T60" s="55">
        <v>-807.00781769519381</v>
      </c>
      <c r="U60" s="61">
        <v>6.7951728259573907E-2</v>
      </c>
    </row>
    <row r="61" spans="1:35">
      <c r="A61" s="47">
        <v>45460.625</v>
      </c>
      <c r="B61" s="48">
        <v>3536.1986000000002</v>
      </c>
      <c r="C61" s="49">
        <v>-1.5062685705238277E-3</v>
      </c>
      <c r="D61" s="85" t="b">
        <v>0</v>
      </c>
      <c r="E61" s="106">
        <v>2965833.165079427</v>
      </c>
      <c r="F61" s="25">
        <v>202965833.16507941</v>
      </c>
      <c r="G61" s="106">
        <v>8325.672256333215</v>
      </c>
      <c r="H61" s="106">
        <v>29441230.576904356</v>
      </c>
      <c r="I61" s="106">
        <v>-7076792.7607162753</v>
      </c>
      <c r="J61" s="106">
        <v>-611354.0767257195</v>
      </c>
      <c r="K61" s="106">
        <v>63596.099646757815</v>
      </c>
      <c r="L61" s="106">
        <v>-1319719.9246498581</v>
      </c>
      <c r="M61" s="106">
        <v>-478177.53191153059</v>
      </c>
      <c r="N61" s="53">
        <v>11.348107228461686</v>
      </c>
      <c r="O61" s="54">
        <v>0.15000896547259959</v>
      </c>
      <c r="P61" s="54">
        <v>-1.0196733934025063E-3</v>
      </c>
      <c r="Q61" s="54">
        <v>-1101.5157666976393</v>
      </c>
      <c r="R61" s="54">
        <v>277.29609417913707</v>
      </c>
      <c r="S61" s="54">
        <v>-2377.8238503168268</v>
      </c>
      <c r="T61" s="55">
        <v>-861.56306260704696</v>
      </c>
      <c r="U61" s="61">
        <v>2.3432039851122449E-2</v>
      </c>
    </row>
    <row r="62" spans="1:35">
      <c r="A62" s="47">
        <v>45461.625</v>
      </c>
      <c r="B62" s="48">
        <v>3545.5902000000001</v>
      </c>
      <c r="C62" s="49">
        <v>2.655846309084442E-3</v>
      </c>
      <c r="D62" s="85" t="b">
        <v>0</v>
      </c>
      <c r="E62" s="106">
        <v>3106169.3588804947</v>
      </c>
      <c r="F62" s="25">
        <v>203106169.35888049</v>
      </c>
      <c r="G62" s="106">
        <v>7943.454561721036</v>
      </c>
      <c r="H62" s="106">
        <v>28164234.648183402</v>
      </c>
      <c r="I62" s="106">
        <v>-5859007.8749592565</v>
      </c>
      <c r="J62" s="106">
        <v>-603334.32880628132</v>
      </c>
      <c r="K62" s="106">
        <v>-1107917.8079776361</v>
      </c>
      <c r="L62" s="106">
        <v>-1295781.5268823931</v>
      </c>
      <c r="M62" s="106">
        <v>-462620.03479022428</v>
      </c>
      <c r="N62" s="53">
        <v>13.876634247339553</v>
      </c>
      <c r="O62" s="54">
        <v>0.14312230464944739</v>
      </c>
      <c r="P62" s="54">
        <v>-8.3974013456628916E-4</v>
      </c>
      <c r="Q62" s="54">
        <v>-1087.0660736073205</v>
      </c>
      <c r="R62" s="54">
        <v>-4830.8195397227018</v>
      </c>
      <c r="S62" s="54">
        <v>-2334.6925070017278</v>
      </c>
      <c r="T62" s="55">
        <v>-833.53212436377362</v>
      </c>
      <c r="U62" s="61">
        <v>4.1315272568743192E-2</v>
      </c>
    </row>
    <row r="63" spans="1:35">
      <c r="A63" s="47">
        <v>45462.625</v>
      </c>
      <c r="B63" s="48">
        <v>3528.7489999999998</v>
      </c>
      <c r="C63" s="49">
        <v>-4.7499003127886574E-3</v>
      </c>
      <c r="D63" s="85" t="b">
        <v>0</v>
      </c>
      <c r="E63" s="106">
        <v>3027831.4322732915</v>
      </c>
      <c r="F63" s="25">
        <v>203027831.4322733</v>
      </c>
      <c r="G63" s="106">
        <v>8645.5715945946595</v>
      </c>
      <c r="H63" s="106">
        <v>30508052.118854307</v>
      </c>
      <c r="I63" s="106">
        <v>-6115061.052973547</v>
      </c>
      <c r="J63" s="106">
        <v>-635591.49275732483</v>
      </c>
      <c r="K63" s="106">
        <v>62328.340701726091</v>
      </c>
      <c r="L63" s="106">
        <v>-1362915.1054370399</v>
      </c>
      <c r="M63" s="106">
        <v>-496033.53953419934</v>
      </c>
      <c r="N63" s="53">
        <v>-8.5794338326154502</v>
      </c>
      <c r="O63" s="54">
        <v>0.15577279658563251</v>
      </c>
      <c r="P63" s="54">
        <v>-8.8482455535803277E-4</v>
      </c>
      <c r="Q63" s="54">
        <v>-1145.1858703564085</v>
      </c>
      <c r="R63" s="54">
        <v>271.76832430377362</v>
      </c>
      <c r="S63" s="54">
        <v>-2455.651372032662</v>
      </c>
      <c r="T63" s="55">
        <v>-893.73537432529702</v>
      </c>
      <c r="U63" s="61">
        <v>7.3891107864925185E-2</v>
      </c>
    </row>
    <row r="64" spans="1:35">
      <c r="A64" s="47">
        <v>45463.625</v>
      </c>
      <c r="B64" s="48">
        <v>3503.2817</v>
      </c>
      <c r="C64" s="49">
        <v>-7.2170902492638689E-3</v>
      </c>
      <c r="D64" s="85" t="b">
        <v>0</v>
      </c>
      <c r="E64" s="106">
        <v>2856471.0407624329</v>
      </c>
      <c r="F64" s="25">
        <v>202856471.04076242</v>
      </c>
      <c r="G64" s="106">
        <v>9848.6157761523882</v>
      </c>
      <c r="H64" s="106">
        <v>34502475.418925956</v>
      </c>
      <c r="I64" s="106">
        <v>-6521021.2731608758</v>
      </c>
      <c r="J64" s="106">
        <v>-688535.97853709641</v>
      </c>
      <c r="K64" s="106">
        <v>65092.687565516608</v>
      </c>
      <c r="L64" s="106">
        <v>-1473512.3134558031</v>
      </c>
      <c r="M64" s="106">
        <v>-551592.85315842379</v>
      </c>
      <c r="N64" s="53">
        <v>-11.66694367711716</v>
      </c>
      <c r="O64" s="54">
        <v>0.1774488135530343</v>
      </c>
      <c r="P64" s="54">
        <v>-9.5733381929737126E-4</v>
      </c>
      <c r="Q64" s="54">
        <v>-1240.579338832913</v>
      </c>
      <c r="R64" s="54">
        <v>283.821619907485</v>
      </c>
      <c r="S64" s="54">
        <v>-2654.9214399413813</v>
      </c>
      <c r="T64" s="55">
        <v>-993.84014547813422</v>
      </c>
      <c r="U64" s="61">
        <v>0.11227157602517543</v>
      </c>
    </row>
    <row r="65" spans="1:21">
      <c r="A65" s="47">
        <v>45464.625</v>
      </c>
      <c r="B65" s="48">
        <v>3495.6197999999999</v>
      </c>
      <c r="C65" s="49">
        <v>-2.1870636323650938E-3</v>
      </c>
      <c r="D65" s="85" t="b">
        <v>0</v>
      </c>
      <c r="E65" s="106">
        <v>2845225.6526872893</v>
      </c>
      <c r="F65" s="25">
        <v>202845225.65268728</v>
      </c>
      <c r="G65" s="106">
        <v>10167.143627003976</v>
      </c>
      <c r="H65" s="106">
        <v>35540468.571998909</v>
      </c>
      <c r="I65" s="106">
        <v>-6654725.3079496063</v>
      </c>
      <c r="J65" s="106">
        <v>-702420.24264568405</v>
      </c>
      <c r="K65" s="106">
        <v>65478.280146077879</v>
      </c>
      <c r="L65" s="106">
        <v>-1501417.9028947663</v>
      </c>
      <c r="M65" s="106">
        <v>-565990.52706003294</v>
      </c>
      <c r="N65" s="53">
        <v>-11.869559031115386</v>
      </c>
      <c r="O65" s="54">
        <v>0.18318793369965189</v>
      </c>
      <c r="P65" s="54">
        <v>-9.8124997234640457E-4</v>
      </c>
      <c r="Q65" s="54">
        <v>-1265.5955060702581</v>
      </c>
      <c r="R65" s="54">
        <v>285.50290723686521</v>
      </c>
      <c r="S65" s="54">
        <v>-2705.2007263912856</v>
      </c>
      <c r="T65" s="55">
        <v>-1019.7813559977931</v>
      </c>
      <c r="U65" s="61">
        <v>3.402272555730048E-2</v>
      </c>
    </row>
    <row r="66" spans="1:21">
      <c r="A66" s="47">
        <v>45467.625</v>
      </c>
      <c r="B66" s="48">
        <v>3476.8101999999999</v>
      </c>
      <c r="C66" s="49">
        <v>-5.380905555003479E-3</v>
      </c>
      <c r="D66" s="85" t="b">
        <v>0</v>
      </c>
      <c r="E66" s="106">
        <v>2711279.0531851188</v>
      </c>
      <c r="F66" s="25">
        <v>202711279.05318511</v>
      </c>
      <c r="G66" s="106">
        <v>11127.17110272514</v>
      </c>
      <c r="H66" s="106">
        <v>38687061.987100013</v>
      </c>
      <c r="I66" s="106">
        <v>-6892184.1697249068</v>
      </c>
      <c r="J66" s="106">
        <v>-739605.38008112682</v>
      </c>
      <c r="K66" s="106">
        <v>67949.097853694839</v>
      </c>
      <c r="L66" s="106">
        <v>-1583623.5946493873</v>
      </c>
      <c r="M66" s="106">
        <v>-608395.15406791482</v>
      </c>
      <c r="N66" s="53">
        <v>-14.282960640169676</v>
      </c>
      <c r="O66" s="54">
        <v>0.20048536314730458</v>
      </c>
      <c r="P66" s="54">
        <v>-1.0272894145860363E-3</v>
      </c>
      <c r="Q66" s="54">
        <v>-1332.5943480364913</v>
      </c>
      <c r="R66" s="54">
        <v>296.27633679554037</v>
      </c>
      <c r="S66" s="54">
        <v>-2853.3159823898586</v>
      </c>
      <c r="T66" s="55">
        <v>-1096.1844863740225</v>
      </c>
      <c r="U66" s="61">
        <v>8.37072457510811E-2</v>
      </c>
    </row>
    <row r="67" spans="1:21">
      <c r="A67" s="47">
        <v>45468.625</v>
      </c>
      <c r="B67" s="48">
        <v>3457.9023000000002</v>
      </c>
      <c r="C67" s="49">
        <v>-5.4382893837574553E-3</v>
      </c>
      <c r="D67" s="85" t="b">
        <v>0</v>
      </c>
      <c r="E67" s="106">
        <v>2560075.5560977655</v>
      </c>
      <c r="F67" s="25">
        <v>202560075.55609778</v>
      </c>
      <c r="G67" s="106">
        <v>12152.440908986846</v>
      </c>
      <c r="H67" s="106">
        <v>42021953.369799711</v>
      </c>
      <c r="I67" s="106">
        <v>-7127220.5836465023</v>
      </c>
      <c r="J67" s="106">
        <v>-777274.57925577136</v>
      </c>
      <c r="K67" s="106">
        <v>69779.533563858015</v>
      </c>
      <c r="L67" s="106">
        <v>-1666634.3708630917</v>
      </c>
      <c r="M67" s="106">
        <v>-652165.16888129222</v>
      </c>
      <c r="N67" s="53">
        <v>-17.007290817430658</v>
      </c>
      <c r="O67" s="54">
        <v>0.21895830541939773</v>
      </c>
      <c r="P67" s="54">
        <v>-1.0739712819649314E-3</v>
      </c>
      <c r="Q67" s="54">
        <v>-1400.4653550181956</v>
      </c>
      <c r="R67" s="54">
        <v>304.25752865940558</v>
      </c>
      <c r="S67" s="54">
        <v>-3002.8818105837672</v>
      </c>
      <c r="T67" s="55">
        <v>-1175.0477233442325</v>
      </c>
      <c r="U67" s="61">
        <v>8.4599928628813562E-2</v>
      </c>
    </row>
    <row r="68" spans="1:21">
      <c r="A68" s="47">
        <v>45469.625</v>
      </c>
      <c r="B68" s="48">
        <v>3480.2647999999999</v>
      </c>
      <c r="C68" s="49">
        <v>6.467071091048382E-3</v>
      </c>
      <c r="D68" s="85" t="b">
        <v>0</v>
      </c>
      <c r="E68" s="106">
        <v>2884782.7731883163</v>
      </c>
      <c r="F68" s="25">
        <v>202884782.77318832</v>
      </c>
      <c r="G68" s="106">
        <v>10762.999311966058</v>
      </c>
      <c r="H68" s="106">
        <v>37458087.647859685</v>
      </c>
      <c r="I68" s="106">
        <v>-6981040.2957433891</v>
      </c>
      <c r="J68" s="106">
        <v>-727593.13646123873</v>
      </c>
      <c r="K68" s="106">
        <v>68000.989078109313</v>
      </c>
      <c r="L68" s="106">
        <v>-1553897.6912195212</v>
      </c>
      <c r="M68" s="106">
        <v>-592779.83919274865</v>
      </c>
      <c r="N68" s="53">
        <v>-11.15683307449126</v>
      </c>
      <c r="O68" s="54">
        <v>0.1939238469232521</v>
      </c>
      <c r="P68" s="54">
        <v>-1.0384688456378892E-3</v>
      </c>
      <c r="Q68" s="54">
        <v>-1310.9511199229473</v>
      </c>
      <c r="R68" s="54">
        <v>296.5025964864999</v>
      </c>
      <c r="S68" s="54">
        <v>-2799.7569197224493</v>
      </c>
      <c r="T68" s="55">
        <v>-1068.0493741832834</v>
      </c>
      <c r="U68" s="61">
        <v>0.10060401610370749</v>
      </c>
    </row>
    <row r="69" spans="1:21">
      <c r="A69" s="47">
        <v>45470.625</v>
      </c>
      <c r="B69" s="48">
        <v>3454.1174999999998</v>
      </c>
      <c r="C69" s="49">
        <v>-7.5130202736297669E-3</v>
      </c>
      <c r="D69" s="85" t="b">
        <v>0</v>
      </c>
      <c r="E69" s="106">
        <v>2653655.0508854748</v>
      </c>
      <c r="F69" s="25">
        <v>202653655.05088547</v>
      </c>
      <c r="G69" s="106">
        <v>12235.000321931231</v>
      </c>
      <c r="H69" s="106">
        <v>42261128.724488296</v>
      </c>
      <c r="I69" s="106">
        <v>-7259297.3853995688</v>
      </c>
      <c r="J69" s="106">
        <v>-782599.32338182698</v>
      </c>
      <c r="K69" s="106">
        <v>70370.065180154896</v>
      </c>
      <c r="L69" s="106">
        <v>-1674570.9751778201</v>
      </c>
      <c r="M69" s="106">
        <v>-655452.41869616229</v>
      </c>
      <c r="N69" s="53">
        <v>-15.321209168963833</v>
      </c>
      <c r="O69" s="54">
        <v>0.22044583120044101</v>
      </c>
      <c r="P69" s="54">
        <v>-1.0962718925984593E-3</v>
      </c>
      <c r="Q69" s="54">
        <v>-1410.0592872937341</v>
      </c>
      <c r="R69" s="54">
        <v>306.83240528860097</v>
      </c>
      <c r="S69" s="54">
        <v>-3017.1816985202895</v>
      </c>
      <c r="T69" s="55">
        <v>-1180.9705717196721</v>
      </c>
      <c r="U69" s="61">
        <v>0.11687516681886362</v>
      </c>
    </row>
    <row r="70" spans="1:21">
      <c r="A70" s="47">
        <v>45471.625</v>
      </c>
      <c r="B70" s="48">
        <v>3461.6570000000002</v>
      </c>
      <c r="C70" s="49">
        <v>2.1827572455193067E-3</v>
      </c>
      <c r="D70" s="85" t="b">
        <v>0</v>
      </c>
      <c r="E70" s="106">
        <v>2813861.0747133824</v>
      </c>
      <c r="F70" s="25">
        <v>202813861.07471338</v>
      </c>
      <c r="G70" s="106">
        <v>11706.936561444822</v>
      </c>
      <c r="H70" s="106">
        <v>40525398.896481395</v>
      </c>
      <c r="I70" s="106">
        <v>-7257939.2323685205</v>
      </c>
      <c r="J70" s="106">
        <v>-765531.57082172378</v>
      </c>
      <c r="K70" s="106">
        <v>69315.421073014979</v>
      </c>
      <c r="L70" s="106">
        <v>-1634124.7955795578</v>
      </c>
      <c r="M70" s="106">
        <v>-633432.39136337757</v>
      </c>
      <c r="N70" s="53">
        <v>-12.434674705801172</v>
      </c>
      <c r="O70" s="54">
        <v>0.21093136846695065</v>
      </c>
      <c r="P70" s="54">
        <v>-1.0912975148912969E-3</v>
      </c>
      <c r="Q70" s="54">
        <v>-1379.3072251700323</v>
      </c>
      <c r="R70" s="54">
        <v>302.23387340876343</v>
      </c>
      <c r="S70" s="54">
        <v>-2944.3072281826062</v>
      </c>
      <c r="T70" s="55">
        <v>-1141.2956791924444</v>
      </c>
      <c r="U70" s="61">
        <v>3.3955733899796975E-2</v>
      </c>
    </row>
    <row r="71" spans="1:21">
      <c r="A71" s="47">
        <v>45474.625</v>
      </c>
      <c r="B71" s="48">
        <v>3478.1826999999998</v>
      </c>
      <c r="C71" s="49">
        <v>4.7739276306115741E-3</v>
      </c>
      <c r="D71" s="85" t="b">
        <v>0</v>
      </c>
      <c r="E71" s="106">
        <v>3067904.6189604355</v>
      </c>
      <c r="F71" s="25">
        <v>203067904.61896044</v>
      </c>
      <c r="G71" s="106">
        <v>10641.348352325842</v>
      </c>
      <c r="H71" s="106">
        <v>37012553.74373325</v>
      </c>
      <c r="I71" s="106">
        <v>-7186522.5387899838</v>
      </c>
      <c r="J71" s="106">
        <v>-727147.93412457604</v>
      </c>
      <c r="K71" s="106">
        <v>68112.077984050542</v>
      </c>
      <c r="L71" s="106">
        <v>-1547705.3944192436</v>
      </c>
      <c r="M71" s="106">
        <v>-588483.19646598224</v>
      </c>
      <c r="N71" s="53">
        <v>-7.8574095812336964</v>
      </c>
      <c r="O71" s="54">
        <v>0.19173198372680017</v>
      </c>
      <c r="P71" s="54">
        <v>-1.0703157493612526E-3</v>
      </c>
      <c r="Q71" s="54">
        <v>-1310.1489703800326</v>
      </c>
      <c r="R71" s="54">
        <v>296.9869739859887</v>
      </c>
      <c r="S71" s="54">
        <v>-2788.5998622703937</v>
      </c>
      <c r="T71" s="55">
        <v>-1060.307837997334</v>
      </c>
      <c r="U71" s="61">
        <v>7.4264885210983969E-2</v>
      </c>
    </row>
    <row r="72" spans="1:21">
      <c r="A72" s="47">
        <v>45475.625</v>
      </c>
      <c r="B72" s="48">
        <v>3471.7856999999999</v>
      </c>
      <c r="C72" s="49">
        <v>-1.8391788332452474E-3</v>
      </c>
      <c r="D72" s="85" t="b">
        <v>0</v>
      </c>
      <c r="E72" s="106">
        <v>3067351.9738882869</v>
      </c>
      <c r="F72" s="25">
        <v>203067351.97388828</v>
      </c>
      <c r="G72" s="106">
        <v>10949.444909371317</v>
      </c>
      <c r="H72" s="106">
        <v>38014126.259293132</v>
      </c>
      <c r="I72" s="106">
        <v>-7303254.1969074868</v>
      </c>
      <c r="J72" s="106">
        <v>-739639.33140344592</v>
      </c>
      <c r="K72" s="106">
        <v>69984.45296770928</v>
      </c>
      <c r="L72" s="106">
        <v>-1576009.0682612509</v>
      </c>
      <c r="M72" s="106">
        <v>-602085.0273792462</v>
      </c>
      <c r="N72" s="53">
        <v>-7.8673669411914489</v>
      </c>
      <c r="O72" s="54">
        <v>0.197283156576885</v>
      </c>
      <c r="P72" s="54">
        <v>-1.0917130511852019E-3</v>
      </c>
      <c r="Q72" s="54">
        <v>-1332.6555203067983</v>
      </c>
      <c r="R72" s="54">
        <v>305.15103235892639</v>
      </c>
      <c r="S72" s="54">
        <v>-2839.596402866664</v>
      </c>
      <c r="T72" s="55">
        <v>-1084.8151272709401</v>
      </c>
      <c r="U72" s="61">
        <v>2.8610908145654493E-2</v>
      </c>
    </row>
    <row r="73" spans="1:21">
      <c r="A73" s="47">
        <v>45476.625</v>
      </c>
      <c r="B73" s="48">
        <v>3463.4141</v>
      </c>
      <c r="C73" s="49">
        <v>-2.4113239477885351E-3</v>
      </c>
      <c r="D73" s="85" t="b">
        <v>0</v>
      </c>
      <c r="E73" s="106">
        <v>3044346.4900457012</v>
      </c>
      <c r="F73" s="25">
        <v>203044346.4900457</v>
      </c>
      <c r="G73" s="106">
        <v>11395.551197974042</v>
      </c>
      <c r="H73" s="106">
        <v>39467512.696335189</v>
      </c>
      <c r="I73" s="106">
        <v>-7428993.7417218741</v>
      </c>
      <c r="J73" s="106">
        <v>-757756.57663472218</v>
      </c>
      <c r="K73" s="106">
        <v>70538.348137818</v>
      </c>
      <c r="L73" s="106">
        <v>-1615186.4679041272</v>
      </c>
      <c r="M73" s="106">
        <v>-621096.47582559846</v>
      </c>
      <c r="N73" s="53">
        <v>-8.2818714670929694</v>
      </c>
      <c r="O73" s="54">
        <v>0.20532093908666502</v>
      </c>
      <c r="P73" s="54">
        <v>-1.1158840150928466E-3</v>
      </c>
      <c r="Q73" s="54">
        <v>-1365.2985205436835</v>
      </c>
      <c r="R73" s="54">
        <v>307.56616423193373</v>
      </c>
      <c r="S73" s="54">
        <v>-2910.1848311568119</v>
      </c>
      <c r="T73" s="55">
        <v>-1119.0692706694335</v>
      </c>
      <c r="U73" s="61">
        <v>3.7511397332613369E-2</v>
      </c>
    </row>
    <row r="74" spans="1:21">
      <c r="A74" s="47">
        <v>45477.625</v>
      </c>
      <c r="B74" s="48">
        <v>3445.8128000000002</v>
      </c>
      <c r="C74" s="49">
        <v>-5.0820662767411262E-3</v>
      </c>
      <c r="D74" s="85" t="b">
        <v>0</v>
      </c>
      <c r="E74" s="106">
        <v>2906001.9239748418</v>
      </c>
      <c r="F74" s="25">
        <v>202906001.92397484</v>
      </c>
      <c r="G74" s="106">
        <v>12445.912837446363</v>
      </c>
      <c r="H74" s="106">
        <v>42886285.762956999</v>
      </c>
      <c r="I74" s="106">
        <v>-7561630.5859055705</v>
      </c>
      <c r="J74" s="106">
        <v>-795578.66292657738</v>
      </c>
      <c r="K74" s="106">
        <v>71951.743822987817</v>
      </c>
      <c r="L74" s="106">
        <v>-1699694.1390098301</v>
      </c>
      <c r="M74" s="106">
        <v>-664159.24769464252</v>
      </c>
      <c r="N74" s="53">
        <v>-10.774514054513929</v>
      </c>
      <c r="O74" s="54">
        <v>0.22424597697648707</v>
      </c>
      <c r="P74" s="54">
        <v>-1.1474400440156967E-3</v>
      </c>
      <c r="Q74" s="54">
        <v>-1433.4449940292416</v>
      </c>
      <c r="R74" s="54">
        <v>313.728949453106</v>
      </c>
      <c r="S74" s="54">
        <v>-3062.4477106789072</v>
      </c>
      <c r="T74" s="55">
        <v>-1196.6582227632898</v>
      </c>
      <c r="U74" s="61">
        <v>7.9058397587908627E-2</v>
      </c>
    </row>
    <row r="75" spans="1:21">
      <c r="A75" s="47">
        <v>45478.625</v>
      </c>
      <c r="B75" s="48">
        <v>3431.0605</v>
      </c>
      <c r="C75" s="49">
        <v>-4.2812250276625941E-3</v>
      </c>
      <c r="D75" s="85" t="b">
        <v>0</v>
      </c>
      <c r="E75" s="106">
        <v>2788315.4426610661</v>
      </c>
      <c r="F75" s="25">
        <v>202788315.44266108</v>
      </c>
      <c r="G75" s="106">
        <v>13351.341503430633</v>
      </c>
      <c r="H75" s="106">
        <v>45809260.454431459</v>
      </c>
      <c r="I75" s="106">
        <v>-7615399.1282258425</v>
      </c>
      <c r="J75" s="106">
        <v>-826784.69584388821</v>
      </c>
      <c r="K75" s="106">
        <v>72708.852185601034</v>
      </c>
      <c r="L75" s="106">
        <v>-1767721.2948270037</v>
      </c>
      <c r="M75" s="106">
        <v>-699897.54531024455</v>
      </c>
      <c r="N75" s="53">
        <v>-12.89494670769227</v>
      </c>
      <c r="O75" s="54">
        <v>0.2405596647258719</v>
      </c>
      <c r="P75" s="54">
        <v>-1.1655578216468426E-3</v>
      </c>
      <c r="Q75" s="54">
        <v>-1489.6709007224672</v>
      </c>
      <c r="R75" s="54">
        <v>317.03014548539613</v>
      </c>
      <c r="S75" s="54">
        <v>-3185.0165910526812</v>
      </c>
      <c r="T75" s="55">
        <v>-1261.0502008283675</v>
      </c>
      <c r="U75" s="61">
        <v>6.6600231474607266E-2</v>
      </c>
    </row>
    <row r="76" spans="1:21">
      <c r="A76" s="47">
        <v>45481.625</v>
      </c>
      <c r="B76" s="48">
        <v>3401.7604000000001</v>
      </c>
      <c r="C76" s="49">
        <v>-8.5396628826568399E-3</v>
      </c>
      <c r="D76" s="85" t="b">
        <v>0</v>
      </c>
      <c r="E76" s="106">
        <v>2442559.3912077248</v>
      </c>
      <c r="F76" s="25">
        <v>202442559.39120772</v>
      </c>
      <c r="G76" s="106">
        <v>15231.350173592649</v>
      </c>
      <c r="H76" s="106">
        <v>51813403.8590606</v>
      </c>
      <c r="I76" s="106">
        <v>-7649176.6738099977</v>
      </c>
      <c r="J76" s="106">
        <v>-880553.88144406979</v>
      </c>
      <c r="K76" s="106">
        <v>73717.692893328131</v>
      </c>
      <c r="L76" s="106">
        <v>-1893127.3302310016</v>
      </c>
      <c r="M76" s="106">
        <v>-771236.12772725348</v>
      </c>
      <c r="N76" s="53">
        <v>-19.124654770600046</v>
      </c>
      <c r="O76" s="54">
        <v>0.27443298414172984</v>
      </c>
      <c r="P76" s="54">
        <v>-1.1909818822673293E-3</v>
      </c>
      <c r="Q76" s="54">
        <v>-1586.5502836461928</v>
      </c>
      <c r="R76" s="54">
        <v>321.42896222817581</v>
      </c>
      <c r="S76" s="54">
        <v>-3410.9686710263304</v>
      </c>
      <c r="T76" s="55">
        <v>-1389.5854904383668</v>
      </c>
      <c r="U76" s="61">
        <v>0.13284597773422166</v>
      </c>
    </row>
    <row r="77" spans="1:21">
      <c r="A77" s="47">
        <v>45482.625</v>
      </c>
      <c r="B77" s="48">
        <v>3439.8110999999999</v>
      </c>
      <c r="C77" s="49">
        <v>1.1185590848785232E-2</v>
      </c>
      <c r="D77" s="85" t="b">
        <v>0</v>
      </c>
      <c r="E77" s="106">
        <v>3046645.0456313007</v>
      </c>
      <c r="F77" s="25">
        <v>203046645.04563129</v>
      </c>
      <c r="G77" s="106">
        <v>12712.035915736869</v>
      </c>
      <c r="H77" s="106">
        <v>43727002.246550344</v>
      </c>
      <c r="I77" s="106">
        <v>-7642754.6142907422</v>
      </c>
      <c r="J77" s="106">
        <v>-809252.87647572218</v>
      </c>
      <c r="K77" s="106">
        <v>72548.370961704117</v>
      </c>
      <c r="L77" s="106">
        <v>-1727384.7061432546</v>
      </c>
      <c r="M77" s="106">
        <v>-674429.28179661557</v>
      </c>
      <c r="N77" s="53">
        <v>-8.2404569200316473</v>
      </c>
      <c r="O77" s="54">
        <v>0.22904088679681722</v>
      </c>
      <c r="P77" s="54">
        <v>-1.1638007534508187E-3</v>
      </c>
      <c r="Q77" s="54">
        <v>-1458.082699730403</v>
      </c>
      <c r="R77" s="54">
        <v>316.33040419901408</v>
      </c>
      <c r="S77" s="54">
        <v>-3112.3395776794951</v>
      </c>
      <c r="T77" s="55">
        <v>-1215.1624004869973</v>
      </c>
      <c r="U77" s="61">
        <v>0.174006957096593</v>
      </c>
    </row>
    <row r="78" spans="1:21">
      <c r="A78" s="47">
        <v>45483.625</v>
      </c>
      <c r="B78" s="48">
        <v>3428.9657000000002</v>
      </c>
      <c r="C78" s="49">
        <v>-3.1529056929898713E-3</v>
      </c>
      <c r="D78" s="85" t="b">
        <v>0</v>
      </c>
      <c r="E78" s="106">
        <v>2977982.4457661733</v>
      </c>
      <c r="F78" s="25">
        <v>202977982.44576618</v>
      </c>
      <c r="G78" s="106">
        <v>13390.512425649096</v>
      </c>
      <c r="H78" s="106">
        <v>45915607.812974557</v>
      </c>
      <c r="I78" s="106">
        <v>-7619228.6389351813</v>
      </c>
      <c r="J78" s="106">
        <v>-831571.10205297801</v>
      </c>
      <c r="K78" s="106">
        <v>72791.905337670585</v>
      </c>
      <c r="L78" s="106">
        <v>-1776729.5572970477</v>
      </c>
      <c r="M78" s="106">
        <v>-700080.43178865325</v>
      </c>
      <c r="N78" s="53">
        <v>-9.4775949258655601</v>
      </c>
      <c r="O78" s="54">
        <v>0.24126543230087216</v>
      </c>
      <c r="P78" s="54">
        <v>-1.167569199208521E-3</v>
      </c>
      <c r="Q78" s="54">
        <v>-1498.2948751193817</v>
      </c>
      <c r="R78" s="54">
        <v>317.39227955975093</v>
      </c>
      <c r="S78" s="54">
        <v>-3201.2473540737574</v>
      </c>
      <c r="T78" s="55">
        <v>-1261.3797191012509</v>
      </c>
      <c r="U78" s="61">
        <v>4.9047701911005798E-2</v>
      </c>
    </row>
    <row r="79" spans="1:21">
      <c r="A79" s="47">
        <v>45484.625</v>
      </c>
      <c r="B79" s="48">
        <v>3468.1689999999999</v>
      </c>
      <c r="C79" s="49">
        <v>1.14329810881455E-2</v>
      </c>
      <c r="D79" s="85" t="b">
        <v>0</v>
      </c>
      <c r="E79" s="106">
        <v>3524985.8733701888</v>
      </c>
      <c r="F79" s="25">
        <v>203524985.8733702</v>
      </c>
      <c r="G79" s="106">
        <v>10850.454691581677</v>
      </c>
      <c r="H79" s="106">
        <v>37631210.59724813</v>
      </c>
      <c r="I79" s="106">
        <v>-7738043.0897314502</v>
      </c>
      <c r="J79" s="106">
        <v>-750134.33669536235</v>
      </c>
      <c r="K79" s="106">
        <v>71895.088128205054</v>
      </c>
      <c r="L79" s="106">
        <v>-1594031.9857916213</v>
      </c>
      <c r="M79" s="106">
        <v>-600624.68273218023</v>
      </c>
      <c r="N79" s="53">
        <v>0.37811591146964929</v>
      </c>
      <c r="O79" s="54">
        <v>0.19549958646922969</v>
      </c>
      <c r="P79" s="54">
        <v>-1.1591203887218922E-3</v>
      </c>
      <c r="Q79" s="54">
        <v>-1351.5650430215828</v>
      </c>
      <c r="R79" s="54">
        <v>313.48191539026993</v>
      </c>
      <c r="S79" s="54">
        <v>-2872.0694468478541</v>
      </c>
      <c r="T79" s="55">
        <v>-1082.1839308582639</v>
      </c>
      <c r="U79" s="61">
        <v>0.17785544604531517</v>
      </c>
    </row>
    <row r="80" spans="1:21">
      <c r="A80" s="47">
        <v>45485.625</v>
      </c>
      <c r="B80" s="48">
        <v>3472.4014000000002</v>
      </c>
      <c r="C80" s="49">
        <v>1.2203557554433253E-3</v>
      </c>
      <c r="D80" s="85" t="b">
        <v>0</v>
      </c>
      <c r="E80" s="106">
        <v>3642144.4816216459</v>
      </c>
      <c r="F80" s="25">
        <v>203642144.48162165</v>
      </c>
      <c r="G80" s="106">
        <v>10583.673671642806</v>
      </c>
      <c r="H80" s="106">
        <v>36750763.274555624</v>
      </c>
      <c r="I80" s="106">
        <v>-7716840.2998783812</v>
      </c>
      <c r="J80" s="106">
        <v>-742660.18232820672</v>
      </c>
      <c r="K80" s="106">
        <v>71850.358996581563</v>
      </c>
      <c r="L80" s="106">
        <v>-1577274.7547127292</v>
      </c>
      <c r="M80" s="106">
        <v>-589926.04407570336</v>
      </c>
      <c r="N80" s="53">
        <v>2.4890375378454337</v>
      </c>
      <c r="O80" s="54">
        <v>0.19069282209313829</v>
      </c>
      <c r="P80" s="54">
        <v>-1.153128145745921E-3</v>
      </c>
      <c r="Q80" s="54">
        <v>-1338.098380752399</v>
      </c>
      <c r="R80" s="54">
        <v>313.2868843496226</v>
      </c>
      <c r="S80" s="54">
        <v>-2841.8768711502253</v>
      </c>
      <c r="T80" s="55">
        <v>-1062.9075088780155</v>
      </c>
      <c r="U80" s="61">
        <v>1.8984280262948159E-2</v>
      </c>
    </row>
    <row r="81" spans="1:21">
      <c r="A81" s="47">
        <v>45488.625</v>
      </c>
      <c r="B81" s="48">
        <v>3476.2467000000001</v>
      </c>
      <c r="C81" s="49">
        <v>1.1073892551707321E-3</v>
      </c>
      <c r="D81" s="85" t="b">
        <v>0</v>
      </c>
      <c r="E81" s="106">
        <v>3754218.9155877596</v>
      </c>
      <c r="F81" s="25">
        <v>203754218.91558775</v>
      </c>
      <c r="G81" s="106">
        <v>10367.954472885818</v>
      </c>
      <c r="H81" s="106">
        <v>36041567.522119567</v>
      </c>
      <c r="I81" s="106">
        <v>-7625668.5935770543</v>
      </c>
      <c r="J81" s="106">
        <v>-736929.78405937017</v>
      </c>
      <c r="K81" s="106">
        <v>70577.596281040271</v>
      </c>
      <c r="L81" s="106">
        <v>-1563741.8276504178</v>
      </c>
      <c r="M81" s="106">
        <v>-580631.79814255668</v>
      </c>
      <c r="N81" s="53">
        <v>4.5083543422506409</v>
      </c>
      <c r="O81" s="54">
        <v>0.18680607122884643</v>
      </c>
      <c r="P81" s="54">
        <v>-1.1369847856394677E-3</v>
      </c>
      <c r="Q81" s="54">
        <v>-1327.7735554459468</v>
      </c>
      <c r="R81" s="54">
        <v>307.7372966894236</v>
      </c>
      <c r="S81" s="54">
        <v>-2817.4937303547267</v>
      </c>
      <c r="T81" s="55">
        <v>-1046.1614711485254</v>
      </c>
      <c r="U81" s="61">
        <v>1.7226933938375582E-2</v>
      </c>
    </row>
    <row r="82" spans="1:21">
      <c r="A82" s="47">
        <v>45489.625</v>
      </c>
      <c r="B82" s="48">
        <v>3498.2827000000002</v>
      </c>
      <c r="C82" s="49">
        <v>6.339020760523173E-3</v>
      </c>
      <c r="D82" s="85" t="b">
        <v>0</v>
      </c>
      <c r="E82" s="106">
        <v>4039293.2310801963</v>
      </c>
      <c r="F82" s="25">
        <v>204039293.2310802</v>
      </c>
      <c r="G82" s="106">
        <v>9048.0670510044401</v>
      </c>
      <c r="H82" s="106">
        <v>31652696.432968851</v>
      </c>
      <c r="I82" s="106">
        <v>-7762270.3786824755</v>
      </c>
      <c r="J82" s="106">
        <v>-689262.3456962643</v>
      </c>
      <c r="K82" s="106">
        <v>69279.173383334884</v>
      </c>
      <c r="L82" s="106">
        <v>-1461144.7879571242</v>
      </c>
      <c r="M82" s="106">
        <v>-527495.9499553137</v>
      </c>
      <c r="N82" s="53">
        <v>9.6447207320397865</v>
      </c>
      <c r="O82" s="54">
        <v>0.16302481482085962</v>
      </c>
      <c r="P82" s="54">
        <v>-1.142817459529321E-3</v>
      </c>
      <c r="Q82" s="54">
        <v>-1241.8880810310839</v>
      </c>
      <c r="R82" s="54">
        <v>302.07582373547939</v>
      </c>
      <c r="S82" s="54">
        <v>-2632.6380777287795</v>
      </c>
      <c r="T82" s="55">
        <v>-950.42321277528572</v>
      </c>
      <c r="U82" s="61">
        <v>9.8612020448661311E-2</v>
      </c>
    </row>
    <row r="83" spans="1:21">
      <c r="A83" s="47">
        <v>45490.625</v>
      </c>
      <c r="B83" s="48">
        <v>3501.5835999999999</v>
      </c>
      <c r="C83" s="49">
        <v>9.4357725863591924E-4</v>
      </c>
      <c r="D83" s="85" t="b">
        <v>0</v>
      </c>
      <c r="E83" s="106">
        <v>4138443.232712409</v>
      </c>
      <c r="F83" s="25">
        <v>204138443.23271242</v>
      </c>
      <c r="G83" s="106">
        <v>8981.6939161436421</v>
      </c>
      <c r="H83" s="106">
        <v>31450152.116988353</v>
      </c>
      <c r="I83" s="106">
        <v>-6970520.3019666756</v>
      </c>
      <c r="J83" s="106">
        <v>-686299.07901242573</v>
      </c>
      <c r="K83" s="106">
        <v>65452.683106761768</v>
      </c>
      <c r="L83" s="106">
        <v>-1452938.3223083029</v>
      </c>
      <c r="M83" s="106">
        <v>-520905.19176044542</v>
      </c>
      <c r="N83" s="53">
        <v>11.431169767448409</v>
      </c>
      <c r="O83" s="54">
        <v>0.16182892757126632</v>
      </c>
      <c r="P83" s="54">
        <v>-1.0243163445747415E-3</v>
      </c>
      <c r="Q83" s="54">
        <v>-1236.5489737977441</v>
      </c>
      <c r="R83" s="54">
        <v>285.39129726291503</v>
      </c>
      <c r="S83" s="54">
        <v>-2617.851963355497</v>
      </c>
      <c r="T83" s="55">
        <v>-938.54822192706706</v>
      </c>
      <c r="U83" s="61">
        <v>1.4678617319407169E-2</v>
      </c>
    </row>
    <row r="84" spans="1:21">
      <c r="A84" s="47">
        <v>45491.625</v>
      </c>
      <c r="B84" s="48">
        <v>3520.931</v>
      </c>
      <c r="C84" s="49">
        <v>5.5253285970382482E-3</v>
      </c>
      <c r="D84" s="85" t="b">
        <v>0</v>
      </c>
      <c r="E84" s="106">
        <v>4366514.6287995195</v>
      </c>
      <c r="F84" s="25">
        <v>204366514.62879953</v>
      </c>
      <c r="G84" s="106">
        <v>7949.2334953991676</v>
      </c>
      <c r="H84" s="106">
        <v>27988702.640189286</v>
      </c>
      <c r="I84" s="106">
        <v>-6239104.9760472551</v>
      </c>
      <c r="J84" s="106">
        <v>-642507.0631050925</v>
      </c>
      <c r="K84" s="106">
        <v>-1106605.7000745859</v>
      </c>
      <c r="L84" s="106">
        <v>-1359765.0336050328</v>
      </c>
      <c r="M84" s="106">
        <v>-475215.29045740218</v>
      </c>
      <c r="N84" s="53">
        <v>15.540478076443378</v>
      </c>
      <c r="O84" s="54">
        <v>0.14322642739604385</v>
      </c>
      <c r="P84" s="54">
        <v>-9.0678675862365763E-4</v>
      </c>
      <c r="Q84" s="54">
        <v>-1157.6460960484837</v>
      </c>
      <c r="R84" s="54">
        <v>-4825.0983964658299</v>
      </c>
      <c r="S84" s="54">
        <v>-2449.975686008338</v>
      </c>
      <c r="T84" s="55">
        <v>-856.22580259569077</v>
      </c>
      <c r="U84" s="61">
        <v>8.5953941023493352E-2</v>
      </c>
    </row>
    <row r="85" spans="1:21">
      <c r="A85" s="47">
        <v>45492.625</v>
      </c>
      <c r="B85" s="48">
        <v>3539.0156000000002</v>
      </c>
      <c r="C85" s="49">
        <v>5.1363119583995864E-3</v>
      </c>
      <c r="D85" s="85" t="b">
        <v>0</v>
      </c>
      <c r="E85" s="106">
        <v>4561653.7482064012</v>
      </c>
      <c r="F85" s="25">
        <v>204561653.74820641</v>
      </c>
      <c r="G85" s="106">
        <v>6967.97063790841</v>
      </c>
      <c r="H85" s="106">
        <v>24659756.787899815</v>
      </c>
      <c r="I85" s="106">
        <v>-5887787.4298826531</v>
      </c>
      <c r="J85" s="106">
        <v>-597573.17054365913</v>
      </c>
      <c r="K85" s="106">
        <v>59975.946433286976</v>
      </c>
      <c r="L85" s="106">
        <v>-1267395.733827123</v>
      </c>
      <c r="M85" s="106">
        <v>-432206.480842388</v>
      </c>
      <c r="N85" s="53">
        <v>-1.9881790401664148</v>
      </c>
      <c r="O85" s="54">
        <v>0.12554638648440408</v>
      </c>
      <c r="P85" s="54">
        <v>-8.4700324325547049E-4</v>
      </c>
      <c r="Q85" s="54">
        <v>-1076.6858260514255</v>
      </c>
      <c r="R85" s="54">
        <v>261.51125278160816</v>
      </c>
      <c r="S85" s="54">
        <v>-2283.5480069632922</v>
      </c>
      <c r="T85" s="55">
        <v>-778.73407774850421</v>
      </c>
      <c r="U85" s="61">
        <v>7.990226235362588E-2</v>
      </c>
    </row>
    <row r="86" spans="1:21">
      <c r="A86" s="47">
        <v>45495.625</v>
      </c>
      <c r="B86" s="48">
        <v>3514.9249</v>
      </c>
      <c r="C86" s="49">
        <v>-6.8071754190629497E-3</v>
      </c>
      <c r="D86" s="85" t="b">
        <v>0</v>
      </c>
      <c r="E86" s="106">
        <v>4442356.4112468343</v>
      </c>
      <c r="F86" s="25">
        <v>204442356.41124684</v>
      </c>
      <c r="G86" s="106">
        <v>8035.7070633758076</v>
      </c>
      <c r="H86" s="106">
        <v>28244906.846165504</v>
      </c>
      <c r="I86" s="106">
        <v>-6355855.9353020098</v>
      </c>
      <c r="J86" s="106">
        <v>-646558.96142773412</v>
      </c>
      <c r="K86" s="106">
        <v>63263.834663929869</v>
      </c>
      <c r="L86" s="106">
        <v>-1366794.2569093253</v>
      </c>
      <c r="M86" s="106">
        <v>-479952.35134278587</v>
      </c>
      <c r="N86" s="53">
        <v>-4.1376355104625873</v>
      </c>
      <c r="O86" s="54">
        <v>0.14478447701336247</v>
      </c>
      <c r="P86" s="54">
        <v>-9.2691487007902189E-4</v>
      </c>
      <c r="Q86" s="54">
        <v>-1164.9466605778798</v>
      </c>
      <c r="R86" s="54">
        <v>275.84732951459864</v>
      </c>
      <c r="S86" s="54">
        <v>-2462.6406875059729</v>
      </c>
      <c r="T86" s="55">
        <v>-864.76086836478316</v>
      </c>
      <c r="U86" s="61">
        <v>0.10589479779000738</v>
      </c>
    </row>
    <row r="87" spans="1:21">
      <c r="A87" s="47">
        <v>45496.625</v>
      </c>
      <c r="B87" s="48">
        <v>3439.8779</v>
      </c>
      <c r="C87" s="49">
        <v>-2.1350954041720827E-2</v>
      </c>
      <c r="D87" s="85" t="b">
        <v>0</v>
      </c>
      <c r="E87" s="106">
        <v>3755700.6188841178</v>
      </c>
      <c r="F87" s="25">
        <v>203755700.61888412</v>
      </c>
      <c r="G87" s="106">
        <v>12214.246314483027</v>
      </c>
      <c r="H87" s="106">
        <v>42015515.962346613</v>
      </c>
      <c r="I87" s="106">
        <v>-7318867.6063574729</v>
      </c>
      <c r="J87" s="106">
        <v>-801933.61481228645</v>
      </c>
      <c r="K87" s="106">
        <v>70134.575184813511</v>
      </c>
      <c r="L87" s="106">
        <v>-1695563.3780604622</v>
      </c>
      <c r="M87" s="106">
        <v>-649034.48942890263</v>
      </c>
      <c r="N87" s="53">
        <v>-16.50955238116876</v>
      </c>
      <c r="O87" s="54">
        <v>0.22007189296568197</v>
      </c>
      <c r="P87" s="54">
        <v>-1.1144375623928465E-3</v>
      </c>
      <c r="Q87" s="54">
        <v>-1444.8951175586444</v>
      </c>
      <c r="R87" s="54">
        <v>305.80560559036257</v>
      </c>
      <c r="S87" s="54">
        <v>-3055.0050543077305</v>
      </c>
      <c r="T87" s="55">
        <v>-1169.4069778113771</v>
      </c>
      <c r="U87" s="61">
        <v>0.33214289652946866</v>
      </c>
    </row>
    <row r="88" spans="1:21">
      <c r="A88" s="47">
        <v>45497.625</v>
      </c>
      <c r="B88" s="48">
        <v>3418.1662999999999</v>
      </c>
      <c r="C88" s="49">
        <v>-6.3117356578267225E-3</v>
      </c>
      <c r="D88" s="85" t="b">
        <v>0</v>
      </c>
      <c r="E88" s="106">
        <v>3547799.1003612643</v>
      </c>
      <c r="F88" s="25">
        <v>203547799.10036126</v>
      </c>
      <c r="G88" s="106">
        <v>13514.717340729958</v>
      </c>
      <c r="H88" s="106">
        <v>46195551.368108757</v>
      </c>
      <c r="I88" s="106">
        <v>-7557197.3749361867</v>
      </c>
      <c r="J88" s="106">
        <v>-840343.87786753313</v>
      </c>
      <c r="K88" s="106">
        <v>72403.160157681239</v>
      </c>
      <c r="L88" s="106">
        <v>-1781945.3809506693</v>
      </c>
      <c r="M88" s="106">
        <v>-697455.00291122647</v>
      </c>
      <c r="N88" s="53">
        <v>-20.255447097366869</v>
      </c>
      <c r="O88" s="54">
        <v>0.24350331174702969</v>
      </c>
      <c r="P88" s="54">
        <v>-1.1653927020075642E-3</v>
      </c>
      <c r="Q88" s="54">
        <v>-1514.1013467621178</v>
      </c>
      <c r="R88" s="54">
        <v>315.69724604919338</v>
      </c>
      <c r="S88" s="54">
        <v>-3210.6450373632015</v>
      </c>
      <c r="T88" s="55">
        <v>-1256.6493158653429</v>
      </c>
      <c r="U88" s="61">
        <v>9.8187563863536609E-2</v>
      </c>
    </row>
    <row r="89" spans="1:21">
      <c r="A89" s="47">
        <v>45498.625</v>
      </c>
      <c r="B89" s="48">
        <v>3399.2716</v>
      </c>
      <c r="C89" s="49">
        <v>-5.5277298825395782E-3</v>
      </c>
      <c r="D89" s="85" t="b">
        <v>0</v>
      </c>
      <c r="E89" s="106">
        <v>3354713.9424729012</v>
      </c>
      <c r="F89" s="25">
        <v>203354713.9424729</v>
      </c>
      <c r="G89" s="106">
        <v>14694.468689608408</v>
      </c>
      <c r="H89" s="106">
        <v>49950490.093675077</v>
      </c>
      <c r="I89" s="106">
        <v>-7699712.9038501568</v>
      </c>
      <c r="J89" s="106">
        <v>-872488.32490087033</v>
      </c>
      <c r="K89" s="106">
        <v>73820.827809625698</v>
      </c>
      <c r="L89" s="106">
        <v>-1854257.6605385689</v>
      </c>
      <c r="M89" s="106">
        <v>-739667.58610956918</v>
      </c>
      <c r="N89" s="53">
        <v>-23.734385961542557</v>
      </c>
      <c r="O89" s="54">
        <v>0.26475964684063602</v>
      </c>
      <c r="P89" s="54">
        <v>-1.200606542540569E-3</v>
      </c>
      <c r="Q89" s="54">
        <v>-1572.0180542266917</v>
      </c>
      <c r="R89" s="54">
        <v>321.87865819414947</v>
      </c>
      <c r="S89" s="54">
        <v>-3340.9346994826137</v>
      </c>
      <c r="T89" s="55">
        <v>-1332.7064286191217</v>
      </c>
      <c r="U89" s="61">
        <v>8.5991296259247577E-2</v>
      </c>
    </row>
    <row r="90" spans="1:21">
      <c r="A90" s="47">
        <v>45499.625</v>
      </c>
      <c r="B90" s="48">
        <v>3409.2930999999999</v>
      </c>
      <c r="C90" s="49">
        <v>2.9481315938391095E-3</v>
      </c>
      <c r="D90" s="85" t="b">
        <v>0</v>
      </c>
      <c r="E90" s="106">
        <v>3571719.1074606609</v>
      </c>
      <c r="F90" s="25">
        <v>203571719.10746065</v>
      </c>
      <c r="G90" s="106">
        <v>13970.470493830791</v>
      </c>
      <c r="H90" s="106">
        <v>47629428.658370905</v>
      </c>
      <c r="I90" s="106">
        <v>-7703250.0072911624</v>
      </c>
      <c r="J90" s="106">
        <v>-854154.7902569985</v>
      </c>
      <c r="K90" s="106">
        <v>73473.43454796607</v>
      </c>
      <c r="L90" s="106">
        <v>-1810402.4329874262</v>
      </c>
      <c r="M90" s="106">
        <v>-712907.30316930579</v>
      </c>
      <c r="N90" s="53">
        <v>-19.824465020652497</v>
      </c>
      <c r="O90" s="54">
        <v>0.25171490798846541</v>
      </c>
      <c r="P90" s="54">
        <v>-1.1941069313307229E-3</v>
      </c>
      <c r="Q90" s="54">
        <v>-1538.9853515126106</v>
      </c>
      <c r="R90" s="54">
        <v>320.36393016621332</v>
      </c>
      <c r="S90" s="54">
        <v>-3261.917929269157</v>
      </c>
      <c r="T90" s="55">
        <v>-1284.490714187541</v>
      </c>
      <c r="U90" s="61">
        <v>4.5862164520346652E-2</v>
      </c>
    </row>
    <row r="91" spans="1:21">
      <c r="A91" s="47">
        <v>45502.625</v>
      </c>
      <c r="B91" s="48">
        <v>3390.7420000000002</v>
      </c>
      <c r="C91" s="49">
        <v>-5.4413332781507728E-3</v>
      </c>
      <c r="D91" s="85" t="b">
        <v>0</v>
      </c>
      <c r="E91" s="106">
        <v>3375572.1813151343</v>
      </c>
      <c r="F91" s="25">
        <v>203375572.18131512</v>
      </c>
      <c r="G91" s="106">
        <v>15162.074725925753</v>
      </c>
      <c r="H91" s="106">
        <v>51410683.580334947</v>
      </c>
      <c r="I91" s="106">
        <v>-7807611.8711951403</v>
      </c>
      <c r="J91" s="106">
        <v>-885077.23733903037</v>
      </c>
      <c r="K91" s="106">
        <v>73887.56427870458</v>
      </c>
      <c r="L91" s="106">
        <v>-1880998.7215740466</v>
      </c>
      <c r="M91" s="106">
        <v>-754345.68850981898</v>
      </c>
      <c r="N91" s="53">
        <v>-23.358569723049186</v>
      </c>
      <c r="O91" s="54">
        <v>0.27318480406482887</v>
      </c>
      <c r="P91" s="54">
        <v>-1.2235638278364541E-3</v>
      </c>
      <c r="Q91" s="54">
        <v>-1594.7003034569207</v>
      </c>
      <c r="R91" s="54">
        <v>322.16964714343521</v>
      </c>
      <c r="S91" s="54">
        <v>-3389.1157805781404</v>
      </c>
      <c r="T91" s="55">
        <v>-1359.1529051122052</v>
      </c>
      <c r="U91" s="61">
        <v>8.4647280512881631E-2</v>
      </c>
    </row>
    <row r="92" spans="1:21">
      <c r="A92" s="47">
        <v>45503.625</v>
      </c>
      <c r="B92" s="48">
        <v>3369.38</v>
      </c>
      <c r="C92" s="49">
        <v>-6.3000959671953849E-3</v>
      </c>
      <c r="D92" s="85" t="b">
        <v>0</v>
      </c>
      <c r="E92" s="106">
        <v>3111335.8186977231</v>
      </c>
      <c r="F92" s="25">
        <v>203111335.81869772</v>
      </c>
      <c r="G92" s="106">
        <v>16581.685409658843</v>
      </c>
      <c r="H92" s="106">
        <v>55869999.185596317</v>
      </c>
      <c r="I92" s="106">
        <v>-7879843.5042597037</v>
      </c>
      <c r="J92" s="106">
        <v>-916852.09396352398</v>
      </c>
      <c r="K92" s="106">
        <v>75565.72524337392</v>
      </c>
      <c r="L92" s="106">
        <v>-1958415.9244070027</v>
      </c>
      <c r="M92" s="106">
        <v>-802477.29435174097</v>
      </c>
      <c r="N92" s="53">
        <v>-28.119485379599155</v>
      </c>
      <c r="O92" s="54">
        <v>0.29876283830448552</v>
      </c>
      <c r="P92" s="54">
        <v>-1.2505916088982759E-3</v>
      </c>
      <c r="Q92" s="54">
        <v>-1651.9510962280947</v>
      </c>
      <c r="R92" s="54">
        <v>329.48688017331369</v>
      </c>
      <c r="S92" s="54">
        <v>-3528.6033096232586</v>
      </c>
      <c r="T92" s="55">
        <v>-1445.8746997803701</v>
      </c>
      <c r="U92" s="61">
        <v>9.8006492771657308E-2</v>
      </c>
    </row>
  </sheetData>
  <mergeCells count="5">
    <mergeCell ref="Y1:Z2"/>
    <mergeCell ref="Y22:Z22"/>
    <mergeCell ref="Y28:Z28"/>
    <mergeCell ref="Y30:Z30"/>
    <mergeCell ref="Y31:Z3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8EBA-7A98-4CFD-A788-3813BF2F857A}">
  <dimension ref="A1:AG39"/>
  <sheetViews>
    <sheetView topLeftCell="M1" workbookViewId="0"/>
  </sheetViews>
  <sheetFormatPr defaultRowHeight="14.4"/>
  <cols>
    <col min="1" max="1" width="18" style="47" bestFit="1" customWidth="1"/>
    <col min="2" max="2" width="11.88671875" style="48" bestFit="1" customWidth="1"/>
    <col min="3" max="3" width="9.44140625" style="49" bestFit="1" customWidth="1"/>
    <col min="4" max="4" width="16.77734375" style="26" customWidth="1"/>
    <col min="5" max="5" width="14.109375" style="26" bestFit="1" customWidth="1"/>
    <col min="6" max="12" width="16.77734375" style="26" customWidth="1"/>
    <col min="13" max="13" width="12.77734375" style="56" customWidth="1"/>
    <col min="14" max="18" width="12.77734375" style="57" customWidth="1"/>
    <col min="19" max="19" width="14.88671875" style="138" customWidth="1"/>
    <col min="20" max="20" width="12.33203125" style="136" bestFit="1" customWidth="1"/>
    <col min="22" max="22" width="2" customWidth="1"/>
    <col min="23" max="23" width="6.77734375" customWidth="1"/>
    <col min="24" max="24" width="39.5546875" customWidth="1"/>
    <col min="25" max="25" width="34" style="4" customWidth="1"/>
    <col min="26" max="26" width="8.109375" customWidth="1"/>
    <col min="27" max="27" width="11.6640625" style="34" bestFit="1" customWidth="1"/>
    <col min="28" max="28" width="13.88671875" style="60" customWidth="1"/>
    <col min="29" max="29" width="14.88671875" style="60" customWidth="1"/>
    <col min="30" max="30" width="11.6640625" style="59" bestFit="1" customWidth="1"/>
    <col min="31" max="31" width="2.88671875" customWidth="1"/>
    <col min="32" max="32" width="1.5546875" customWidth="1"/>
  </cols>
  <sheetData>
    <row r="1" spans="1:33" s="3" customFormat="1" ht="21.6" customHeight="1">
      <c r="A1" s="46" t="s">
        <v>0</v>
      </c>
      <c r="B1" s="46" t="s">
        <v>1</v>
      </c>
      <c r="C1" s="46" t="s">
        <v>54</v>
      </c>
      <c r="D1" s="1" t="s">
        <v>2</v>
      </c>
      <c r="E1" s="1" t="s">
        <v>33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61</v>
      </c>
      <c r="M1" s="51" t="s">
        <v>9</v>
      </c>
      <c r="N1" s="52" t="s">
        <v>10</v>
      </c>
      <c r="O1" s="52" t="s">
        <v>11</v>
      </c>
      <c r="P1" s="52" t="s">
        <v>12</v>
      </c>
      <c r="Q1" s="52" t="s">
        <v>13</v>
      </c>
      <c r="R1" s="52" t="s">
        <v>14</v>
      </c>
      <c r="S1" s="134" t="s">
        <v>60</v>
      </c>
      <c r="T1" s="1" t="s">
        <v>59</v>
      </c>
      <c r="U1" s="2"/>
      <c r="V1" s="5"/>
      <c r="W1" s="5"/>
      <c r="X1" s="171" t="s">
        <v>147</v>
      </c>
      <c r="Y1" s="171"/>
      <c r="Z1" s="135"/>
      <c r="AA1" s="135"/>
      <c r="AB1" s="135"/>
      <c r="AC1" s="135"/>
      <c r="AD1" s="135"/>
      <c r="AE1" s="5"/>
      <c r="AF1" s="5"/>
    </row>
    <row r="2" spans="1:33" ht="16.8" customHeight="1" thickBot="1">
      <c r="A2" s="47">
        <v>45470.625</v>
      </c>
      <c r="B2" s="48">
        <v>3454.1174999999998</v>
      </c>
      <c r="C2" s="49">
        <v>0</v>
      </c>
      <c r="D2" s="25">
        <v>0</v>
      </c>
      <c r="E2" s="25">
        <v>50000000</v>
      </c>
      <c r="F2" s="25">
        <v>161.22504325915943</v>
      </c>
      <c r="G2" s="25">
        <v>556890.24335971964</v>
      </c>
      <c r="H2" s="25">
        <v>-16278.10602495099</v>
      </c>
      <c r="I2" s="25">
        <v>633.79584585305804</v>
      </c>
      <c r="J2" s="25">
        <v>5808.7543643221879</v>
      </c>
      <c r="K2" s="25">
        <v>-381433.04427087767</v>
      </c>
      <c r="L2" s="25">
        <v>-4389.079015767732</v>
      </c>
      <c r="M2" s="53">
        <v>-8.2667013445188786E-2</v>
      </c>
      <c r="N2" s="54">
        <v>1.1137804867194392E-2</v>
      </c>
      <c r="O2" s="54">
        <v>-9.4253342713158939E-6</v>
      </c>
      <c r="P2" s="54">
        <v>4.3784106451767002</v>
      </c>
      <c r="Q2" s="54">
        <v>97.110341298552157</v>
      </c>
      <c r="R2" s="54">
        <v>-2635.0291065886267</v>
      </c>
      <c r="S2" s="55">
        <v>-30.320789274492199</v>
      </c>
      <c r="T2" s="136">
        <v>0</v>
      </c>
      <c r="U2" s="2"/>
      <c r="V2" s="5"/>
      <c r="W2" s="5"/>
      <c r="X2" s="172"/>
      <c r="Y2" s="172"/>
      <c r="Z2" s="137"/>
      <c r="AA2" s="137"/>
      <c r="AB2" s="137"/>
      <c r="AC2" s="137"/>
      <c r="AD2" s="137"/>
      <c r="AE2" s="5"/>
      <c r="AF2" s="5"/>
    </row>
    <row r="3" spans="1:33">
      <c r="A3" s="47">
        <v>45471.625</v>
      </c>
      <c r="B3" s="48">
        <v>3461.6570000000002</v>
      </c>
      <c r="C3" s="49">
        <v>2.1827572455193067E-3</v>
      </c>
      <c r="D3" s="25">
        <v>5815.9043264880938</v>
      </c>
      <c r="E3" s="25">
        <v>50005815.904326491</v>
      </c>
      <c r="F3" s="25">
        <v>160.34269640656763</v>
      </c>
      <c r="G3" s="25">
        <v>555051.41741466965</v>
      </c>
      <c r="H3" s="25">
        <v>-19318.488379141185</v>
      </c>
      <c r="I3" s="25">
        <v>567.08701068524579</v>
      </c>
      <c r="J3" s="25">
        <v>5812.7154484639177</v>
      </c>
      <c r="K3" s="25">
        <v>-377445.13068908657</v>
      </c>
      <c r="L3" s="25">
        <v>-4333.1879572768275</v>
      </c>
      <c r="M3" s="53">
        <v>0.40177633824896475</v>
      </c>
      <c r="N3" s="54">
        <v>1.1076850273102247E-2</v>
      </c>
      <c r="O3" s="54">
        <v>-1.1137101480454182E-5</v>
      </c>
      <c r="P3" s="54">
        <v>3.917570335261189</v>
      </c>
      <c r="Q3" s="54">
        <v>97.176562420808295</v>
      </c>
      <c r="R3" s="54">
        <v>-2607.4796624059218</v>
      </c>
      <c r="S3" s="55">
        <v>-29.934680708038286</v>
      </c>
      <c r="T3" s="136">
        <v>3.3955733899796975E-2</v>
      </c>
      <c r="U3" s="2"/>
      <c r="V3" s="5"/>
      <c r="W3" s="6"/>
      <c r="X3" s="7"/>
      <c r="Y3" s="8"/>
      <c r="Z3" s="7"/>
      <c r="AA3" s="72"/>
      <c r="AB3" s="71"/>
      <c r="AC3" s="71"/>
      <c r="AD3" s="139"/>
      <c r="AE3" s="9"/>
      <c r="AF3" s="5"/>
      <c r="AG3" s="69"/>
    </row>
    <row r="4" spans="1:33" ht="13.8" customHeight="1">
      <c r="A4" s="47">
        <v>45474.625</v>
      </c>
      <c r="B4" s="48">
        <v>3478.1826999999998</v>
      </c>
      <c r="C4" s="49">
        <v>4.7739276306115741E-3</v>
      </c>
      <c r="D4" s="25">
        <v>14273.215261807112</v>
      </c>
      <c r="E4" s="25">
        <v>50014273.21526181</v>
      </c>
      <c r="F4" s="25">
        <v>158.00616918238467</v>
      </c>
      <c r="G4" s="25">
        <v>549574.32414344349</v>
      </c>
      <c r="H4" s="25">
        <v>-21188.385919973931</v>
      </c>
      <c r="I4" s="25">
        <v>392.8183941610306</v>
      </c>
      <c r="J4" s="25">
        <v>5801.5481862697216</v>
      </c>
      <c r="K4" s="25">
        <v>-371147.39738267445</v>
      </c>
      <c r="L4" s="25">
        <v>-4257.075395081376</v>
      </c>
      <c r="M4" s="53">
        <v>0.98602725234150057</v>
      </c>
      <c r="N4" s="54">
        <v>1.091543748161671E-2</v>
      </c>
      <c r="O4" s="54">
        <v>-1.209929862866191E-5</v>
      </c>
      <c r="P4" s="54">
        <v>2.7136817791870271</v>
      </c>
      <c r="Q4" s="54">
        <v>96.989868927671523</v>
      </c>
      <c r="R4" s="54">
        <v>-2563.9734407578999</v>
      </c>
      <c r="S4" s="55">
        <v>-29.40887724193999</v>
      </c>
      <c r="T4" s="136">
        <v>7.4264885210983969E-2</v>
      </c>
      <c r="U4" s="2"/>
      <c r="V4" s="5"/>
      <c r="W4" s="10"/>
      <c r="X4" s="11" t="s">
        <v>15</v>
      </c>
      <c r="Y4" s="12"/>
      <c r="Z4" s="12"/>
      <c r="AA4" s="66"/>
      <c r="AB4" s="68"/>
      <c r="AC4" s="68"/>
      <c r="AD4" s="140"/>
      <c r="AE4" s="13"/>
      <c r="AF4" s="5"/>
      <c r="AG4" s="69"/>
    </row>
    <row r="5" spans="1:33" ht="14.4" customHeight="1">
      <c r="A5" s="47">
        <v>45475.625</v>
      </c>
      <c r="B5" s="48">
        <v>3471.7856999999999</v>
      </c>
      <c r="C5" s="49">
        <v>-1.8391788332452474E-3</v>
      </c>
      <c r="D5" s="25">
        <v>19072.035866801136</v>
      </c>
      <c r="E5" s="25">
        <v>50019072.035866804</v>
      </c>
      <c r="F5" s="25">
        <v>159.41712062285023</v>
      </c>
      <c r="G5" s="25">
        <v>553462.07971358649</v>
      </c>
      <c r="H5" s="25">
        <v>-22647.347809945873</v>
      </c>
      <c r="I5" s="25">
        <v>479.90324701005216</v>
      </c>
      <c r="J5" s="25">
        <v>5813.746099991592</v>
      </c>
      <c r="K5" s="25">
        <v>-370701.48894491623</v>
      </c>
      <c r="L5" s="25">
        <v>-4266.9397103224046</v>
      </c>
      <c r="M5" s="53">
        <v>1.3175410569629094</v>
      </c>
      <c r="N5" s="54">
        <v>1.1012909322859957E-2</v>
      </c>
      <c r="O5" s="54">
        <v>-1.2980117761097363E-5</v>
      </c>
      <c r="P5" s="54">
        <v>3.3152844076084875</v>
      </c>
      <c r="Q5" s="54">
        <v>97.1937927795625</v>
      </c>
      <c r="R5" s="54">
        <v>-2560.8930004813828</v>
      </c>
      <c r="S5" s="55">
        <v>-29.477022249739093</v>
      </c>
      <c r="T5" s="136">
        <v>2.8610908145654493E-2</v>
      </c>
      <c r="U5" s="2"/>
      <c r="V5" s="5"/>
      <c r="W5" s="10"/>
      <c r="X5" s="14"/>
      <c r="Y5" s="15"/>
      <c r="Z5" s="14"/>
      <c r="AA5" s="70"/>
      <c r="AB5" s="64"/>
      <c r="AC5" s="64"/>
      <c r="AE5" s="13"/>
      <c r="AF5" s="5"/>
      <c r="AG5" s="69"/>
    </row>
    <row r="6" spans="1:33">
      <c r="A6" s="47">
        <v>45476.625</v>
      </c>
      <c r="B6" s="48">
        <v>3463.4141</v>
      </c>
      <c r="C6" s="49">
        <v>-2.4113239477885351E-3</v>
      </c>
      <c r="D6" s="25">
        <v>23561.858460926156</v>
      </c>
      <c r="E6" s="25">
        <v>50023561.858460926</v>
      </c>
      <c r="F6" s="25">
        <v>161.42412595688663</v>
      </c>
      <c r="G6" s="25">
        <v>559078.59391925717</v>
      </c>
      <c r="H6" s="25">
        <v>-19686.634965893521</v>
      </c>
      <c r="I6" s="25">
        <v>570.79643620461252</v>
      </c>
      <c r="J6" s="25">
        <v>5783.9663401359849</v>
      </c>
      <c r="K6" s="25">
        <v>-370779.91965273279</v>
      </c>
      <c r="L6" s="25">
        <v>-4293.2057568829896</v>
      </c>
      <c r="M6" s="53">
        <v>1.6277085528481621</v>
      </c>
      <c r="N6" s="54">
        <v>1.1151557967797727E-2</v>
      </c>
      <c r="O6" s="54">
        <v>-1.1337825014853129E-5</v>
      </c>
      <c r="P6" s="54">
        <v>3.9431959184639709</v>
      </c>
      <c r="Q6" s="54">
        <v>96.69593687759334</v>
      </c>
      <c r="R6" s="54">
        <v>-2561.4348182421963</v>
      </c>
      <c r="S6" s="55">
        <v>-29.658474271900559</v>
      </c>
      <c r="T6" s="136">
        <v>3.7511397332613369E-2</v>
      </c>
      <c r="V6" s="5"/>
      <c r="W6" s="10"/>
      <c r="X6" s="14" t="s">
        <v>16</v>
      </c>
      <c r="Y6" s="16" t="s">
        <v>17</v>
      </c>
      <c r="Z6" s="12"/>
      <c r="AA6" s="66"/>
      <c r="AB6" s="68"/>
      <c r="AC6" s="68"/>
      <c r="AD6" s="140"/>
      <c r="AE6" s="13"/>
      <c r="AF6" s="5"/>
    </row>
    <row r="7" spans="1:33">
      <c r="A7" s="47">
        <v>45477.625</v>
      </c>
      <c r="B7" s="48">
        <v>3445.8128000000002</v>
      </c>
      <c r="C7" s="49">
        <v>-5.0820662767411262E-3</v>
      </c>
      <c r="D7" s="25">
        <v>26438.153150488299</v>
      </c>
      <c r="E7" s="25">
        <v>50026438.153150491</v>
      </c>
      <c r="F7" s="25">
        <v>164.73286188068931</v>
      </c>
      <c r="G7" s="25">
        <v>567638.60404911137</v>
      </c>
      <c r="H7" s="25">
        <v>-13971.5810138293</v>
      </c>
      <c r="I7" s="25">
        <v>845.94561482619349</v>
      </c>
      <c r="J7" s="25">
        <v>5804.0200016381914</v>
      </c>
      <c r="K7" s="25">
        <v>-373274.64096241008</v>
      </c>
      <c r="L7" s="25">
        <v>-4363.2020207295391</v>
      </c>
      <c r="M7" s="53">
        <v>1.8264097492956353</v>
      </c>
      <c r="N7" s="54">
        <v>1.1380133220943436E-2</v>
      </c>
      <c r="O7" s="54">
        <v>-8.1288534911666988E-6</v>
      </c>
      <c r="P7" s="54">
        <v>5.8439911044388282</v>
      </c>
      <c r="Q7" s="54">
        <v>97.031192560761156</v>
      </c>
      <c r="R7" s="54">
        <v>-2578.6689393089546</v>
      </c>
      <c r="S7" s="55">
        <v>-30.142024911674525</v>
      </c>
      <c r="T7" s="136">
        <v>7.9058397587908627E-2</v>
      </c>
      <c r="V7" s="5"/>
      <c r="W7" s="10"/>
      <c r="X7" s="17"/>
      <c r="Y7" s="129"/>
      <c r="Z7" s="12"/>
      <c r="AA7" s="26" t="s">
        <v>121</v>
      </c>
      <c r="AB7" s="26" t="s">
        <v>129</v>
      </c>
      <c r="AC7" s="26" t="s">
        <v>130</v>
      </c>
      <c r="AD7" s="26" t="s">
        <v>131</v>
      </c>
      <c r="AE7" s="13"/>
      <c r="AF7" s="5"/>
    </row>
    <row r="8" spans="1:33">
      <c r="A8" s="47">
        <v>45478.625</v>
      </c>
      <c r="B8" s="48">
        <v>3431.0605</v>
      </c>
      <c r="C8" s="49">
        <v>-4.2812250276625941E-3</v>
      </c>
      <c r="D8" s="25">
        <v>29814.916230212923</v>
      </c>
      <c r="E8" s="25">
        <v>50029814.916230217</v>
      </c>
      <c r="F8" s="25">
        <v>167.54917490660659</v>
      </c>
      <c r="G8" s="25">
        <v>574871.35582964914</v>
      </c>
      <c r="H8" s="25">
        <v>-14491.840444140395</v>
      </c>
      <c r="I8" s="25">
        <v>982.56886599882068</v>
      </c>
      <c r="J8" s="25">
        <v>5803.367758458121</v>
      </c>
      <c r="K8" s="25">
        <v>-375067.57657147152</v>
      </c>
      <c r="L8" s="25">
        <v>-4404.1955586121458</v>
      </c>
      <c r="M8" s="53">
        <v>2.0596844782362496</v>
      </c>
      <c r="N8" s="54">
        <v>1.1574690743109415E-2</v>
      </c>
      <c r="O8" s="54">
        <v>-8.5042084025385957E-6</v>
      </c>
      <c r="P8" s="54">
        <v>6.7878166300033627</v>
      </c>
      <c r="Q8" s="54">
        <v>97.020288405781685</v>
      </c>
      <c r="R8" s="54">
        <v>-2591.0549598362195</v>
      </c>
      <c r="S8" s="55">
        <v>-30.425217904848978</v>
      </c>
      <c r="T8" s="136">
        <v>6.6600231474607266E-2</v>
      </c>
      <c r="V8" s="5"/>
      <c r="W8" s="10"/>
      <c r="X8" s="141" t="s">
        <v>18</v>
      </c>
      <c r="Y8" s="142">
        <v>3454.12</v>
      </c>
      <c r="Z8" s="12"/>
      <c r="AA8" s="66">
        <v>45653</v>
      </c>
      <c r="AB8" s="64">
        <v>1.02</v>
      </c>
      <c r="AC8" s="66">
        <v>45653</v>
      </c>
      <c r="AD8" s="140">
        <v>3.1E-2</v>
      </c>
      <c r="AE8" s="13"/>
      <c r="AF8" s="5"/>
    </row>
    <row r="9" spans="1:33">
      <c r="A9" s="47">
        <v>45481.625</v>
      </c>
      <c r="B9" s="48">
        <v>3401.7604000000001</v>
      </c>
      <c r="C9" s="49">
        <v>-8.5396628826568399E-3</v>
      </c>
      <c r="D9" s="25">
        <v>30680.803625804765</v>
      </c>
      <c r="E9" s="25">
        <v>50030680.803625807</v>
      </c>
      <c r="F9" s="25">
        <v>171.55091531608858</v>
      </c>
      <c r="G9" s="25">
        <v>583575.11030602362</v>
      </c>
      <c r="H9" s="25">
        <v>-11163.555376301869</v>
      </c>
      <c r="I9" s="25">
        <v>1229.1182533577917</v>
      </c>
      <c r="J9" s="25">
        <v>5791.196294162165</v>
      </c>
      <c r="K9" s="25">
        <v>-380689.94058008253</v>
      </c>
      <c r="L9" s="25">
        <v>-4484.0754808209313</v>
      </c>
      <c r="M9" s="53">
        <v>2.1195020143591137</v>
      </c>
      <c r="N9" s="54">
        <v>1.1851140374686391E-2</v>
      </c>
      <c r="O9" s="54">
        <v>-6.6644174262067908E-6</v>
      </c>
      <c r="P9" s="54">
        <v>8.4910377369851631</v>
      </c>
      <c r="Q9" s="54">
        <v>96.816806733507292</v>
      </c>
      <c r="R9" s="54">
        <v>-2629.8955716632463</v>
      </c>
      <c r="S9" s="55">
        <v>-30.977047179248984</v>
      </c>
      <c r="T9" s="136">
        <v>0.13284597773422166</v>
      </c>
      <c r="V9" s="5"/>
      <c r="W9" s="10"/>
      <c r="X9" s="143" t="s">
        <v>19</v>
      </c>
      <c r="Y9" s="144">
        <v>45470</v>
      </c>
      <c r="Z9" s="12"/>
      <c r="AA9" s="66">
        <v>45684</v>
      </c>
      <c r="AB9" s="64">
        <v>1.02</v>
      </c>
      <c r="AC9" s="66">
        <v>45684</v>
      </c>
      <c r="AD9" s="140">
        <v>3.1E-2</v>
      </c>
      <c r="AE9" s="13"/>
      <c r="AF9" s="5"/>
    </row>
    <row r="10" spans="1:33">
      <c r="A10" s="47">
        <v>45482.625</v>
      </c>
      <c r="B10" s="48">
        <v>3439.8110999999999</v>
      </c>
      <c r="C10" s="49">
        <v>1.1185590848785232E-2</v>
      </c>
      <c r="D10" s="25">
        <v>42898.39008012195</v>
      </c>
      <c r="E10" s="25">
        <v>50042898.390080124</v>
      </c>
      <c r="F10" s="25">
        <v>167.15014507860977</v>
      </c>
      <c r="G10" s="25">
        <v>574964.92440801219</v>
      </c>
      <c r="H10" s="25">
        <v>-17941.485725732586</v>
      </c>
      <c r="I10" s="25">
        <v>869.42962561817558</v>
      </c>
      <c r="J10" s="25">
        <v>5812.631917706095</v>
      </c>
      <c r="K10" s="25">
        <v>-368680.4554857965</v>
      </c>
      <c r="L10" s="25">
        <v>-4349.8163123986815</v>
      </c>
      <c r="M10" s="53">
        <v>2.9635215979515124</v>
      </c>
      <c r="N10" s="54">
        <v>1.1547124824871297E-2</v>
      </c>
      <c r="O10" s="54">
        <v>-1.0475055180641325E-5</v>
      </c>
      <c r="P10" s="54">
        <v>6.006224169732377</v>
      </c>
      <c r="Q10" s="54">
        <v>97.175165959554761</v>
      </c>
      <c r="R10" s="54">
        <v>-2546.9312264029213</v>
      </c>
      <c r="S10" s="55">
        <v>-30.049553292883502</v>
      </c>
      <c r="T10" s="136">
        <v>0.174006957096593</v>
      </c>
      <c r="V10" s="5"/>
      <c r="W10" s="10"/>
      <c r="X10" s="145" t="s">
        <v>55</v>
      </c>
      <c r="Y10" s="146">
        <v>2.5999999999999999E-2</v>
      </c>
      <c r="Z10" s="12"/>
      <c r="AA10" s="66">
        <v>45715</v>
      </c>
      <c r="AB10" s="64">
        <v>1.02</v>
      </c>
      <c r="AC10" s="66">
        <v>45715</v>
      </c>
      <c r="AD10" s="140">
        <v>3.1E-2</v>
      </c>
      <c r="AE10" s="13"/>
      <c r="AF10" s="5"/>
    </row>
    <row r="11" spans="1:33">
      <c r="A11" s="47">
        <v>45483.625</v>
      </c>
      <c r="B11" s="48">
        <v>3428.9657000000002</v>
      </c>
      <c r="C11" s="49">
        <v>-3.1529056929898713E-3</v>
      </c>
      <c r="D11" s="25">
        <v>46881.752847757409</v>
      </c>
      <c r="E11" s="25">
        <v>50046881.752847761</v>
      </c>
      <c r="F11" s="25">
        <v>169.28567218245254</v>
      </c>
      <c r="G11" s="25">
        <v>580474.76341507398</v>
      </c>
      <c r="H11" s="25">
        <v>-16773.991441980765</v>
      </c>
      <c r="I11" s="25">
        <v>979.87272842437881</v>
      </c>
      <c r="J11" s="25">
        <v>5827.6201216071177</v>
      </c>
      <c r="K11" s="25">
        <v>-369492.13359390135</v>
      </c>
      <c r="L11" s="25">
        <v>-4378.1087319049366</v>
      </c>
      <c r="M11" s="53">
        <v>3.2387016588422739</v>
      </c>
      <c r="N11" s="54">
        <v>1.169465205569345E-2</v>
      </c>
      <c r="O11" s="54">
        <v>-9.855467679807048E-6</v>
      </c>
      <c r="P11" s="54">
        <v>6.7691910780467879</v>
      </c>
      <c r="Q11" s="54">
        <v>97.425737683713123</v>
      </c>
      <c r="R11" s="54">
        <v>-2552.538489518065</v>
      </c>
      <c r="S11" s="55">
        <v>-30.245003975551299</v>
      </c>
      <c r="T11" s="136">
        <v>4.9047701911005798E-2</v>
      </c>
      <c r="V11" s="18"/>
      <c r="W11" s="10"/>
      <c r="X11" s="143" t="s">
        <v>20</v>
      </c>
      <c r="Y11" s="147">
        <v>1</v>
      </c>
      <c r="Z11" s="12"/>
      <c r="AA11" s="66">
        <v>45743</v>
      </c>
      <c r="AB11" s="64">
        <v>1.02</v>
      </c>
      <c r="AC11" s="66">
        <v>45743</v>
      </c>
      <c r="AD11" s="140">
        <v>3.1E-2</v>
      </c>
      <c r="AE11" s="13"/>
      <c r="AF11" s="18"/>
    </row>
    <row r="12" spans="1:33">
      <c r="A12" s="47">
        <v>45484.625</v>
      </c>
      <c r="B12" s="48">
        <v>3468.1689999999999</v>
      </c>
      <c r="C12" s="49">
        <v>1.14329810881455E-2</v>
      </c>
      <c r="D12" s="25">
        <v>59233.85302241992</v>
      </c>
      <c r="E12" s="25">
        <v>50059233.853022419</v>
      </c>
      <c r="F12" s="25">
        <v>163.50689142750659</v>
      </c>
      <c r="G12" s="25">
        <v>567069.53213524411</v>
      </c>
      <c r="H12" s="25">
        <v>-21348.904373091056</v>
      </c>
      <c r="I12" s="25">
        <v>553.55291474444289</v>
      </c>
      <c r="J12" s="25">
        <v>5823.6498330812319</v>
      </c>
      <c r="K12" s="25">
        <v>-357064.73435829917</v>
      </c>
      <c r="L12" s="25">
        <v>-4210.1323794787359</v>
      </c>
      <c r="M12" s="53">
        <v>4.0920137663433707</v>
      </c>
      <c r="N12" s="54">
        <v>1.129544030100701E-2</v>
      </c>
      <c r="O12" s="54">
        <v>-1.2261460138788268E-5</v>
      </c>
      <c r="P12" s="54">
        <v>3.8240736199895764</v>
      </c>
      <c r="Q12" s="54">
        <v>97.359362683218933</v>
      </c>
      <c r="R12" s="54">
        <v>-2466.6870951597048</v>
      </c>
      <c r="S12" s="55">
        <v>-29.084583858548285</v>
      </c>
      <c r="T12" s="136">
        <v>0.17785544604531517</v>
      </c>
      <c r="V12" s="5"/>
      <c r="W12" s="10"/>
      <c r="X12" s="148" t="s">
        <v>132</v>
      </c>
      <c r="Y12" s="149">
        <v>0</v>
      </c>
      <c r="Z12" s="12"/>
      <c r="AA12" s="66">
        <v>45775</v>
      </c>
      <c r="AB12" s="64">
        <v>1.02</v>
      </c>
      <c r="AC12" s="66">
        <v>45775</v>
      </c>
      <c r="AD12" s="140">
        <v>3.1E-2</v>
      </c>
      <c r="AE12" s="13"/>
      <c r="AF12" s="19"/>
    </row>
    <row r="13" spans="1:33">
      <c r="A13" s="47">
        <v>45485.625</v>
      </c>
      <c r="B13" s="48">
        <v>3472.4014000000002</v>
      </c>
      <c r="C13" s="49">
        <v>1.2203557554433253E-3</v>
      </c>
      <c r="D13" s="25">
        <v>65752.270555299896</v>
      </c>
      <c r="E13" s="25">
        <v>50065752.270555303</v>
      </c>
      <c r="F13" s="25">
        <v>163.22383239244442</v>
      </c>
      <c r="G13" s="25">
        <v>566778.66411288944</v>
      </c>
      <c r="H13" s="25">
        <v>-22115.894186715072</v>
      </c>
      <c r="I13" s="25">
        <v>502.03804272908235</v>
      </c>
      <c r="J13" s="25">
        <v>5827.5413930562581</v>
      </c>
      <c r="K13" s="25">
        <v>-353857.85103229404</v>
      </c>
      <c r="L13" s="25">
        <v>-4179.8709470827689</v>
      </c>
      <c r="M13" s="53">
        <v>4.5423213677959211</v>
      </c>
      <c r="N13" s="54">
        <v>1.1275885917676183E-2</v>
      </c>
      <c r="O13" s="54">
        <v>-1.2671025379852987E-5</v>
      </c>
      <c r="P13" s="54">
        <v>3.4681967781125422</v>
      </c>
      <c r="Q13" s="54">
        <v>97.424421505413193</v>
      </c>
      <c r="R13" s="54">
        <v>-2444.5331915260795</v>
      </c>
      <c r="S13" s="55">
        <v>-28.875530772120328</v>
      </c>
      <c r="T13" s="136">
        <v>1.8984280262948159E-2</v>
      </c>
      <c r="V13" s="5"/>
      <c r="W13" s="10"/>
      <c r="X13" s="148" t="s">
        <v>133</v>
      </c>
      <c r="Y13" s="149" t="s">
        <v>134</v>
      </c>
      <c r="Z13" s="12"/>
      <c r="AA13" s="66">
        <v>45804</v>
      </c>
      <c r="AB13" s="64">
        <v>1.02</v>
      </c>
      <c r="AC13" s="66">
        <v>45804</v>
      </c>
      <c r="AD13" s="140">
        <v>3.1E-2</v>
      </c>
      <c r="AE13" s="13"/>
      <c r="AF13" s="19"/>
    </row>
    <row r="14" spans="1:33">
      <c r="A14" s="47">
        <v>45488.625</v>
      </c>
      <c r="B14" s="48">
        <v>3476.2467000000001</v>
      </c>
      <c r="C14" s="49">
        <v>1.1073892551707321E-3</v>
      </c>
      <c r="D14" s="25">
        <v>72205.486138636858</v>
      </c>
      <c r="E14" s="25">
        <v>50072205.486138634</v>
      </c>
      <c r="F14" s="25">
        <v>162.85185007170037</v>
      </c>
      <c r="G14" s="25">
        <v>566113.20640064322</v>
      </c>
      <c r="H14" s="25">
        <v>-24718.230891688239</v>
      </c>
      <c r="I14" s="25">
        <v>486.48162689393729</v>
      </c>
      <c r="J14" s="25">
        <v>5830.0046606304886</v>
      </c>
      <c r="K14" s="25">
        <v>-350744.86569991795</v>
      </c>
      <c r="L14" s="25">
        <v>-4145.0309046367247</v>
      </c>
      <c r="M14" s="53">
        <v>4.98812466534946</v>
      </c>
      <c r="N14" s="54">
        <v>1.125018850480073E-2</v>
      </c>
      <c r="O14" s="54">
        <v>-1.4130688022888845E-5</v>
      </c>
      <c r="P14" s="54">
        <v>3.3607294017656386</v>
      </c>
      <c r="Q14" s="54">
        <v>97.465602237088206</v>
      </c>
      <c r="R14" s="54">
        <v>-2423.0279572984728</v>
      </c>
      <c r="S14" s="55">
        <v>-28.634847571493083</v>
      </c>
      <c r="T14" s="136">
        <v>1.7226933938375582E-2</v>
      </c>
      <c r="V14" s="5"/>
      <c r="W14" s="10"/>
      <c r="X14" s="150" t="s">
        <v>135</v>
      </c>
      <c r="Y14" s="149" t="b">
        <v>1</v>
      </c>
      <c r="Z14" s="12"/>
      <c r="AA14" s="66">
        <v>45835</v>
      </c>
      <c r="AB14" s="64">
        <v>1.02</v>
      </c>
      <c r="AC14" s="66">
        <v>45835</v>
      </c>
      <c r="AD14" s="140">
        <v>3.1E-2</v>
      </c>
      <c r="AE14" s="13"/>
      <c r="AF14" s="5"/>
    </row>
    <row r="15" spans="1:33">
      <c r="A15" s="47">
        <v>45489.625</v>
      </c>
      <c r="B15" s="48">
        <v>3498.2827000000002</v>
      </c>
      <c r="C15" s="49">
        <v>6.339020760523173E-3</v>
      </c>
      <c r="D15" s="25">
        <v>81558.738192111035</v>
      </c>
      <c r="E15" s="25">
        <v>50081558.738192111</v>
      </c>
      <c r="F15" s="25">
        <v>159.10026875379035</v>
      </c>
      <c r="G15" s="25">
        <v>556577.71774673532</v>
      </c>
      <c r="H15" s="25">
        <v>-25426.499826677296</v>
      </c>
      <c r="I15" s="25">
        <v>288.01971254098709</v>
      </c>
      <c r="J15" s="25">
        <v>5864.2308734972303</v>
      </c>
      <c r="K15" s="25">
        <v>-342790.70697836368</v>
      </c>
      <c r="L15" s="25">
        <v>-4025.7074025411716</v>
      </c>
      <c r="M15" s="53">
        <v>5.6342692973457815</v>
      </c>
      <c r="N15" s="54">
        <v>1.0991020451143408E-2</v>
      </c>
      <c r="O15" s="54">
        <v>-1.4353039430499472E-5</v>
      </c>
      <c r="P15" s="54">
        <v>1.9897078588655859</v>
      </c>
      <c r="Q15" s="54">
        <v>98.037793623465404</v>
      </c>
      <c r="R15" s="54">
        <v>-2368.0787596226764</v>
      </c>
      <c r="S15" s="55">
        <v>-27.810532777994013</v>
      </c>
      <c r="T15" s="136">
        <v>9.8612020448661311E-2</v>
      </c>
      <c r="V15" s="5"/>
      <c r="W15" s="10"/>
      <c r="X15" s="141" t="s">
        <v>21</v>
      </c>
      <c r="Y15" s="151">
        <v>50000000</v>
      </c>
      <c r="Z15" s="12"/>
      <c r="AA15" s="66"/>
      <c r="AB15" s="64"/>
      <c r="AC15" s="66"/>
      <c r="AD15" s="140"/>
      <c r="AE15" s="13"/>
      <c r="AF15" s="5"/>
    </row>
    <row r="16" spans="1:33">
      <c r="A16" s="47">
        <v>45490.625</v>
      </c>
      <c r="B16" s="48">
        <v>3501.5835999999999</v>
      </c>
      <c r="C16" s="49">
        <v>9.4357725863591924E-4</v>
      </c>
      <c r="D16" s="25">
        <v>87942.940494200811</v>
      </c>
      <c r="E16" s="25">
        <v>50087942.940494202</v>
      </c>
      <c r="F16" s="25">
        <v>158.84014745988762</v>
      </c>
      <c r="G16" s="25">
        <v>556192.05536712415</v>
      </c>
      <c r="H16" s="25">
        <v>-26003.246962361449</v>
      </c>
      <c r="I16" s="25">
        <v>242.35952954292938</v>
      </c>
      <c r="J16" s="25">
        <v>5855.9294739120496</v>
      </c>
      <c r="K16" s="25">
        <v>-339793.23980116541</v>
      </c>
      <c r="L16" s="25">
        <v>-3997.5311140861236</v>
      </c>
      <c r="M16" s="53">
        <v>6.075304995249553</v>
      </c>
      <c r="N16" s="54">
        <v>1.0973050660875568E-2</v>
      </c>
      <c r="O16" s="54">
        <v>-1.4650946560386594E-5</v>
      </c>
      <c r="P16" s="54">
        <v>1.6742765845719987</v>
      </c>
      <c r="Q16" s="54">
        <v>97.899011417090151</v>
      </c>
      <c r="R16" s="54">
        <v>-2347.3715519578036</v>
      </c>
      <c r="S16" s="55">
        <v>-27.615884355918752</v>
      </c>
      <c r="T16" s="136">
        <v>1.4678617319407169E-2</v>
      </c>
      <c r="V16" s="5"/>
      <c r="W16" s="10"/>
      <c r="X16" s="152" t="s">
        <v>22</v>
      </c>
      <c r="Y16" s="153">
        <f>Y15/Y8</f>
        <v>14475.466978564729</v>
      </c>
      <c r="Z16" s="12"/>
      <c r="AA16" s="66"/>
      <c r="AB16" s="64"/>
      <c r="AC16" s="66"/>
      <c r="AD16" s="140"/>
      <c r="AE16" s="13"/>
      <c r="AF16" s="5"/>
    </row>
    <row r="17" spans="1:33">
      <c r="A17" s="47">
        <v>45491.625</v>
      </c>
      <c r="B17" s="48">
        <v>3520.931</v>
      </c>
      <c r="C17" s="49">
        <v>5.5253285970382482E-3</v>
      </c>
      <c r="D17" s="25">
        <v>96865.191863038985</v>
      </c>
      <c r="E17" s="25">
        <v>50096865.191863038</v>
      </c>
      <c r="F17" s="25">
        <v>155.02309524144715</v>
      </c>
      <c r="G17" s="25">
        <v>545825.62175156374</v>
      </c>
      <c r="H17" s="25">
        <v>-28232.558805428002</v>
      </c>
      <c r="I17" s="25">
        <v>-13.278393963406959</v>
      </c>
      <c r="J17" s="25">
        <v>5865.1568210870273</v>
      </c>
      <c r="K17" s="25">
        <v>-332539.61059895233</v>
      </c>
      <c r="L17" s="25">
        <v>-3880.6143119127191</v>
      </c>
      <c r="M17" s="53">
        <v>6.6916750870996111</v>
      </c>
      <c r="N17" s="54">
        <v>1.0709359723552987E-2</v>
      </c>
      <c r="O17" s="54">
        <v>-1.5732665739254581E-5</v>
      </c>
      <c r="P17" s="54">
        <v>-9.1730265921796672E-2</v>
      </c>
      <c r="Q17" s="54">
        <v>98.053273549251571</v>
      </c>
      <c r="R17" s="54">
        <v>-2297.2617768260534</v>
      </c>
      <c r="S17" s="55">
        <v>-26.808195611056362</v>
      </c>
      <c r="T17" s="136">
        <v>8.5953941023493352E-2</v>
      </c>
      <c r="V17" s="5"/>
      <c r="W17" s="10"/>
      <c r="X17" s="20"/>
      <c r="Y17" s="129"/>
      <c r="Z17" s="12"/>
      <c r="AA17" s="66"/>
      <c r="AB17" s="64"/>
      <c r="AC17" s="66"/>
      <c r="AD17" s="140"/>
      <c r="AE17" s="13"/>
      <c r="AF17" s="5"/>
    </row>
    <row r="18" spans="1:33">
      <c r="A18" s="47">
        <v>45492.625</v>
      </c>
      <c r="B18" s="48">
        <v>3539.0156000000002</v>
      </c>
      <c r="C18" s="49">
        <v>5.1363119583995864E-3</v>
      </c>
      <c r="D18" s="25">
        <v>105527.27376106936</v>
      </c>
      <c r="E18" s="25">
        <v>50105527.273761071</v>
      </c>
      <c r="F18" s="25">
        <v>151.17885786766183</v>
      </c>
      <c r="G18" s="25">
        <v>535024.33638383797</v>
      </c>
      <c r="H18" s="25">
        <v>-30119.10676354769</v>
      </c>
      <c r="I18" s="25">
        <v>-228.64163349676156</v>
      </c>
      <c r="J18" s="25">
        <v>5857.8965599906105</v>
      </c>
      <c r="K18" s="25">
        <v>-325635.31044064212</v>
      </c>
      <c r="L18" s="25">
        <v>-3762.8921443399295</v>
      </c>
      <c r="M18" s="53">
        <v>7.2900720605080096</v>
      </c>
      <c r="N18" s="54">
        <v>1.0443790771814067E-2</v>
      </c>
      <c r="O18" s="54">
        <v>-1.6612853551086381E-5</v>
      </c>
      <c r="P18" s="54">
        <v>-1.5795101349795004</v>
      </c>
      <c r="Q18" s="54">
        <v>97.931897021898294</v>
      </c>
      <c r="R18" s="54">
        <v>-2249.5652488219093</v>
      </c>
      <c r="S18" s="55">
        <v>-25.994943212754151</v>
      </c>
      <c r="T18" s="136">
        <v>7.990226235362588E-2</v>
      </c>
      <c r="V18" s="5"/>
      <c r="W18" s="10"/>
      <c r="X18" s="20"/>
      <c r="Y18" s="129"/>
      <c r="Z18" s="12"/>
      <c r="AA18" s="66"/>
      <c r="AB18" s="64"/>
      <c r="AC18" s="66"/>
      <c r="AD18" s="140"/>
      <c r="AE18" s="13"/>
      <c r="AF18" s="5"/>
    </row>
    <row r="19" spans="1:33" ht="15.6">
      <c r="A19" s="47">
        <v>45495.625</v>
      </c>
      <c r="B19" s="48">
        <v>3514.9249</v>
      </c>
      <c r="C19" s="49">
        <v>-6.8071754190629497E-3</v>
      </c>
      <c r="D19" s="25">
        <v>107660.63028858035</v>
      </c>
      <c r="E19" s="25">
        <v>50107660.630288579</v>
      </c>
      <c r="F19" s="25">
        <v>157.22224808394134</v>
      </c>
      <c r="G19" s="25">
        <v>552624.39462422265</v>
      </c>
      <c r="H19" s="25">
        <v>-28055.817899075137</v>
      </c>
      <c r="I19" s="25">
        <v>36.345717429509072</v>
      </c>
      <c r="J19" s="25">
        <v>5845.0661688445871</v>
      </c>
      <c r="K19" s="25">
        <v>-329839.23326568946</v>
      </c>
      <c r="L19" s="25">
        <v>-3888.5890700896848</v>
      </c>
      <c r="M19" s="53">
        <v>7.4374493428163078</v>
      </c>
      <c r="N19" s="54">
        <v>1.0861282369921664E-2</v>
      </c>
      <c r="O19" s="54">
        <v>-1.5687651614460409E-5</v>
      </c>
      <c r="P19" s="54">
        <v>0.25108475724664459</v>
      </c>
      <c r="Q19" s="54">
        <v>97.717399457525971</v>
      </c>
      <c r="R19" s="54">
        <v>-2278.6069356192002</v>
      </c>
      <c r="S19" s="55">
        <v>-26.863287114611012</v>
      </c>
      <c r="T19" s="136">
        <v>0.10589479779000738</v>
      </c>
      <c r="V19" s="5"/>
      <c r="W19" s="10"/>
      <c r="X19" s="167" t="s">
        <v>74</v>
      </c>
      <c r="Y19" s="168"/>
      <c r="Z19" s="12"/>
      <c r="AA19" s="66"/>
      <c r="AB19" s="64"/>
      <c r="AC19" s="64"/>
      <c r="AD19" s="140"/>
      <c r="AE19" s="13"/>
      <c r="AF19" s="5"/>
    </row>
    <row r="20" spans="1:33" ht="15.6">
      <c r="A20" s="47">
        <v>45496.625</v>
      </c>
      <c r="B20" s="48">
        <v>3439.8779</v>
      </c>
      <c r="C20" s="49">
        <v>-2.1350954041720827E-2</v>
      </c>
      <c r="D20" s="25">
        <v>101059.49818165672</v>
      </c>
      <c r="E20" s="25">
        <v>50101059.498181656</v>
      </c>
      <c r="F20" s="25">
        <v>172.60402249947555</v>
      </c>
      <c r="G20" s="25">
        <v>593736.76244704868</v>
      </c>
      <c r="H20" s="25">
        <v>-19576.910785410801</v>
      </c>
      <c r="I20" s="25">
        <v>921.7685438043618</v>
      </c>
      <c r="J20" s="25">
        <v>5825.5997534788858</v>
      </c>
      <c r="K20" s="25">
        <v>-348106.78617025964</v>
      </c>
      <c r="L20" s="25">
        <v>-4237.4812237282877</v>
      </c>
      <c r="M20" s="53">
        <v>6.981427624209573</v>
      </c>
      <c r="N20" s="54">
        <v>1.1923891493716645E-2</v>
      </c>
      <c r="O20" s="54">
        <v>-1.1429446778086509E-5</v>
      </c>
      <c r="P20" s="54">
        <v>6.3677937162083253</v>
      </c>
      <c r="Q20" s="54">
        <v>97.391961313397587</v>
      </c>
      <c r="R20" s="54">
        <v>-2404.8034839589036</v>
      </c>
      <c r="S20" s="55">
        <v>-29.273516101602581</v>
      </c>
      <c r="T20" s="136">
        <v>0.33214289652946866</v>
      </c>
      <c r="V20" s="5"/>
      <c r="W20" s="10"/>
      <c r="X20" s="95" t="s">
        <v>136</v>
      </c>
      <c r="Y20" s="94">
        <v>0</v>
      </c>
      <c r="Z20" s="12"/>
      <c r="AA20" s="66"/>
      <c r="AB20" s="64"/>
      <c r="AC20" s="64"/>
      <c r="AD20" s="140"/>
      <c r="AE20" s="13"/>
      <c r="AF20" s="5"/>
    </row>
    <row r="21" spans="1:33" ht="15.6">
      <c r="A21" s="47">
        <v>45497.625</v>
      </c>
      <c r="B21" s="48">
        <v>3418.1662999999999</v>
      </c>
      <c r="C21" s="49">
        <v>-6.3117356578267225E-3</v>
      </c>
      <c r="D21" s="25">
        <v>103112.03770006394</v>
      </c>
      <c r="E21" s="25">
        <v>50103112.037700064</v>
      </c>
      <c r="F21" s="25">
        <v>176.58394123104725</v>
      </c>
      <c r="G21" s="25">
        <v>603593.27703714615</v>
      </c>
      <c r="H21" s="25">
        <v>-16833.20634849383</v>
      </c>
      <c r="I21" s="25">
        <v>1134.242186410218</v>
      </c>
      <c r="J21" s="25">
        <v>5823.3367944427409</v>
      </c>
      <c r="K21" s="25">
        <v>-352025.41820931993</v>
      </c>
      <c r="L21" s="25">
        <v>-4308.0222681914674</v>
      </c>
      <c r="M21" s="53">
        <v>7.1232218776090122</v>
      </c>
      <c r="N21" s="54">
        <v>1.2198833632502636E-2</v>
      </c>
      <c r="O21" s="54">
        <v>-9.9528526321451757E-6</v>
      </c>
      <c r="P21" s="54">
        <v>7.8356115706355922</v>
      </c>
      <c r="Q21" s="54">
        <v>97.354129325580288</v>
      </c>
      <c r="R21" s="54">
        <v>-2431.874314963261</v>
      </c>
      <c r="S21" s="55">
        <v>-29.760830213899681</v>
      </c>
      <c r="T21" s="136">
        <v>9.8187563863536609E-2</v>
      </c>
      <c r="V21" s="5"/>
      <c r="W21" s="10"/>
      <c r="X21" s="95" t="s">
        <v>73</v>
      </c>
      <c r="Y21" s="94">
        <v>2.76E-2</v>
      </c>
      <c r="Z21" s="12"/>
      <c r="AA21" s="66"/>
      <c r="AB21" s="64"/>
      <c r="AC21" s="64"/>
      <c r="AD21" s="140"/>
      <c r="AE21" s="13"/>
      <c r="AF21" s="5"/>
    </row>
    <row r="22" spans="1:33" ht="15.6">
      <c r="A22" s="47">
        <v>45498.625</v>
      </c>
      <c r="B22" s="48">
        <v>3399.2716</v>
      </c>
      <c r="C22" s="49">
        <v>-5.5277298825395782E-3</v>
      </c>
      <c r="D22" s="25">
        <v>105584.10679506652</v>
      </c>
      <c r="E22" s="25">
        <v>50105584.106795065</v>
      </c>
      <c r="F22" s="25">
        <v>179.90162119104647</v>
      </c>
      <c r="G22" s="25">
        <v>611534.47170868248</v>
      </c>
      <c r="H22" s="25">
        <v>-16278.600647903822</v>
      </c>
      <c r="I22" s="25">
        <v>1312.9334125059147</v>
      </c>
      <c r="J22" s="25">
        <v>5801.6294140422742</v>
      </c>
      <c r="K22" s="25">
        <v>-355200.84070851008</v>
      </c>
      <c r="L22" s="25">
        <v>-4362.3279612597798</v>
      </c>
      <c r="M22" s="53">
        <v>7.2939982200541635</v>
      </c>
      <c r="N22" s="54">
        <v>1.2428026760687289E-2</v>
      </c>
      <c r="O22" s="54">
        <v>-9.7322317036999475E-6</v>
      </c>
      <c r="P22" s="54">
        <v>9.0700525529427978</v>
      </c>
      <c r="Q22" s="54">
        <v>96.991226887781522</v>
      </c>
      <c r="R22" s="54">
        <v>-2453.8108798119538</v>
      </c>
      <c r="S22" s="55">
        <v>-30.135986703453455</v>
      </c>
      <c r="T22" s="136">
        <v>8.5991296259247577E-2</v>
      </c>
      <c r="V22" s="5"/>
      <c r="W22" s="10"/>
      <c r="X22" s="95" t="s">
        <v>137</v>
      </c>
      <c r="Y22" s="154">
        <v>0.2</v>
      </c>
      <c r="Z22" s="12"/>
      <c r="AA22" s="66"/>
      <c r="AB22" s="64"/>
      <c r="AC22" s="64"/>
      <c r="AD22" s="140"/>
      <c r="AE22" s="13"/>
      <c r="AF22" s="5"/>
    </row>
    <row r="23" spans="1:33" ht="15.6">
      <c r="A23" s="47">
        <v>45499.625</v>
      </c>
      <c r="B23" s="48">
        <v>3409.2930999999999</v>
      </c>
      <c r="C23" s="49">
        <v>2.9481315938391095E-3</v>
      </c>
      <c r="D23" s="25">
        <v>113174.00522611129</v>
      </c>
      <c r="E23" s="25">
        <v>50113174.005226113</v>
      </c>
      <c r="F23" s="25">
        <v>179.07755011712669</v>
      </c>
      <c r="G23" s="25">
        <v>610527.8559792242</v>
      </c>
      <c r="H23" s="25">
        <v>-15885.263126126178</v>
      </c>
      <c r="I23" s="25">
        <v>1187.6629885296959</v>
      </c>
      <c r="J23" s="25">
        <v>5822.262329234969</v>
      </c>
      <c r="K23" s="25">
        <v>-350417.95194507099</v>
      </c>
      <c r="L23" s="25">
        <v>-4316.2961862515485</v>
      </c>
      <c r="M23" s="53">
        <v>7.8183262399320483</v>
      </c>
      <c r="N23" s="54">
        <v>1.2371097994333887E-2</v>
      </c>
      <c r="O23" s="54">
        <v>-9.4413225856326987E-6</v>
      </c>
      <c r="P23" s="54">
        <v>8.2046550255654438</v>
      </c>
      <c r="Q23" s="54">
        <v>97.336166492846132</v>
      </c>
      <c r="R23" s="54">
        <v>-2420.7695602552576</v>
      </c>
      <c r="S23" s="55">
        <v>-29.817988384229466</v>
      </c>
      <c r="T23" s="136">
        <v>4.5862164520346652E-2</v>
      </c>
      <c r="V23" s="5"/>
      <c r="W23" s="10"/>
      <c r="X23" s="95" t="s">
        <v>138</v>
      </c>
      <c r="Y23" s="94">
        <v>1.5700000000000002E-2</v>
      </c>
      <c r="Z23" s="12"/>
      <c r="AA23" s="66"/>
      <c r="AB23" s="64"/>
      <c r="AC23" s="64"/>
      <c r="AD23" s="140"/>
      <c r="AE23" s="13"/>
      <c r="AF23" s="5"/>
    </row>
    <row r="24" spans="1:33" ht="15.6">
      <c r="A24" s="47">
        <v>45502.625</v>
      </c>
      <c r="B24" s="48">
        <v>3390.7420000000002</v>
      </c>
      <c r="C24" s="49">
        <v>-5.4413332781507728E-3</v>
      </c>
      <c r="D24" s="25">
        <v>115640.67232713081</v>
      </c>
      <c r="E24" s="25">
        <v>50115640.672327131</v>
      </c>
      <c r="F24" s="25">
        <v>182.04302131803783</v>
      </c>
      <c r="G24" s="25">
        <v>617260.91818996624</v>
      </c>
      <c r="H24" s="25">
        <v>-17147.445289571286</v>
      </c>
      <c r="I24" s="25">
        <v>1434.8844980270885</v>
      </c>
      <c r="J24" s="25">
        <v>5796.0276956488697</v>
      </c>
      <c r="K24" s="25">
        <v>-353541.19899879635</v>
      </c>
      <c r="L24" s="25">
        <v>-4355.3701266446787</v>
      </c>
      <c r="M24" s="53">
        <v>7.9887293999381654</v>
      </c>
      <c r="N24" s="54">
        <v>1.257595971375015E-2</v>
      </c>
      <c r="O24" s="54">
        <v>-1.0303316410864789E-5</v>
      </c>
      <c r="P24" s="54">
        <v>9.9125193102281628</v>
      </c>
      <c r="Q24" s="54">
        <v>96.897577759083106</v>
      </c>
      <c r="R24" s="54">
        <v>-2442.3456848654496</v>
      </c>
      <c r="S24" s="55">
        <v>-30.087920346841202</v>
      </c>
      <c r="T24" s="136">
        <v>8.4647280512881631E-2</v>
      </c>
      <c r="V24" s="5"/>
      <c r="W24" s="10"/>
      <c r="X24" s="95" t="s">
        <v>139</v>
      </c>
      <c r="Y24" s="94">
        <v>-1.0160000000000001E-2</v>
      </c>
      <c r="Z24" s="12"/>
      <c r="AA24" s="66"/>
      <c r="AB24" s="64"/>
      <c r="AC24" s="64"/>
      <c r="AD24" s="140"/>
      <c r="AE24" s="13"/>
      <c r="AF24" s="5"/>
    </row>
    <row r="25" spans="1:33" ht="15.6">
      <c r="A25" s="47">
        <v>45503.625</v>
      </c>
      <c r="B25" s="48">
        <v>3369.38</v>
      </c>
      <c r="C25" s="49">
        <v>-6.3000959671953849E-3</v>
      </c>
      <c r="D25" s="25">
        <v>121265.46060998217</v>
      </c>
      <c r="E25" s="25">
        <v>50121265.46060998</v>
      </c>
      <c r="F25" s="25">
        <v>185.43358025448634</v>
      </c>
      <c r="G25" s="25">
        <v>624796.1966378612</v>
      </c>
      <c r="H25" s="25">
        <v>-11942.308972899331</v>
      </c>
      <c r="I25" s="25">
        <v>1806.2198061030006</v>
      </c>
      <c r="J25" s="25">
        <v>5835.2462088865368</v>
      </c>
      <c r="K25" s="25">
        <v>-357471.16941256571</v>
      </c>
      <c r="L25" s="25">
        <v>-4409.0454558068268</v>
      </c>
      <c r="M25" s="53">
        <v>8.3773090560430319</v>
      </c>
      <c r="N25" s="54">
        <v>1.2810196764572526E-2</v>
      </c>
      <c r="O25" s="54">
        <v>-7.2670095822932372E-6</v>
      </c>
      <c r="P25" s="54">
        <v>12.477799913312992</v>
      </c>
      <c r="Q25" s="54">
        <v>97.553300673589547</v>
      </c>
      <c r="R25" s="54">
        <v>-2469.4966313826626</v>
      </c>
      <c r="S25" s="55">
        <v>-30.458744179622954</v>
      </c>
      <c r="T25" s="136">
        <v>9.8006492771657308E-2</v>
      </c>
      <c r="V25" s="5"/>
      <c r="W25" s="10"/>
      <c r="X25" s="93" t="s">
        <v>140</v>
      </c>
      <c r="Y25" s="92">
        <v>0.14499999999999999</v>
      </c>
      <c r="Z25" s="12"/>
      <c r="AA25" s="66"/>
      <c r="AB25" s="64"/>
      <c r="AC25" s="64"/>
      <c r="AD25" s="140"/>
      <c r="AE25" s="13"/>
      <c r="AF25" s="5"/>
    </row>
    <row r="26" spans="1:33">
      <c r="V26" s="5"/>
      <c r="W26" s="10"/>
      <c r="X26" s="20"/>
      <c r="Y26" s="129"/>
      <c r="Z26" s="12"/>
      <c r="AA26" s="66"/>
      <c r="AB26" s="64"/>
      <c r="AC26" s="64"/>
      <c r="AD26" s="140"/>
      <c r="AE26" s="13"/>
      <c r="AF26" s="5"/>
    </row>
    <row r="27" spans="1:33" ht="15" thickBot="1">
      <c r="V27" s="5"/>
      <c r="W27" s="22"/>
      <c r="X27" s="23"/>
      <c r="Y27" s="155"/>
      <c r="Z27" s="23"/>
      <c r="AA27" s="23"/>
      <c r="AB27" s="63"/>
      <c r="AC27" s="63"/>
      <c r="AD27" s="156"/>
      <c r="AE27" s="24"/>
      <c r="AF27" s="5"/>
    </row>
    <row r="28" spans="1:33">
      <c r="V28" s="5"/>
      <c r="W28" s="5"/>
      <c r="X28" s="5"/>
      <c r="Y28" s="18"/>
      <c r="Z28" s="5"/>
      <c r="AA28" s="18"/>
      <c r="AB28" s="62"/>
      <c r="AC28" s="62"/>
      <c r="AD28" s="157"/>
      <c r="AE28" s="5"/>
      <c r="AF28" s="5"/>
    </row>
    <row r="30" spans="1:33">
      <c r="AA30" s="90"/>
      <c r="AE30" s="60"/>
      <c r="AF30" s="60"/>
      <c r="AG30" s="60"/>
    </row>
    <row r="31" spans="1:33">
      <c r="AA31" s="90"/>
      <c r="AE31" s="60"/>
      <c r="AF31" s="60"/>
      <c r="AG31" s="60"/>
    </row>
    <row r="32" spans="1:33">
      <c r="AA32" s="90"/>
      <c r="AE32" s="60"/>
      <c r="AF32" s="60"/>
      <c r="AG32" s="60"/>
    </row>
    <row r="33" spans="1:33" s="60" customFormat="1">
      <c r="A33" s="47"/>
      <c r="B33" s="48"/>
      <c r="C33" s="49"/>
      <c r="D33" s="26"/>
      <c r="E33" s="26"/>
      <c r="F33" s="26"/>
      <c r="G33" s="26"/>
      <c r="H33" s="26"/>
      <c r="I33" s="26"/>
      <c r="J33" s="26"/>
      <c r="K33" s="26"/>
      <c r="L33" s="26"/>
      <c r="M33" s="56"/>
      <c r="N33" s="57"/>
      <c r="O33" s="57"/>
      <c r="P33" s="57"/>
      <c r="Q33" s="57"/>
      <c r="R33" s="57"/>
      <c r="S33" s="138"/>
      <c r="T33" s="136"/>
      <c r="U33"/>
      <c r="V33"/>
      <c r="W33"/>
      <c r="X33"/>
      <c r="Y33" s="4"/>
      <c r="Z33"/>
      <c r="AA33" s="90"/>
      <c r="AD33" s="59"/>
    </row>
    <row r="34" spans="1:33" s="60" customFormat="1">
      <c r="A34" s="47"/>
      <c r="B34" s="48"/>
      <c r="C34" s="49"/>
      <c r="D34" s="26"/>
      <c r="E34" s="26"/>
      <c r="F34" s="26"/>
      <c r="G34" s="26"/>
      <c r="H34" s="26"/>
      <c r="I34" s="26"/>
      <c r="J34" s="26"/>
      <c r="K34" s="26"/>
      <c r="L34" s="26"/>
      <c r="M34" s="56"/>
      <c r="N34" s="57"/>
      <c r="O34" s="57"/>
      <c r="P34" s="57"/>
      <c r="Q34" s="57"/>
      <c r="R34" s="57"/>
      <c r="S34" s="138"/>
      <c r="T34" s="136"/>
      <c r="U34"/>
      <c r="V34"/>
      <c r="W34"/>
      <c r="X34"/>
      <c r="Y34" s="4"/>
      <c r="Z34"/>
      <c r="AA34" s="90"/>
      <c r="AD34" s="59"/>
    </row>
    <row r="35" spans="1:33" s="60" customFormat="1">
      <c r="A35" s="47"/>
      <c r="B35" s="48"/>
      <c r="C35" s="49"/>
      <c r="D35" s="26"/>
      <c r="E35" s="26"/>
      <c r="F35" s="26"/>
      <c r="G35" s="26"/>
      <c r="H35" s="26"/>
      <c r="I35" s="26"/>
      <c r="J35" s="26"/>
      <c r="K35" s="26"/>
      <c r="L35" s="26"/>
      <c r="M35" s="56"/>
      <c r="N35" s="57"/>
      <c r="O35" s="57"/>
      <c r="P35" s="57"/>
      <c r="Q35" s="57"/>
      <c r="R35" s="57"/>
      <c r="S35" s="138"/>
      <c r="T35" s="136"/>
      <c r="U35"/>
      <c r="V35"/>
      <c r="W35"/>
      <c r="X35"/>
      <c r="Y35" s="4"/>
      <c r="Z35"/>
      <c r="AA35" s="90"/>
      <c r="AD35" s="59"/>
    </row>
    <row r="36" spans="1:33" s="60" customFormat="1">
      <c r="A36" s="47"/>
      <c r="B36" s="48"/>
      <c r="C36" s="49"/>
      <c r="D36" s="26"/>
      <c r="E36" s="26"/>
      <c r="F36" s="26"/>
      <c r="G36" s="26"/>
      <c r="H36" s="26"/>
      <c r="I36" s="26"/>
      <c r="J36" s="26"/>
      <c r="K36" s="26"/>
      <c r="L36" s="26"/>
      <c r="M36" s="56"/>
      <c r="N36" s="57"/>
      <c r="O36" s="57"/>
      <c r="P36" s="57"/>
      <c r="Q36" s="57"/>
      <c r="R36" s="57"/>
      <c r="S36" s="138"/>
      <c r="T36" s="136"/>
      <c r="U36"/>
      <c r="V36"/>
      <c r="W36"/>
      <c r="X36"/>
      <c r="Y36" s="4"/>
      <c r="Z36"/>
      <c r="AA36" s="90"/>
      <c r="AD36" s="59"/>
    </row>
    <row r="37" spans="1:33" s="60" customFormat="1">
      <c r="A37" s="47"/>
      <c r="B37" s="48"/>
      <c r="C37" s="49"/>
      <c r="D37" s="26"/>
      <c r="E37" s="26"/>
      <c r="F37" s="26"/>
      <c r="G37" s="26"/>
      <c r="H37" s="26"/>
      <c r="I37" s="26"/>
      <c r="J37" s="26"/>
      <c r="K37" s="26"/>
      <c r="L37" s="26"/>
      <c r="M37" s="56"/>
      <c r="N37" s="57"/>
      <c r="O37" s="57"/>
      <c r="P37" s="57"/>
      <c r="Q37" s="57"/>
      <c r="R37" s="57"/>
      <c r="S37" s="138"/>
      <c r="T37" s="136"/>
      <c r="U37"/>
      <c r="V37"/>
      <c r="W37"/>
      <c r="X37"/>
      <c r="Y37" s="4"/>
      <c r="Z37"/>
      <c r="AA37" s="34"/>
      <c r="AD37" s="59"/>
      <c r="AE37"/>
      <c r="AF37"/>
      <c r="AG37"/>
    </row>
    <row r="38" spans="1:33" s="60" customFormat="1">
      <c r="A38" s="47"/>
      <c r="B38" s="48"/>
      <c r="C38" s="49"/>
      <c r="D38" s="26"/>
      <c r="E38" s="26"/>
      <c r="F38" s="26"/>
      <c r="G38" s="26"/>
      <c r="H38" s="26"/>
      <c r="I38" s="26"/>
      <c r="J38" s="26"/>
      <c r="K38" s="26"/>
      <c r="L38" s="26"/>
      <c r="M38" s="56"/>
      <c r="N38" s="57"/>
      <c r="O38" s="57"/>
      <c r="P38" s="57"/>
      <c r="Q38" s="57"/>
      <c r="R38" s="57"/>
      <c r="S38" s="138"/>
      <c r="T38" s="136"/>
      <c r="U38"/>
      <c r="V38"/>
      <c r="W38"/>
      <c r="X38"/>
      <c r="Y38" s="4"/>
      <c r="Z38"/>
      <c r="AA38" s="34"/>
      <c r="AD38" s="59"/>
      <c r="AE38"/>
      <c r="AF38"/>
      <c r="AG38"/>
    </row>
    <row r="39" spans="1:33" s="60" customFormat="1">
      <c r="A39" s="47"/>
      <c r="B39" s="48"/>
      <c r="C39" s="49"/>
      <c r="D39" s="26"/>
      <c r="E39" s="26"/>
      <c r="F39" s="26"/>
      <c r="G39" s="26"/>
      <c r="H39" s="26"/>
      <c r="I39" s="26"/>
      <c r="J39" s="26"/>
      <c r="K39" s="26"/>
      <c r="L39" s="26"/>
      <c r="M39" s="56"/>
      <c r="N39" s="57"/>
      <c r="O39" s="57"/>
      <c r="P39" s="57"/>
      <c r="Q39" s="57"/>
      <c r="R39" s="57"/>
      <c r="S39" s="138"/>
      <c r="T39" s="136"/>
      <c r="U39"/>
      <c r="V39"/>
      <c r="W39"/>
      <c r="X39"/>
      <c r="Y39" s="4"/>
      <c r="Z39"/>
      <c r="AA39" s="34"/>
      <c r="AD39" s="59"/>
      <c r="AE39"/>
      <c r="AF39"/>
      <c r="AG39"/>
    </row>
  </sheetData>
  <mergeCells count="2">
    <mergeCell ref="X1:Y2"/>
    <mergeCell ref="X19:Y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产品收盘</vt:lpstr>
      <vt:lpstr>产品汇总</vt:lpstr>
      <vt:lpstr>CJSC240318-1</vt:lpstr>
      <vt:lpstr>CJSC240318-2</vt:lpstr>
      <vt:lpstr>DWZQ240627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Jiani Gao</dc:creator>
  <cp:lastModifiedBy>Jiani Gao</cp:lastModifiedBy>
  <dcterms:created xsi:type="dcterms:W3CDTF">2023-11-13T01:56:02Z</dcterms:created>
  <dcterms:modified xsi:type="dcterms:W3CDTF">2025-12-03T01:43:48Z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6E4E36D8-69CE-446B-927D-553BE13AE290</vt:lpwstr>
  </property>
</Properties>
</file>