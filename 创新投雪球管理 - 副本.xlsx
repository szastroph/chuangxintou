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8FC4D5BF-DEAF-4E10-AF1D-9CE1D37CE5A1}" xr6:coauthVersionLast="47" xr6:coauthVersionMax="47" xr10:uidLastSave="{00000000-0000-0000-0000-000000000000}"/>
  <bookViews>
    <workbookView xWindow="30612" yWindow="-108" windowWidth="30936" windowHeight="16776" xr2:uid="{9748D156-A3E1-4848-8277-7BF5CB68F827}"/>
  </bookViews>
  <sheets>
    <sheet name="合约状态" sheetId="1" r:id="rId1"/>
    <sheet name="实时行情" sheetId="4" r:id="rId2"/>
    <sheet name="了结合约" sheetId="7" r:id="rId3"/>
    <sheet name="历史行情" sheetId="18" r:id="rId4"/>
    <sheet name="Sheet2" sheetId="15" r:id="rId5"/>
  </sheets>
  <externalReferences>
    <externalReference r:id="rId6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C9" i="1"/>
  <c r="G2" i="1"/>
  <c r="G3" i="1"/>
  <c r="C3" i="1"/>
  <c r="AC25" i="7"/>
  <c r="G4" i="1"/>
  <c r="G5" i="1"/>
  <c r="A1" i="18"/>
  <c r="G6" i="1" l="1"/>
  <c r="G7" i="1"/>
  <c r="G10" i="1"/>
  <c r="E7" i="4" l="1"/>
  <c r="A2" i="4"/>
  <c r="G11" i="1"/>
  <c r="B2" i="4" a="1"/>
  <c r="S9" i="1" l="1"/>
  <c r="S8" i="1"/>
  <c r="L8" i="1"/>
  <c r="L9" i="1"/>
  <c r="R8" i="1"/>
  <c r="R9" i="1"/>
  <c r="L3" i="1"/>
  <c r="S2" i="1"/>
  <c r="S3" i="1"/>
  <c r="L2" i="1"/>
  <c r="R2" i="1"/>
  <c r="R3" i="1"/>
  <c r="L4" i="1"/>
  <c r="S4" i="1"/>
  <c r="R5" i="1"/>
  <c r="O5" i="1" s="1"/>
  <c r="R4" i="1"/>
  <c r="T4" i="1" s="1" a="1"/>
  <c r="T4" i="1" s="1"/>
  <c r="S6" i="1"/>
  <c r="S5" i="1"/>
  <c r="L5" i="1"/>
  <c r="R7" i="1"/>
  <c r="O7" i="1" s="1"/>
  <c r="R6" i="1"/>
  <c r="L6" i="1"/>
  <c r="L7" i="1"/>
  <c r="S7" i="1"/>
  <c r="R10" i="1"/>
  <c r="O10" i="1" s="1"/>
  <c r="S10" i="1"/>
  <c r="L10" i="1"/>
  <c r="B2" i="4"/>
  <c r="R11" i="1"/>
  <c r="D27" i="4"/>
  <c r="M5" i="1" a="1"/>
  <c r="M7" i="1" a="1"/>
  <c r="M6" i="1" a="1"/>
  <c r="T6" i="1" a="1"/>
  <c r="M4" i="1" a="1"/>
  <c r="T7" i="1" a="1"/>
  <c r="T5" i="1" a="1"/>
  <c r="T10" i="1" a="1"/>
  <c r="M10" i="1" a="1"/>
  <c r="M8" i="1" l="1" a="1"/>
  <c r="T8" i="1" a="1"/>
  <c r="T8" i="1" s="1"/>
  <c r="M9" i="1" a="1"/>
  <c r="T9" i="1" a="1"/>
  <c r="T9" i="1" s="1"/>
  <c r="O8" i="1"/>
  <c r="O9" i="1"/>
  <c r="M2" i="1" a="1"/>
  <c r="T2" i="1" a="1"/>
  <c r="T2" i="1" s="1"/>
  <c r="O2" i="1"/>
  <c r="T3" i="1" a="1"/>
  <c r="T3" i="1" s="1"/>
  <c r="M3" i="1" a="1"/>
  <c r="O3" i="1"/>
  <c r="M4" i="1"/>
  <c r="H4" i="1"/>
  <c r="P4" i="1" s="1" a="1"/>
  <c r="P4" i="1" s="1"/>
  <c r="M5" i="1"/>
  <c r="T6" i="1"/>
  <c r="O4" i="1"/>
  <c r="T5" i="1"/>
  <c r="H5" i="1"/>
  <c r="P5" i="1" s="1" a="1"/>
  <c r="P5" i="1" s="1"/>
  <c r="H6" i="1"/>
  <c r="M6" i="1"/>
  <c r="O6" i="1"/>
  <c r="T7" i="1"/>
  <c r="H7" i="1"/>
  <c r="M7" i="1"/>
  <c r="M10" i="1"/>
  <c r="H10" i="1"/>
  <c r="T10" i="1"/>
  <c r="L11" i="1"/>
  <c r="S11" i="1"/>
  <c r="O11" i="1"/>
  <c r="D35" i="4"/>
  <c r="M11" i="1" a="1"/>
  <c r="T11" i="1" a="1"/>
  <c r="J8" i="1" l="1"/>
  <c r="M8" i="1"/>
  <c r="H8" i="1"/>
  <c r="P8" i="1" s="1" a="1"/>
  <c r="P8" i="1" s="1"/>
  <c r="M9" i="1"/>
  <c r="H9" i="1"/>
  <c r="P9" i="1" s="1" a="1"/>
  <c r="P9" i="1" s="1"/>
  <c r="M2" i="1"/>
  <c r="H2" i="1"/>
  <c r="M3" i="1"/>
  <c r="H3" i="1"/>
  <c r="P3" i="1" s="1" a="1"/>
  <c r="P3" i="1" s="1"/>
  <c r="I10" i="1" a="1"/>
  <c r="I10" i="1" s="1"/>
  <c r="J10" i="1" s="1"/>
  <c r="P10" i="1" a="1"/>
  <c r="P10" i="1" s="1"/>
  <c r="I6" i="1" a="1"/>
  <c r="I6" i="1" s="1"/>
  <c r="J6" i="1" s="1"/>
  <c r="P6" i="1" a="1"/>
  <c r="P6" i="1" s="1"/>
  <c r="I7" i="1" a="1"/>
  <c r="I7" i="1" s="1"/>
  <c r="J7" i="1" s="1"/>
  <c r="P7" i="1" a="1"/>
  <c r="P7" i="1" s="1"/>
  <c r="I5" i="1" a="1"/>
  <c r="I5" i="1" s="1"/>
  <c r="J5" i="1" s="1"/>
  <c r="H11" i="1"/>
  <c r="M11" i="1"/>
  <c r="T11" i="1"/>
  <c r="E35" i="4" s="1"/>
  <c r="T15" i="7"/>
  <c r="I2" i="1" l="1" a="1"/>
  <c r="I2" i="1" s="1"/>
  <c r="J2" i="1" s="1"/>
  <c r="P2" i="1" a="1"/>
  <c r="P2" i="1" s="1"/>
  <c r="I11" i="1" a="1"/>
  <c r="I11" i="1" s="1"/>
  <c r="J11" i="1" s="1"/>
  <c r="P11" i="1" a="1"/>
  <c r="P11" i="1" s="1"/>
  <c r="C29" i="4"/>
  <c r="D29" i="4"/>
  <c r="B29" i="4"/>
  <c r="AD15" i="7"/>
  <c r="AC26" i="7" s="1"/>
  <c r="C27" i="4"/>
  <c r="B27" i="4"/>
  <c r="C24" i="4"/>
  <c r="B24" i="4"/>
  <c r="C20" i="4"/>
  <c r="B20" i="4"/>
  <c r="D7" i="4"/>
  <c r="C7" i="4"/>
  <c r="B7" i="4"/>
  <c r="C11" i="4"/>
  <c r="B11" i="4"/>
  <c r="AC24" i="7" l="1"/>
  <c r="E29" i="4"/>
  <c r="G29" i="4" s="1"/>
  <c r="C23" i="4"/>
  <c r="B23" i="4"/>
  <c r="C25" i="4"/>
  <c r="B25" i="4"/>
  <c r="C8" i="4" a="1"/>
  <c r="B8" i="4" a="1"/>
  <c r="D8" i="4" a="1"/>
  <c r="E8" i="4" a="1"/>
  <c r="E24" i="4" l="1"/>
  <c r="E25" i="4" s="1"/>
  <c r="E27" i="4"/>
  <c r="G27" i="4" s="1"/>
  <c r="N2" i="4" s="1"/>
  <c r="D8" i="4"/>
  <c r="E8" i="4"/>
  <c r="B8" i="4"/>
  <c r="C8" i="4"/>
  <c r="AP11" i="1" a="1"/>
  <c r="AP6" i="1" a="1"/>
  <c r="AP7" i="1" a="1"/>
  <c r="AP5" i="1" a="1"/>
  <c r="AP10" i="1" a="1"/>
  <c r="AP4" i="1" a="1"/>
  <c r="AP9" i="1" l="1" a="1"/>
  <c r="AP9" i="1" s="1"/>
  <c r="AP8" i="1" a="1"/>
  <c r="AP8" i="1" s="1"/>
  <c r="AP2" i="7" a="1"/>
  <c r="AP2" i="7" s="1"/>
  <c r="AP3" i="1" a="1"/>
  <c r="AP3" i="1" s="1"/>
  <c r="AP2" i="1" a="1"/>
  <c r="AP2" i="1" s="1"/>
  <c r="AP4" i="1"/>
  <c r="AP5" i="1"/>
  <c r="AP7" i="1"/>
  <c r="AP6" i="1"/>
  <c r="AP10" i="1"/>
  <c r="AP11" i="1"/>
  <c r="E34" i="4" l="1"/>
  <c r="E11" i="4"/>
  <c r="D34" i="4"/>
  <c r="D11" i="4"/>
  <c r="C12" i="4"/>
  <c r="B12" i="4"/>
  <c r="B30" i="4" s="1"/>
  <c r="B35" i="4" l="1"/>
  <c r="B34" i="4"/>
  <c r="C13" i="4"/>
  <c r="C30" i="4"/>
  <c r="B13" i="4"/>
  <c r="C35" i="4" l="1"/>
  <c r="C34" i="4"/>
  <c r="G34" i="4" s="1"/>
  <c r="E12" i="4" l="1"/>
  <c r="E30" i="4" l="1"/>
  <c r="D12" i="4"/>
  <c r="D24" i="4"/>
  <c r="D25" i="4" s="1"/>
  <c r="G25" i="4" s="1"/>
  <c r="M2" i="4" s="1"/>
  <c r="D20" i="4"/>
  <c r="D23" i="4" s="1"/>
  <c r="G35" i="4" l="1"/>
  <c r="G12" i="4"/>
  <c r="K2" i="4" s="1"/>
  <c r="D30" i="4"/>
  <c r="E17" i="4"/>
  <c r="E16" i="4"/>
  <c r="D17" i="4"/>
  <c r="C17" i="4"/>
  <c r="D16" i="4"/>
  <c r="B17" i="4"/>
  <c r="C16" i="4"/>
  <c r="B16" i="4"/>
  <c r="E13" i="4"/>
  <c r="G30" i="4" l="1"/>
  <c r="G16" i="4"/>
  <c r="G17" i="4"/>
  <c r="G11" i="4"/>
  <c r="D13" i="4"/>
  <c r="G13" i="4" s="1"/>
  <c r="K3" i="4" l="1"/>
  <c r="N3" i="4"/>
  <c r="M3" i="4"/>
  <c r="E20" i="4"/>
  <c r="E23" i="4" s="1"/>
  <c r="G23" i="4" s="1"/>
  <c r="G24" i="4" l="1"/>
  <c r="L2" i="4"/>
  <c r="L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Q17" authorId="0" shapeId="0" xr:uid="{830EB531-3424-4453-BD38-F3C3CC57E325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1" authorId="0" shapeId="0" xr:uid="{30355258-4D7A-4FBB-AABE-B7DA482DDE46}">
      <text>
        <r>
          <rPr>
            <b/>
            <sz val="9"/>
            <color indexed="81"/>
            <rFont val="宋体"/>
            <family val="3"/>
            <charset val="134"/>
          </rPr>
          <t>yVjpCgZpNvM/fXw9lVWJmsXieHvIIsJdQiRLIB8Fv4XAZV8RdsBCiXSP9ITcty2ULJRIRXV2yBcWCIy3ZGjL9WtAJx6UlauycL0NjfNqH4uVyZlrSFTIUTRlreinFwf5Jb/IsBGhpCBiOk7isg1knwn5isdAfrUZgnBSo66fZCkDdLaqQFGrB+yLvG4sRjIeZSkomHylrCH9x/E0mIw1cFRspi3reNDn2+LcIpqmhadiZlsxxI8MvG67MBSk6UpdDMGp6RoP7JpcUKr9I56a2ddjNBDPWb5BBD8WVwF3s6dSqopRa1YzT/kn+ujpfPHZW7yHNPQL9YYwG13y0Bo3xElcO4SsfdOtp84+wUEKj7STqAc6GFYfA6fY0xbXkXv8UW6o19EZG5WF63A1NvsseFi75ZogT9v+hMC9eskj5kz/u+ChwvED9J2Md6mRMeDHLHI4wXlsfSyQfUyktueoZmFO8LNgpL7yjzbXefhOhwJf/wRbUd3Ko8t1umlHHZIPm/0F45I5nv7Av2MHdHOkBbpJbmHvw5DdWlNA3ou7ZbWST8FfPzAHXEBQvffGObZgz1ej39PDlKbDCCZeG3FCK+nxHPXvT05wZG32vtVqMPN550/Hzv1hNOKfhKr0+WU455zeVlKFzKJerxBr8SbM4E9R+wOpilJMdlmmYSxzSq+mpC8csJafe9KtXSqk9ZLblKTuXoYzakJnE55VWwhMHg==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<sst xmlns="http://schemas.openxmlformats.org/spreadsheetml/2006/main" count="230" uniqueCount="158">
  <si>
    <t>挂钩标的</t>
    <phoneticPr fontId="1" type="noConversion"/>
  </si>
  <si>
    <t>名义本金</t>
    <phoneticPr fontId="1" type="noConversion"/>
  </si>
  <si>
    <t>期初价格</t>
    <phoneticPr fontId="1" type="noConversion"/>
  </si>
  <si>
    <t>起息日</t>
    <phoneticPr fontId="1" type="noConversion"/>
  </si>
  <si>
    <t>敲入障碍价格</t>
    <phoneticPr fontId="1" type="noConversion"/>
  </si>
  <si>
    <t>敲入执行价格</t>
    <phoneticPr fontId="1" type="noConversion"/>
  </si>
  <si>
    <t>敲入参与率</t>
    <phoneticPr fontId="1" type="noConversion"/>
  </si>
  <si>
    <t>红利票息</t>
    <phoneticPr fontId="1" type="noConversion"/>
  </si>
  <si>
    <t>保证金比例</t>
    <phoneticPr fontId="1" type="noConversion"/>
  </si>
  <si>
    <t>最大亏损比例</t>
    <phoneticPr fontId="1" type="noConversion"/>
  </si>
  <si>
    <t>000905.SH</t>
    <phoneticPr fontId="1" type="noConversion"/>
  </si>
  <si>
    <t>NPV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</si>
  <si>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</si>
  <si>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</si>
  <si>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</si>
  <si>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</si>
  <si>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 xml:space="preserve">RHO </t>
    <phoneticPr fontId="1" type="noConversion"/>
  </si>
  <si>
    <t>RHO Q</t>
    <phoneticPr fontId="1" type="noConversion"/>
  </si>
  <si>
    <t>RISK FREE RATE</t>
    <phoneticPr fontId="1" type="noConversion"/>
  </si>
  <si>
    <t>CARRY COST</t>
    <phoneticPr fontId="1" type="noConversion"/>
  </si>
  <si>
    <t>VOLATILITY</t>
    <phoneticPr fontId="1" type="noConversion"/>
  </si>
  <si>
    <t>已了结收益</t>
    <phoneticPr fontId="1" type="noConversion"/>
  </si>
  <si>
    <t>合约编号</t>
    <phoneticPr fontId="1" type="noConversion"/>
  </si>
  <si>
    <t>沪深300</t>
    <phoneticPr fontId="1" type="noConversion"/>
  </si>
  <si>
    <t>SPOT</t>
    <phoneticPr fontId="1" type="noConversion"/>
  </si>
  <si>
    <t>DATE</t>
    <phoneticPr fontId="1" type="noConversion"/>
  </si>
  <si>
    <t>每日观察敲入</t>
    <phoneticPr fontId="1" type="noConversion"/>
  </si>
  <si>
    <t>是否已敲入</t>
    <phoneticPr fontId="1" type="noConversion"/>
  </si>
  <si>
    <t>实时观察</t>
    <phoneticPr fontId="1" type="noConversion"/>
  </si>
  <si>
    <t>中证500</t>
    <phoneticPr fontId="1" type="noConversion"/>
  </si>
  <si>
    <t>中证1000</t>
    <phoneticPr fontId="1" type="noConversion"/>
  </si>
  <si>
    <t>000300.SH</t>
    <phoneticPr fontId="1" type="noConversion"/>
  </si>
  <si>
    <t>000852.SH</t>
    <phoneticPr fontId="1" type="noConversion"/>
  </si>
  <si>
    <t>当日估值</t>
    <phoneticPr fontId="1" type="noConversion"/>
  </si>
  <si>
    <t>昨日估值</t>
    <phoneticPr fontId="1" type="noConversion"/>
  </si>
  <si>
    <t>当日盈亏</t>
    <phoneticPr fontId="1" type="noConversion"/>
  </si>
  <si>
    <t>D:\Quotation\China</t>
    <phoneticPr fontId="1" type="noConversion"/>
  </si>
  <si>
    <t>000852.SH</t>
  </si>
  <si>
    <t>派息观察日</t>
    <phoneticPr fontId="1" type="noConversion"/>
  </si>
  <si>
    <t>派息月息</t>
    <phoneticPr fontId="1" type="noConversion"/>
  </si>
  <si>
    <t>中证 50</t>
    <phoneticPr fontId="1" type="noConversion"/>
  </si>
  <si>
    <t>000016.SH</t>
    <phoneticPr fontId="1" type="noConversion"/>
  </si>
  <si>
    <t>上一交易日</t>
    <phoneticPr fontId="1" type="noConversion"/>
  </si>
  <si>
    <t>000905.SH</t>
  </si>
  <si>
    <t>敲出障碍</t>
    <phoneticPr fontId="1" type="noConversion"/>
  </si>
  <si>
    <t>合计</t>
    <phoneticPr fontId="1" type="noConversion"/>
  </si>
  <si>
    <t>昨日NPV</t>
    <phoneticPr fontId="1" type="noConversion"/>
  </si>
  <si>
    <t>当前点位</t>
    <phoneticPr fontId="1" type="noConversion"/>
  </si>
  <si>
    <t>昨日收盘</t>
    <phoneticPr fontId="1" type="noConversion"/>
  </si>
  <si>
    <t>合约类型</t>
    <phoneticPr fontId="1" type="noConversion"/>
  </si>
  <si>
    <t>标的</t>
    <phoneticPr fontId="1" type="noConversion"/>
  </si>
  <si>
    <t>DELTACASH</t>
    <phoneticPr fontId="1" type="noConversion"/>
  </si>
  <si>
    <t>数据来源：妙想Choice</t>
  </si>
  <si>
    <t>已实现收益</t>
    <phoneticPr fontId="1" type="noConversion"/>
  </si>
  <si>
    <t>累积收益</t>
    <phoneticPr fontId="1" type="noConversion"/>
  </si>
  <si>
    <t>25年 合计</t>
    <phoneticPr fontId="1" type="noConversion"/>
  </si>
  <si>
    <t>26年合计</t>
    <phoneticPr fontId="1" type="noConversion"/>
  </si>
  <si>
    <t>2026.1.23</t>
    <phoneticPr fontId="1" type="noConversion"/>
  </si>
  <si>
    <t>估值总和</t>
    <phoneticPr fontId="4" type="noConversion"/>
  </si>
  <si>
    <t>估值</t>
    <phoneticPr fontId="1" type="noConversion"/>
  </si>
  <si>
    <t>存续合约估值</t>
    <phoneticPr fontId="1" type="noConversion"/>
  </si>
  <si>
    <t>2025.10.20</t>
    <phoneticPr fontId="1" type="noConversion"/>
  </si>
  <si>
    <t>2025.10.27</t>
    <phoneticPr fontId="1" type="noConversion"/>
  </si>
  <si>
    <t>2025.10.29</t>
    <phoneticPr fontId="1" type="noConversion"/>
  </si>
  <si>
    <t>2025.11.6</t>
    <phoneticPr fontId="1" type="noConversion"/>
  </si>
  <si>
    <t>2025.12.22</t>
    <phoneticPr fontId="1" type="noConversion"/>
  </si>
  <si>
    <t>存续估值</t>
    <phoneticPr fontId="1" type="noConversion"/>
  </si>
  <si>
    <t>累积估值</t>
    <phoneticPr fontId="1" type="noConversion"/>
  </si>
  <si>
    <t>2026.1.30</t>
    <phoneticPr fontId="1" type="noConversion"/>
  </si>
  <si>
    <t>2026.2.3</t>
    <phoneticPr fontId="1" type="noConversion"/>
  </si>
  <si>
    <t>2026.2.24</t>
    <phoneticPr fontId="1" type="noConversion"/>
  </si>
  <si>
    <t>2026.2.25</t>
    <phoneticPr fontId="1" type="noConversion"/>
  </si>
  <si>
    <t>存量合约估值情景分析</t>
    <phoneticPr fontId="1" type="noConversion"/>
  </si>
  <si>
    <t>敲入点位</t>
  </si>
  <si>
    <t>敲入点位</t>
    <phoneticPr fontId="1" type="noConversion"/>
  </si>
  <si>
    <t>下一敲出观察</t>
  </si>
  <si>
    <t>下一敲出观察</t>
    <phoneticPr fontId="1" type="noConversion"/>
  </si>
  <si>
    <t>敲入距离</t>
  </si>
  <si>
    <t>敲入距离</t>
    <phoneticPr fontId="1" type="noConversion"/>
  </si>
  <si>
    <t>距离合约结束</t>
  </si>
  <si>
    <t>距离合约结束</t>
    <phoneticPr fontId="1" type="noConversion"/>
  </si>
  <si>
    <t>合约类型</t>
  </si>
  <si>
    <t>合约编号</t>
  </si>
  <si>
    <t>名义本金</t>
  </si>
  <si>
    <t>挂钩标的</t>
  </si>
  <si>
    <t>期初价格</t>
  </si>
  <si>
    <t>了结日期</t>
    <phoneticPr fontId="1" type="noConversion"/>
  </si>
  <si>
    <t>敲出线下总名本</t>
    <phoneticPr fontId="1" type="noConversion"/>
  </si>
  <si>
    <t>敲出线上总名本</t>
    <phoneticPr fontId="1" type="noConversion"/>
  </si>
  <si>
    <t>（风险度）</t>
    <phoneticPr fontId="1" type="noConversion"/>
  </si>
  <si>
    <t>1% GAMMACASH</t>
    <phoneticPr fontId="1" type="noConversion"/>
  </si>
  <si>
    <t>1Day THETA</t>
    <phoneticPr fontId="1" type="noConversion"/>
  </si>
  <si>
    <t>GREEKS</t>
    <phoneticPr fontId="1" type="noConversion"/>
  </si>
  <si>
    <t>悲观（7000）</t>
    <phoneticPr fontId="1" type="noConversion"/>
  </si>
  <si>
    <t>乐观（9000）</t>
    <phoneticPr fontId="1" type="noConversion"/>
  </si>
  <si>
    <t>2026.3.30</t>
    <phoneticPr fontId="1" type="noConversion"/>
  </si>
  <si>
    <t>早利雪球</t>
    <phoneticPr fontId="1" type="noConversion"/>
  </si>
  <si>
    <t>经典雪球</t>
    <phoneticPr fontId="1" type="noConversion"/>
  </si>
  <si>
    <t>起息日期</t>
    <phoneticPr fontId="1" type="noConversion"/>
  </si>
  <si>
    <t>敲出距离</t>
    <phoneticPr fontId="1" type="noConversion"/>
  </si>
  <si>
    <t>临近敲出观察日</t>
    <phoneticPr fontId="1" type="noConversion"/>
  </si>
  <si>
    <t>敲出票息率</t>
    <phoneticPr fontId="1" type="noConversion"/>
  </si>
  <si>
    <t>敲出票息</t>
    <phoneticPr fontId="1" type="noConversion"/>
  </si>
  <si>
    <t>次年票息</t>
    <phoneticPr fontId="1" type="noConversion"/>
  </si>
  <si>
    <t>VALUE</t>
    <phoneticPr fontId="1" type="noConversion"/>
  </si>
  <si>
    <t>PECENTAGE</t>
    <phoneticPr fontId="1" type="noConversion"/>
  </si>
  <si>
    <t>当前</t>
    <phoneticPr fontId="1" type="noConversion"/>
  </si>
  <si>
    <t>横盘（8304）</t>
    <phoneticPr fontId="1" type="noConversion"/>
  </si>
  <si>
    <t>敲出观察比例</t>
    <phoneticPr fontId="1" type="noConversion"/>
  </si>
  <si>
    <t>敲出观察比例</t>
  </si>
  <si>
    <t>临近敲出观察日</t>
  </si>
  <si>
    <t>起息日期</t>
  </si>
  <si>
    <t>敲出票息率</t>
  </si>
  <si>
    <t>敲出票息</t>
  </si>
  <si>
    <t>次年票息</t>
  </si>
  <si>
    <t>敲出距离</t>
  </si>
  <si>
    <t>了结日期</t>
  </si>
  <si>
    <t>DATE</t>
  </si>
  <si>
    <t>SPOT</t>
  </si>
  <si>
    <t>NPV</t>
  </si>
  <si>
    <t>DELTA</t>
  </si>
  <si>
    <t>GAMMA</t>
  </si>
  <si>
    <t>VEGA</t>
  </si>
  <si>
    <t>THETA</t>
  </si>
  <si>
    <t xml:space="preserve">RHO </t>
  </si>
  <si>
    <t>RHO Q</t>
  </si>
  <si>
    <t>RISK FREE RATE</t>
  </si>
  <si>
    <t>CARRY COST</t>
  </si>
  <si>
    <t>VOLATILITY</t>
  </si>
  <si>
    <t>已了结收益</t>
  </si>
  <si>
    <t>起息日</t>
  </si>
  <si>
    <t>敲入障碍价格</t>
  </si>
  <si>
    <t>每日观察敲入</t>
  </si>
  <si>
    <t>敲入执行价格</t>
  </si>
  <si>
    <t>敲入参与率</t>
  </si>
  <si>
    <t>是否已敲入</t>
  </si>
  <si>
    <t>红利票息</t>
  </si>
  <si>
    <t>保证金比例</t>
  </si>
  <si>
    <t>最大亏损比例</t>
  </si>
  <si>
    <t>昨日NPV</t>
  </si>
  <si>
    <t>敲出观察</t>
  </si>
  <si>
    <t>敲出障碍</t>
  </si>
  <si>
    <t>派息观察日</t>
  </si>
  <si>
    <t>派息月息</t>
  </si>
  <si>
    <t>2026.4.27</t>
    <phoneticPr fontId="1" type="noConversion"/>
  </si>
  <si>
    <t>2026.5.6</t>
    <phoneticPr fontId="1" type="noConversion"/>
  </si>
  <si>
    <t>2026.5.11</t>
    <phoneticPr fontId="1" type="noConversion"/>
  </si>
  <si>
    <t>2026.5.13</t>
    <phoneticPr fontId="1" type="noConversion"/>
  </si>
  <si>
    <t>凤凰</t>
    <phoneticPr fontId="1" type="noConversion"/>
  </si>
  <si>
    <t>敲出观察日</t>
    <phoneticPr fontId="1" type="noConversion"/>
  </si>
  <si>
    <t>敲出票息</t>
    <phoneticPr fontId="1" type="noConversion"/>
  </si>
  <si>
    <t>派息障碍价格</t>
    <phoneticPr fontId="1" type="noConversion"/>
  </si>
  <si>
    <t>派息障碍价格</t>
    <phoneticPr fontId="1" type="noConversion"/>
  </si>
  <si>
    <t>2026.5.25</t>
    <phoneticPr fontId="1" type="noConversion"/>
  </si>
  <si>
    <t>2026.5.26</t>
    <phoneticPr fontId="1" type="noConversion"/>
  </si>
  <si>
    <t>上证50</t>
    <phoneticPr fontId="1" type="noConversion"/>
  </si>
  <si>
    <t>收盘价</t>
    <phoneticPr fontId="1" type="noConversion"/>
  </si>
  <si>
    <t>DCN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</si>
</sst>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76" formatCode="0.0000%"/>
    <numFmt numFmtId="177" formatCode="0.00_ "/>
    <numFmt numFmtId="178" formatCode="yyyy/mm/dd\ hh:mm"/>
    <numFmt numFmtId="179" formatCode="yyyy\-mm\-dd"/>
    <numFmt numFmtId="180" formatCode="yyyy/m/d\ h:mm;@"/>
    <numFmt numFmtId="181" formatCode="#,##0.00_ "/>
    <numFmt numFmtId="182" formatCode="0.00_);[Red]\(0.00\)"/>
    <numFmt numFmtId="183" formatCode="0.000%"/>
    <numFmt numFmtId="184" formatCode="#,##0.00_);[Red]\(#,##0.00\)"/>
    <numFmt numFmtId="185" formatCode="0.00000%"/>
    <numFmt numFmtId="186" formatCode="0.0%"/>
    <numFmt numFmtId="187" formatCode="0.0_ "/>
    <numFmt numFmtId="188" formatCode="#,##0.00_ ;[Red]\-#,##0.00\ "/>
    <numFmt numFmtId="189" formatCode="0.00_ ;[Red]\-0.00\ "/>
    <numFmt numFmtId="190" formatCode="yyyy/mm/dd"/>
    <numFmt numFmtId="191" formatCode="#,##0_);[Red]\(#,##0\)"/>
    <numFmt numFmtId="192" formatCode="yyyy\-mm\-dd;@"/>
    <numFmt numFmtId="193" formatCode="#,##0.0000_);[Red]\(#,##0.0000\)"/>
  </numFmts>
  <fonts count="10" x14ac:knownFonts="1">
    <font>
      <sz val="11"/>
      <color rgb="FF012B5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012B5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2" borderId="0" xfId="0" applyNumberFormat="1" applyFill="1" applyAlignment="1">
      <alignment horizontal="left" vertical="center" indent="1"/>
    </xf>
    <xf numFmtId="0" fontId="0" fillId="3" borderId="0" xfId="0" applyFill="1">
      <alignment vertical="center"/>
    </xf>
    <xf numFmtId="179" fontId="3" fillId="0" borderId="0" xfId="1" applyNumberFormat="1">
      <alignment vertical="center"/>
    </xf>
    <xf numFmtId="14" fontId="3" fillId="0" borderId="0" xfId="1" applyNumberFormat="1">
      <alignment vertical="center"/>
    </xf>
    <xf numFmtId="180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10" fontId="0" fillId="0" borderId="0" xfId="3" applyNumberFormat="1" applyFont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182" fontId="0" fillId="0" borderId="0" xfId="2" applyNumberFormat="1" applyFont="1">
      <alignment vertical="center"/>
    </xf>
    <xf numFmtId="9" fontId="0" fillId="0" borderId="0" xfId="3" applyFont="1">
      <alignment vertical="center"/>
    </xf>
    <xf numFmtId="182" fontId="0" fillId="0" borderId="0" xfId="0" applyNumberFormat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3" fillId="0" borderId="0" xfId="1">
      <alignment vertical="center"/>
    </xf>
    <xf numFmtId="182" fontId="0" fillId="3" borderId="0" xfId="0" applyNumberFormat="1" applyFill="1">
      <alignment vertical="center"/>
    </xf>
    <xf numFmtId="176" fontId="0" fillId="6" borderId="0" xfId="0" applyNumberFormat="1" applyFill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>
      <alignment vertical="center"/>
    </xf>
    <xf numFmtId="14" fontId="0" fillId="6" borderId="0" xfId="0" applyNumberFormat="1" applyFill="1" applyAlignment="1">
      <alignment horizontal="center" vertical="center"/>
    </xf>
    <xf numFmtId="9" fontId="0" fillId="6" borderId="0" xfId="0" applyNumberFormat="1" applyFill="1">
      <alignment vertical="center"/>
    </xf>
    <xf numFmtId="186" fontId="0" fillId="0" borderId="0" xfId="3" applyNumberFormat="1" applyFont="1">
      <alignment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6" fontId="0" fillId="0" borderId="0" xfId="3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7" fontId="0" fillId="0" borderId="0" xfId="3" applyNumberFormat="1" applyFont="1" applyAlignment="1">
      <alignment horizontal="center" vertical="center"/>
    </xf>
    <xf numFmtId="187" fontId="0" fillId="0" borderId="0" xfId="3" applyNumberFormat="1" applyFont="1">
      <alignment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188" fontId="0" fillId="0" borderId="0" xfId="0" applyNumberFormat="1">
      <alignment vertical="center"/>
    </xf>
    <xf numFmtId="18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88" fontId="0" fillId="5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3" fontId="5" fillId="0" borderId="0" xfId="3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88" fontId="0" fillId="4" borderId="0" xfId="0" applyNumberFormat="1" applyFill="1" applyAlignment="1">
      <alignment horizontal="center" vertical="center"/>
    </xf>
    <xf numFmtId="190" fontId="0" fillId="2" borderId="0" xfId="0" applyNumberFormat="1" applyFill="1" applyAlignment="1">
      <alignment horizontal="right" vertical="center" indent="1"/>
    </xf>
    <xf numFmtId="190" fontId="8" fillId="2" borderId="0" xfId="0" applyNumberFormat="1" applyFont="1" applyFill="1" applyAlignment="1">
      <alignment horizontal="right" vertical="center" indent="1"/>
    </xf>
    <xf numFmtId="191" fontId="0" fillId="0" borderId="0" xfId="0" applyNumberFormat="1" applyAlignment="1">
      <alignment horizontal="center" vertical="center"/>
    </xf>
    <xf numFmtId="191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91" fontId="6" fillId="8" borderId="0" xfId="0" applyNumberFormat="1" applyFont="1" applyFill="1" applyAlignment="1">
      <alignment horizontal="center" vertical="center"/>
    </xf>
    <xf numFmtId="177" fontId="6" fillId="8" borderId="0" xfId="0" applyNumberFormat="1" applyFont="1" applyFill="1" applyAlignment="1">
      <alignment horizontal="center" vertical="center"/>
    </xf>
    <xf numFmtId="187" fontId="6" fillId="8" borderId="0" xfId="3" applyNumberFormat="1" applyFont="1" applyFill="1" applyAlignment="1">
      <alignment horizontal="center" vertical="center"/>
    </xf>
    <xf numFmtId="186" fontId="6" fillId="8" borderId="0" xfId="3" applyNumberFormat="1" applyFon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/>
    </xf>
    <xf numFmtId="4" fontId="6" fillId="8" borderId="0" xfId="0" applyNumberFormat="1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/>
    </xf>
    <xf numFmtId="0" fontId="6" fillId="8" borderId="0" xfId="0" applyFont="1" applyFill="1">
      <alignment vertical="center"/>
    </xf>
    <xf numFmtId="184" fontId="6" fillId="8" borderId="0" xfId="0" applyNumberFormat="1" applyFont="1" applyFill="1">
      <alignment vertical="center"/>
    </xf>
    <xf numFmtId="10" fontId="6" fillId="8" borderId="0" xfId="0" applyNumberFormat="1" applyFont="1" applyFill="1">
      <alignment vertical="center"/>
    </xf>
    <xf numFmtId="185" fontId="6" fillId="8" borderId="0" xfId="0" applyNumberFormat="1" applyFont="1" applyFill="1">
      <alignment vertical="center"/>
    </xf>
    <xf numFmtId="177" fontId="6" fillId="8" borderId="0" xfId="0" applyNumberFormat="1" applyFont="1" applyFill="1">
      <alignment vertical="center"/>
    </xf>
    <xf numFmtId="14" fontId="6" fillId="8" borderId="0" xfId="3" applyNumberFormat="1" applyFont="1" applyFill="1" applyAlignment="1">
      <alignment horizontal="center" vertical="center"/>
    </xf>
    <xf numFmtId="14" fontId="0" fillId="0" borderId="0" xfId="3" applyNumberFormat="1" applyFont="1" applyAlignment="1">
      <alignment horizontal="center" vertical="center"/>
    </xf>
    <xf numFmtId="14" fontId="0" fillId="0" borderId="0" xfId="3" applyNumberFormat="1" applyFont="1">
      <alignment vertical="center"/>
    </xf>
    <xf numFmtId="191" fontId="0" fillId="6" borderId="0" xfId="0" applyNumberFormat="1" applyFill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82" fontId="0" fillId="6" borderId="0" xfId="0" applyNumberFormat="1" applyFill="1" applyAlignment="1">
      <alignment horizontal="center" vertical="center"/>
    </xf>
    <xf numFmtId="187" fontId="0" fillId="6" borderId="0" xfId="3" applyNumberFormat="1" applyFont="1" applyFill="1" applyAlignment="1">
      <alignment horizontal="center" vertical="center"/>
    </xf>
    <xf numFmtId="14" fontId="0" fillId="6" borderId="0" xfId="3" applyNumberFormat="1" applyFont="1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186" fontId="0" fillId="6" borderId="0" xfId="3" applyNumberFormat="1" applyFon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84" fontId="0" fillId="6" borderId="0" xfId="0" applyNumberFormat="1" applyFill="1">
      <alignment vertical="center"/>
    </xf>
    <xf numFmtId="185" fontId="0" fillId="6" borderId="0" xfId="0" applyNumberFormat="1" applyFill="1">
      <alignment vertical="center"/>
    </xf>
    <xf numFmtId="182" fontId="0" fillId="6" borderId="0" xfId="0" applyNumberFormat="1" applyFill="1">
      <alignment vertical="center"/>
    </xf>
    <xf numFmtId="182" fontId="0" fillId="6" borderId="0" xfId="2" applyNumberFormat="1" applyFont="1" applyFill="1">
      <alignment vertical="center"/>
    </xf>
    <xf numFmtId="22" fontId="0" fillId="6" borderId="0" xfId="0" applyNumberFormat="1" applyFill="1">
      <alignment vertical="center"/>
    </xf>
    <xf numFmtId="9" fontId="0" fillId="6" borderId="0" xfId="3" applyFont="1" applyFill="1">
      <alignment vertical="center"/>
    </xf>
    <xf numFmtId="0" fontId="5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0" fontId="0" fillId="6" borderId="0" xfId="3" applyNumberFormat="1" applyFont="1" applyFill="1" applyAlignment="1">
      <alignment horizontal="right" vertical="center"/>
    </xf>
    <xf numFmtId="189" fontId="5" fillId="8" borderId="0" xfId="0" applyNumberFormat="1" applyFont="1" applyFill="1" applyAlignment="1">
      <alignment horizontal="center" vertical="center"/>
    </xf>
    <xf numFmtId="189" fontId="6" fillId="8" borderId="0" xfId="0" applyNumberFormat="1" applyFont="1" applyFill="1" applyAlignment="1">
      <alignment horizontal="center" vertical="center"/>
    </xf>
    <xf numFmtId="180" fontId="6" fillId="8" borderId="0" xfId="0" applyNumberFormat="1" applyFont="1" applyFill="1" applyAlignment="1">
      <alignment horizontal="center" vertical="center"/>
    </xf>
    <xf numFmtId="189" fontId="0" fillId="6" borderId="0" xfId="0" applyNumberFormat="1" applyFill="1" applyAlignment="1">
      <alignment horizontal="center" vertical="center"/>
    </xf>
    <xf numFmtId="9" fontId="6" fillId="8" borderId="0" xfId="3" applyFont="1" applyFill="1" applyAlignment="1">
      <alignment horizontal="center" vertical="center"/>
    </xf>
    <xf numFmtId="9" fontId="0" fillId="0" borderId="0" xfId="3" applyFont="1" applyAlignment="1">
      <alignment horizontal="center" vertical="center"/>
    </xf>
    <xf numFmtId="9" fontId="0" fillId="6" borderId="0" xfId="3" applyFont="1" applyFill="1" applyAlignment="1">
      <alignment horizontal="center" vertical="center"/>
    </xf>
    <xf numFmtId="10" fontId="0" fillId="2" borderId="0" xfId="0" applyNumberFormat="1" applyFill="1" applyAlignment="1">
      <alignment horizontal="right" vertical="center" indent="1"/>
    </xf>
    <xf numFmtId="10" fontId="8" fillId="2" borderId="0" xfId="0" applyNumberFormat="1" applyFont="1" applyFill="1" applyAlignment="1">
      <alignment horizontal="right" vertical="center" indent="1"/>
    </xf>
    <xf numFmtId="0" fontId="9" fillId="4" borderId="0" xfId="0" applyFont="1" applyFill="1" applyAlignment="1">
      <alignment horizontal="center" vertical="center"/>
    </xf>
    <xf numFmtId="191" fontId="9" fillId="4" borderId="0" xfId="0" applyNumberFormat="1" applyFont="1" applyFill="1" applyAlignment="1">
      <alignment horizontal="center" vertical="center"/>
    </xf>
    <xf numFmtId="22" fontId="9" fillId="4" borderId="0" xfId="0" applyNumberFormat="1" applyFont="1" applyFill="1" applyAlignment="1">
      <alignment horizontal="center" vertical="center"/>
    </xf>
    <xf numFmtId="182" fontId="9" fillId="4" borderId="0" xfId="0" applyNumberFormat="1" applyFont="1" applyFill="1" applyAlignment="1">
      <alignment horizontal="center" vertical="center"/>
    </xf>
    <xf numFmtId="187" fontId="9" fillId="4" borderId="0" xfId="3" applyNumberFormat="1" applyFont="1" applyFill="1" applyAlignment="1">
      <alignment horizontal="center" vertical="center"/>
    </xf>
    <xf numFmtId="14" fontId="9" fillId="4" borderId="0" xfId="3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186" fontId="9" fillId="4" borderId="0" xfId="3" applyNumberFormat="1" applyFont="1" applyFill="1" applyAlignment="1">
      <alignment horizontal="center" vertical="center"/>
    </xf>
    <xf numFmtId="176" fontId="9" fillId="4" borderId="0" xfId="0" applyNumberFormat="1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177" fontId="9" fillId="4" borderId="0" xfId="0" applyNumberFormat="1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0" fontId="9" fillId="4" borderId="0" xfId="0" applyFont="1" applyFill="1">
      <alignment vertical="center"/>
    </xf>
    <xf numFmtId="184" fontId="9" fillId="4" borderId="0" xfId="0" applyNumberFormat="1" applyFont="1" applyFill="1">
      <alignment vertical="center"/>
    </xf>
    <xf numFmtId="10" fontId="9" fillId="4" borderId="0" xfId="0" applyNumberFormat="1" applyFont="1" applyFill="1">
      <alignment vertical="center"/>
    </xf>
    <xf numFmtId="185" fontId="9" fillId="4" borderId="0" xfId="0" applyNumberFormat="1" applyFont="1" applyFill="1">
      <alignment vertical="center"/>
    </xf>
    <xf numFmtId="182" fontId="9" fillId="4" borderId="0" xfId="0" applyNumberFormat="1" applyFont="1" applyFill="1">
      <alignment vertical="center"/>
    </xf>
    <xf numFmtId="182" fontId="9" fillId="4" borderId="0" xfId="2" applyNumberFormat="1" applyFont="1" applyFill="1">
      <alignment vertical="center"/>
    </xf>
    <xf numFmtId="22" fontId="9" fillId="4" borderId="0" xfId="0" applyNumberFormat="1" applyFont="1" applyFill="1">
      <alignment vertical="center"/>
    </xf>
    <xf numFmtId="9" fontId="9" fillId="4" borderId="0" xfId="3" applyFont="1" applyFill="1">
      <alignment vertical="center"/>
    </xf>
    <xf numFmtId="9" fontId="9" fillId="4" borderId="0" xfId="0" applyNumberFormat="1" applyFont="1" applyFill="1">
      <alignment vertical="center"/>
    </xf>
    <xf numFmtId="177" fontId="9" fillId="4" borderId="0" xfId="0" applyNumberFormat="1" applyFont="1" applyFill="1">
      <alignment vertical="center"/>
    </xf>
    <xf numFmtId="14" fontId="9" fillId="4" borderId="0" xfId="0" applyNumberFormat="1" applyFont="1" applyFill="1">
      <alignment vertical="center"/>
    </xf>
    <xf numFmtId="0" fontId="9" fillId="6" borderId="0" xfId="0" applyFont="1" applyFill="1" applyAlignment="1">
      <alignment horizontal="center" vertical="center"/>
    </xf>
    <xf numFmtId="191" fontId="9" fillId="6" borderId="0" xfId="0" applyNumberFormat="1" applyFont="1" applyFill="1" applyAlignment="1">
      <alignment horizontal="center" vertical="center"/>
    </xf>
    <xf numFmtId="22" fontId="9" fillId="6" borderId="0" xfId="0" applyNumberFormat="1" applyFont="1" applyFill="1" applyAlignment="1">
      <alignment horizontal="center" vertical="center"/>
    </xf>
    <xf numFmtId="182" fontId="9" fillId="6" borderId="0" xfId="0" applyNumberFormat="1" applyFont="1" applyFill="1" applyAlignment="1">
      <alignment horizontal="center" vertical="center"/>
    </xf>
    <xf numFmtId="187" fontId="9" fillId="6" borderId="0" xfId="3" applyNumberFormat="1" applyFont="1" applyFill="1" applyAlignment="1">
      <alignment horizontal="center" vertical="center"/>
    </xf>
    <xf numFmtId="14" fontId="9" fillId="6" borderId="0" xfId="3" applyNumberFormat="1" applyFont="1" applyFill="1" applyAlignment="1">
      <alignment horizontal="center" vertical="center"/>
    </xf>
    <xf numFmtId="10" fontId="9" fillId="6" borderId="0" xfId="0" applyNumberFormat="1" applyFont="1" applyFill="1" applyAlignment="1">
      <alignment horizontal="center" vertical="center"/>
    </xf>
    <xf numFmtId="3" fontId="9" fillId="6" borderId="0" xfId="0" applyNumberFormat="1" applyFont="1" applyFill="1" applyAlignment="1">
      <alignment horizontal="center" vertical="center"/>
    </xf>
    <xf numFmtId="186" fontId="9" fillId="6" borderId="0" xfId="3" applyNumberFormat="1" applyFont="1" applyFill="1" applyAlignment="1">
      <alignment horizontal="center" vertical="center"/>
    </xf>
    <xf numFmtId="176" fontId="9" fillId="6" borderId="0" xfId="0" applyNumberFormat="1" applyFont="1" applyFill="1" applyAlignment="1">
      <alignment horizontal="center" vertical="center"/>
    </xf>
    <xf numFmtId="14" fontId="9" fillId="6" borderId="0" xfId="0" applyNumberFormat="1" applyFont="1" applyFill="1" applyAlignment="1">
      <alignment horizontal="center" vertical="center"/>
    </xf>
    <xf numFmtId="177" fontId="9" fillId="6" borderId="0" xfId="0" applyNumberFormat="1" applyFont="1" applyFill="1" applyAlignment="1">
      <alignment horizontal="center" vertical="center"/>
    </xf>
    <xf numFmtId="9" fontId="9" fillId="6" borderId="0" xfId="3" applyFont="1" applyFill="1" applyAlignment="1">
      <alignment horizontal="center" vertical="center"/>
    </xf>
    <xf numFmtId="0" fontId="9" fillId="6" borderId="0" xfId="0" applyFont="1" applyFill="1">
      <alignment vertical="center"/>
    </xf>
    <xf numFmtId="10" fontId="9" fillId="6" borderId="0" xfId="0" applyNumberFormat="1" applyFont="1" applyFill="1">
      <alignment vertical="center"/>
    </xf>
    <xf numFmtId="185" fontId="9" fillId="6" borderId="0" xfId="0" applyNumberFormat="1" applyFont="1" applyFill="1">
      <alignment vertical="center"/>
    </xf>
    <xf numFmtId="182" fontId="9" fillId="6" borderId="0" xfId="0" applyNumberFormat="1" applyFont="1" applyFill="1">
      <alignment vertical="center"/>
    </xf>
    <xf numFmtId="182" fontId="9" fillId="6" borderId="0" xfId="2" applyNumberFormat="1" applyFont="1" applyFill="1">
      <alignment vertical="center"/>
    </xf>
    <xf numFmtId="22" fontId="9" fillId="6" borderId="0" xfId="0" applyNumberFormat="1" applyFont="1" applyFill="1">
      <alignment vertical="center"/>
    </xf>
    <xf numFmtId="9" fontId="9" fillId="6" borderId="0" xfId="3" applyFont="1" applyFill="1">
      <alignment vertical="center"/>
    </xf>
    <xf numFmtId="9" fontId="9" fillId="6" borderId="0" xfId="0" applyNumberFormat="1" applyFont="1" applyFill="1">
      <alignment vertical="center"/>
    </xf>
    <xf numFmtId="177" fontId="9" fillId="6" borderId="0" xfId="0" applyNumberFormat="1" applyFont="1" applyFill="1">
      <alignment vertical="center"/>
    </xf>
    <xf numFmtId="14" fontId="9" fillId="6" borderId="0" xfId="0" applyNumberFormat="1" applyFont="1" applyFill="1">
      <alignment vertical="center"/>
    </xf>
    <xf numFmtId="192" fontId="9" fillId="6" borderId="0" xfId="0" applyNumberFormat="1" applyFont="1" applyFill="1">
      <alignment vertical="center"/>
    </xf>
    <xf numFmtId="193" fontId="9" fillId="6" borderId="0" xfId="0" applyNumberFormat="1" applyFont="1" applyFill="1">
      <alignment vertical="center"/>
    </xf>
    <xf numFmtId="193" fontId="9" fillId="4" borderId="0" xfId="0" applyNumberFormat="1" applyFont="1" applyFill="1">
      <alignment vertical="center"/>
    </xf>
    <xf numFmtId="192" fontId="9" fillId="4" borderId="0" xfId="0" applyNumberFormat="1" applyFont="1" applyFill="1">
      <alignment vertical="center"/>
    </xf>
    <xf numFmtId="0" fontId="0" fillId="4" borderId="0" xfId="0" applyFill="1">
      <alignment vertical="center"/>
    </xf>
  </cellXfs>
  <cellStyles count="4">
    <cellStyle name="百分比" xfId="3" builtinId="5"/>
    <cellStyle name="常规" xfId="0" builtinId="0" customBuiltin="1"/>
    <cellStyle name="常规 2" xfId="1" xr:uid="{FDF423B8-93F0-4B6B-B44F-E5C6242A6765}"/>
    <cellStyle name="千位分隔" xfId="2" builtinId="3"/>
  </cellStyles>
  <dxfs count="21"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em.rtq">
      <tp>
        <v>4904.7453999999998</v>
        <stp/>
        <stp>EM_I_DQ_CLOSE</stp>
        <stp>2</stp>
        <stp>000300.SH</stp>
        <stp>2026-06-04</stp>
        <tr r="C8" s="4"/>
      </tp>
      <tp>
        <v>8420.0946000000004</v>
        <stp/>
        <stp>EM_I_DQ_CLOSE</stp>
        <stp>2</stp>
        <stp>000852.SH</stp>
        <stp>2026-06-04</stp>
        <tr r="E8" s="4"/>
      </tp>
      <tp>
        <v>8356.7443999999996</v>
        <stp/>
        <stp>EM_I_DQ_CLOSE</stp>
        <stp>2</stp>
        <stp>000905.SH</stp>
        <stp>2026-06-04</stp>
        <tr r="D8" s="4"/>
      </tp>
      <tp>
        <v>2891.3488000000002</v>
        <stp/>
        <stp>EM_I_DQ_CLOSE</stp>
        <stp>2</stp>
        <stp>000016.SH</stp>
        <stp>2026-06-04</stp>
        <tr r="B8" s="4"/>
      </tp>
      <tp>
        <v>2897.1889999999999</v>
        <stp/>
        <stp>000016.SH</stp>
        <stp>NOW</stp>
        <tr r="B7" s="4"/>
      </tp>
      <tp>
        <v>4903.6040000000003</v>
        <stp/>
        <stp>000300.SH</stp>
        <stp>NOW</stp>
        <tr r="C7" s="4"/>
      </tp>
      <tp>
        <v>8360.4279999999999</v>
        <stp/>
        <stp>000905.SH</stp>
        <stp>NOW</stp>
        <tr r="D7" s="4"/>
      </tp>
      <tp>
        <v>8459.6309999999994</v>
        <stp/>
        <stp>000852.SH</stp>
        <stp>NOW</stp>
        <tr r="E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存续敲出情况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实时行情!$A$16</c:f>
              <c:strCache>
                <c:ptCount val="1"/>
                <c:pt idx="0">
                  <c:v>敲出线上总名本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实时行情!$B$16:$E$16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9-460F-B6D4-24944FCD2A0D}"/>
            </c:ext>
          </c:extLst>
        </c:ser>
        <c:ser>
          <c:idx val="1"/>
          <c:order val="1"/>
          <c:tx>
            <c:strRef>
              <c:f>实时行情!$A$17</c:f>
              <c:strCache>
                <c:ptCount val="1"/>
                <c:pt idx="0">
                  <c:v>敲出线下总名本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实时行情!$B$17:$E$17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9-460F-B6D4-24944FCD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86896"/>
        <c:axId val="507888336"/>
      </c:barChart>
      <c:catAx>
        <c:axId val="5078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8336"/>
        <c:crosses val="autoZero"/>
        <c:auto val="1"/>
        <c:lblAlgn val="ctr"/>
        <c:lblOffset val="100"/>
        <c:noMultiLvlLbl val="0"/>
      </c:catAx>
      <c:valAx>
        <c:axId val="5078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</a:t>
            </a:r>
            <a:r>
              <a:rPr lang="zh-CN"/>
              <a:t>收益情况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实时行情!$A$12</c:f>
              <c:strCache>
                <c:ptCount val="1"/>
                <c:pt idx="0">
                  <c:v>当日估值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实时行情!$B$12:$E$12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1954915.3990342044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7F2-93FC-FDE18DA61093}"/>
            </c:ext>
          </c:extLst>
        </c:ser>
        <c:ser>
          <c:idx val="1"/>
          <c:order val="1"/>
          <c:tx>
            <c:strRef>
              <c:f>实时行情!$A$29</c:f>
              <c:strCache>
                <c:ptCount val="1"/>
                <c:pt idx="0">
                  <c:v>已实现收益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实时行情!$B$29:$E$29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2881016.436986302</c:v>
                </c:pt>
                <c:pt idx="3">
                  <c:v>13172289.05191781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4-47F2-93FC-FDE18DA610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5319951"/>
        <c:axId val="5315151"/>
      </c:barChart>
      <c:catAx>
        <c:axId val="53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5151"/>
        <c:crosses val="autoZero"/>
        <c:auto val="1"/>
        <c:lblAlgn val="ctr"/>
        <c:lblOffset val="100"/>
        <c:noMultiLvlLbl val="0"/>
      </c:catAx>
      <c:valAx>
        <c:axId val="5315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130969</xdr:colOff>
      <xdr:row>4</xdr:row>
      <xdr:rowOff>90487</xdr:rowOff>
    </xdr:from>
    <xdr:to>
      <xdr:col>16</xdr:col>
      <xdr:colOff>195263</xdr:colOff>
      <xdr:row>21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03FB1C-4AE0-4AEF-FEC8-431E6FDC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157162</xdr:colOff>
      <xdr:row>19</xdr:row>
      <xdr:rowOff>0</xdr:rowOff>
    </xdr:from>
    <xdr:to>
      <xdr:col>16</xdr:col>
      <xdr:colOff>228600</xdr:colOff>
      <xdr:row>35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AE9784A-B1DB-ED09-B538-95B09253E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config\Office\WinExcel\EMFunc.xla" TargetMode="External"/><Relationship Id="rId1" Type="http://schemas.openxmlformats.org/officeDocument/2006/relationships/externalLinkPath" Target="file:///C:\Eastmoney\Choice\config\Office\WinExcel\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HQ_N"/>
      <definedName name="EM_I_DQ_CLOS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6AE5-E538-4C58-A46C-5856C4F6F420}">
  <dimension ref="A1:ED55"/>
  <sheetViews>
    <sheetView tabSelected="1" zoomScale="97" workbookViewId="0">
      <selection activeCell="I18" sqref="I18"/>
    </sheetView>
  </sheetViews>
  <sheetFormatPr defaultRowHeight="13.9" x14ac:dyDescent="0.4"/>
  <cols>
    <col min="1" max="1" width="9.1328125" bestFit="1" customWidth="1"/>
    <col min="3" max="3" width="11" style="71" bestFit="1" customWidth="1"/>
    <col min="4" max="4" width="10.1328125" bestFit="1" customWidth="1"/>
    <col min="5" max="5" width="15.46484375" style="6" bestFit="1" customWidth="1"/>
    <col min="6" max="6" width="9.1328125" bestFit="1" customWidth="1"/>
    <col min="7" max="7" width="9.1328125" style="40" bestFit="1" customWidth="1"/>
    <col min="8" max="8" width="15.265625" style="89" bestFit="1" customWidth="1"/>
    <col min="9" max="9" width="11.73046875" style="4" bestFit="1" customWidth="1"/>
    <col min="10" max="10" width="12.46484375" style="72" bestFit="1" customWidth="1"/>
    <col min="11" max="11" width="9.1328125" style="4" bestFit="1" customWidth="1"/>
    <col min="12" max="12" width="9.1328125" style="30" bestFit="1" customWidth="1"/>
    <col min="13" max="13" width="9.86328125" bestFit="1" customWidth="1"/>
    <col min="14" max="14" width="13.1328125" style="3" bestFit="1" customWidth="1"/>
    <col min="15" max="15" width="13.1328125" style="6" bestFit="1" customWidth="1"/>
    <col min="16" max="16" width="13" style="18" customWidth="1"/>
    <col min="17" max="17" width="2.73046875" style="6" customWidth="1"/>
    <col min="18" max="18" width="14.3984375" customWidth="1"/>
    <col min="19" max="19" width="9.265625" customWidth="1"/>
    <col min="20" max="20" width="15.46484375" style="20" customWidth="1"/>
    <col min="21" max="21" width="10.3984375" customWidth="1"/>
    <col min="22" max="22" width="14.265625" customWidth="1"/>
    <col min="23" max="23" width="12.86328125" customWidth="1"/>
    <col min="24" max="24" width="13.59765625" customWidth="1"/>
    <col min="25" max="25" width="14.3984375" customWidth="1"/>
    <col min="26" max="26" width="16.265625" customWidth="1"/>
    <col min="27" max="27" width="13.73046875" style="4" customWidth="1"/>
    <col min="28" max="28" width="11.59765625" style="21" customWidth="1"/>
    <col min="29" max="29" width="10.265625" style="4" customWidth="1"/>
    <col min="30" max="30" width="10.265625" customWidth="1"/>
    <col min="31" max="31" width="11" customWidth="1"/>
    <col min="32" max="32" width="16.86328125" customWidth="1"/>
    <col min="33" max="34" width="12.59765625" customWidth="1"/>
    <col min="35" max="35" width="12" customWidth="1"/>
    <col min="36" max="36" width="11.73046875" customWidth="1"/>
    <col min="37" max="38" width="12.3984375" customWidth="1"/>
    <col min="40" max="40" width="16.59765625" customWidth="1"/>
    <col min="41" max="41" width="18.265625" customWidth="1"/>
    <col min="42" max="42" width="18.265625" style="6" customWidth="1"/>
    <col min="43" max="43" width="11.73046875" customWidth="1"/>
    <col min="44" max="44" width="11.59765625" customWidth="1"/>
    <col min="45" max="46" width="11.73046875" customWidth="1"/>
    <col min="47" max="51" width="11.59765625" customWidth="1"/>
    <col min="52" max="54" width="12" customWidth="1"/>
    <col min="55" max="55" width="11.86328125" customWidth="1"/>
    <col min="56" max="58" width="11.73046875" customWidth="1"/>
    <col min="59" max="63" width="11.59765625" customWidth="1"/>
    <col min="64" max="64" width="12" customWidth="1"/>
    <col min="65" max="66" width="11.59765625" style="4" customWidth="1"/>
    <col min="67" max="86" width="8.59765625" style="4" customWidth="1"/>
    <col min="87" max="87" width="12.265625" style="4" customWidth="1"/>
    <col min="88" max="90" width="11.1328125" style="4" customWidth="1"/>
    <col min="91" max="99" width="11.1328125" style="4" bestFit="1" customWidth="1"/>
    <col min="100" max="102" width="11.1328125" style="4" customWidth="1"/>
    <col min="103" max="108" width="11.1328125" style="4" bestFit="1" customWidth="1"/>
    <col min="109" max="110" width="11.1328125" bestFit="1" customWidth="1"/>
  </cols>
  <sheetData>
    <row r="1" spans="1:134" s="82" customFormat="1" x14ac:dyDescent="0.4">
      <c r="A1" s="74" t="s">
        <v>22</v>
      </c>
      <c r="B1" s="74" t="s">
        <v>49</v>
      </c>
      <c r="C1" s="75" t="s">
        <v>1</v>
      </c>
      <c r="D1" s="74" t="s">
        <v>0</v>
      </c>
      <c r="E1" s="76" t="s">
        <v>98</v>
      </c>
      <c r="F1" s="74" t="s">
        <v>2</v>
      </c>
      <c r="G1" s="77" t="s">
        <v>74</v>
      </c>
      <c r="H1" s="87" t="s">
        <v>100</v>
      </c>
      <c r="I1" s="79" t="s">
        <v>101</v>
      </c>
      <c r="J1" s="80" t="s">
        <v>102</v>
      </c>
      <c r="K1" s="79" t="s">
        <v>103</v>
      </c>
      <c r="L1" s="78" t="s">
        <v>78</v>
      </c>
      <c r="M1" s="74" t="s">
        <v>99</v>
      </c>
      <c r="N1" s="81" t="s">
        <v>76</v>
      </c>
      <c r="O1" s="76" t="s">
        <v>80</v>
      </c>
      <c r="P1" s="114" t="s">
        <v>108</v>
      </c>
      <c r="Q1" s="76" t="s">
        <v>86</v>
      </c>
      <c r="R1" s="74" t="s">
        <v>25</v>
      </c>
      <c r="S1" s="82" t="s">
        <v>24</v>
      </c>
      <c r="T1" s="83" t="s">
        <v>11</v>
      </c>
      <c r="U1" s="82" t="s">
        <v>12</v>
      </c>
      <c r="V1" s="82" t="s">
        <v>13</v>
      </c>
      <c r="W1" s="82" t="s">
        <v>14</v>
      </c>
      <c r="X1" s="82" t="s">
        <v>15</v>
      </c>
      <c r="Y1" s="82" t="s">
        <v>16</v>
      </c>
      <c r="Z1" s="82" t="s">
        <v>17</v>
      </c>
      <c r="AA1" s="84" t="s">
        <v>18</v>
      </c>
      <c r="AB1" s="85" t="s">
        <v>19</v>
      </c>
      <c r="AC1" s="84" t="s">
        <v>20</v>
      </c>
      <c r="AD1" s="82" t="s">
        <v>21</v>
      </c>
      <c r="AE1" s="82" t="s">
        <v>2</v>
      </c>
      <c r="AF1" s="82" t="s">
        <v>3</v>
      </c>
      <c r="AG1" s="82" t="s">
        <v>4</v>
      </c>
      <c r="AH1" s="82" t="s">
        <v>151</v>
      </c>
      <c r="AI1" s="82" t="s">
        <v>26</v>
      </c>
      <c r="AJ1" s="82" t="s">
        <v>5</v>
      </c>
      <c r="AK1" s="82" t="s">
        <v>6</v>
      </c>
      <c r="AL1" s="82" t="s">
        <v>27</v>
      </c>
      <c r="AM1" s="82" t="s">
        <v>7</v>
      </c>
      <c r="AN1" s="82" t="s">
        <v>8</v>
      </c>
      <c r="AO1" s="82" t="s">
        <v>9</v>
      </c>
      <c r="AP1" s="86" t="s">
        <v>46</v>
      </c>
      <c r="AQ1" s="82" t="s">
        <v>149</v>
      </c>
      <c r="AS1" s="82" t="s">
        <v>44</v>
      </c>
      <c r="AT1" s="82" t="s">
        <v>150</v>
      </c>
      <c r="AU1" s="84" t="s">
        <v>38</v>
      </c>
      <c r="AV1" s="84"/>
      <c r="AW1" s="84" t="s">
        <v>39</v>
      </c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</row>
    <row r="2" spans="1:134" s="15" customFormat="1" x14ac:dyDescent="0.4">
      <c r="A2" s="26">
        <v>26</v>
      </c>
      <c r="B2" s="26" t="s">
        <v>96</v>
      </c>
      <c r="C2" s="90">
        <v>1800000</v>
      </c>
      <c r="D2" s="26" t="s">
        <v>32</v>
      </c>
      <c r="E2" s="91">
        <v>46170.625</v>
      </c>
      <c r="F2" s="146">
        <v>8637.74</v>
      </c>
      <c r="G2" s="93">
        <f>F2*AG2</f>
        <v>5614.5309999999999</v>
      </c>
      <c r="H2" s="94">
        <f ca="1">N2</f>
        <v>46262</v>
      </c>
      <c r="I2" s="95" cm="1">
        <f t="array" aca="1" ref="I2" ca="1">INDEX(CI:DD,ROW(), MATCH(H2, AQ2:BL2, 0))</f>
        <v>0.22</v>
      </c>
      <c r="J2" s="96">
        <f ca="1">(N2-AF2)/365*C2*I2</f>
        <v>99135.61643835617</v>
      </c>
      <c r="K2" s="95">
        <v>7.0000000000000007E-2</v>
      </c>
      <c r="L2" s="97">
        <f>实时行情!$E$7 /( 合约状态!F4 *合约状态!AG4)-1</f>
        <v>0.47727774382257904</v>
      </c>
      <c r="M2" s="98" cm="1">
        <f t="array" aca="1" ref="M2:N2" ca="1">TRANSPOSE(_xll.DistanceToNearestBarrier(R2,S2,F2,AQ2:BL2,BM2:CH2))</f>
        <v>2.105399159845156E-2</v>
      </c>
      <c r="N2" s="28">
        <f ca="1"/>
        <v>46262</v>
      </c>
      <c r="O2" s="48">
        <f ca="1">BL2-R2</f>
        <v>724.5362405092601</v>
      </c>
      <c r="P2" s="155" cm="1">
        <f t="array" aca="1" ref="P2" ca="1">INDEX(BM:CH,ROW(), MATCH(H2, AQ2:BL2, 0))</f>
        <v>1</v>
      </c>
      <c r="Q2" s="48"/>
      <c r="R2" s="91">
        <f ca="1">实时行情!$A$2</f>
        <v>46178.46375949074</v>
      </c>
      <c r="S2" s="15">
        <f>实时行情!E7</f>
        <v>8459.6309999999994</v>
      </c>
      <c r="T2" s="99" cm="1">
        <f t="array" aca="1" ref="T2:Z2" ca="1">TRANSPOSE(_xll.ValuateSnowball(实时行情!$D$1,F2,E2,AQ2:BL2,BM2:CH2,CI2:DD2,0,AM2,AG2,AJ2,AK2,AN2,AO2,0,0,0,TRUE,AI2,R2,S2,AA2,AB2,AC2,AL2,"ALL")*C2/F2)</f>
        <v>-18785.358583181394</v>
      </c>
      <c r="U2" s="15">
        <f ca="1"/>
        <v>152.8386402277844</v>
      </c>
      <c r="V2" s="15">
        <f ca="1"/>
        <v>-0.14131211126190937</v>
      </c>
      <c r="W2" s="15">
        <f ca="1"/>
        <v>-1307590.0798550032</v>
      </c>
      <c r="X2" s="15">
        <f ca="1"/>
        <v>291716.63488566387</v>
      </c>
      <c r="Y2" s="15">
        <f ca="1"/>
        <v>-1502955.8470689126</v>
      </c>
      <c r="Z2" s="15">
        <f ca="1"/>
        <v>-1618426.7910512812</v>
      </c>
      <c r="AA2" s="27">
        <v>2.1000000000000001E-2</v>
      </c>
      <c r="AB2" s="100">
        <v>-6.9500000000000006E-2</v>
      </c>
      <c r="AC2" s="27">
        <v>0.18</v>
      </c>
      <c r="AD2" s="101">
        <v>0</v>
      </c>
      <c r="AE2" s="102">
        <v>8637.74</v>
      </c>
      <c r="AF2" s="103">
        <v>46170.625</v>
      </c>
      <c r="AG2" s="104">
        <v>0.65</v>
      </c>
      <c r="AH2" s="104"/>
      <c r="AI2" s="15" t="b">
        <v>1</v>
      </c>
      <c r="AJ2" s="29">
        <v>1</v>
      </c>
      <c r="AK2" s="29">
        <v>1</v>
      </c>
      <c r="AL2" s="15" t="b">
        <v>0</v>
      </c>
      <c r="AM2" s="27">
        <v>7.0000000000000007E-2</v>
      </c>
      <c r="AN2" s="29">
        <v>1</v>
      </c>
      <c r="AO2" s="29">
        <v>1</v>
      </c>
      <c r="AP2" s="16" cm="1">
        <f t="array" aca="1" ref="AP2" ca="1">IF(ISERROR(TRANSPOSE(_xll.ValuateSnowball(实时行情!$D$1,F2,AF2,AQ2:BL2,BM2:CH2,CI2:DD2,0,AM2,AG2,AJ2,AK2,AN2,AO2,0,0,0,TRUE,AI2,实时行情!$B$2,实时行情!E8,AA2,AB2,AC2,FALSE,"NPV")*C2/F2)),    0,   TRANSPOSE(_xll.ValuateSnowball(实时行情!$D$1,F2,AF2,AQ2:BL2,BM2:CH2,CI2:DD2,0,AM2,AG2,AJ2,AK2,AN2,AO2,0,0,0,TRUE,AI2,实时行情!$B$2,实时行情!$E$8,AA2,AB2,AC2,FALSE,"NPV")*C2/F2))</f>
        <v>-25583.308540646074</v>
      </c>
      <c r="AQ2" s="25">
        <v>46262</v>
      </c>
      <c r="AR2" s="25">
        <v>46293</v>
      </c>
      <c r="AS2" s="25">
        <v>46323</v>
      </c>
      <c r="AT2" s="25">
        <v>46356</v>
      </c>
      <c r="AU2" s="25">
        <v>46384</v>
      </c>
      <c r="AV2" s="25">
        <v>46415</v>
      </c>
      <c r="AW2" s="25">
        <v>46444</v>
      </c>
      <c r="AX2" s="25">
        <v>46475</v>
      </c>
      <c r="AY2" s="25">
        <v>46505</v>
      </c>
      <c r="AZ2" s="25">
        <v>46535</v>
      </c>
      <c r="BA2" s="25">
        <v>46566</v>
      </c>
      <c r="BB2" s="25">
        <v>46596</v>
      </c>
      <c r="BC2" s="25">
        <v>46629</v>
      </c>
      <c r="BD2" s="25">
        <v>46658</v>
      </c>
      <c r="BE2" s="25">
        <v>46688</v>
      </c>
      <c r="BF2" s="25">
        <v>46720</v>
      </c>
      <c r="BG2" s="25">
        <v>46749</v>
      </c>
      <c r="BH2" s="25">
        <v>46776</v>
      </c>
      <c r="BI2" s="25">
        <v>46811</v>
      </c>
      <c r="BJ2" s="25">
        <v>46840</v>
      </c>
      <c r="BK2" s="25">
        <v>46871</v>
      </c>
      <c r="BL2" s="25">
        <v>46903</v>
      </c>
      <c r="BM2" s="27">
        <v>1</v>
      </c>
      <c r="BN2" s="27">
        <v>0.995</v>
      </c>
      <c r="BO2" s="27">
        <v>0.99</v>
      </c>
      <c r="BP2" s="27">
        <v>0.98499999999999999</v>
      </c>
      <c r="BQ2" s="27">
        <v>0.98</v>
      </c>
      <c r="BR2" s="27">
        <v>0.97499999999999998</v>
      </c>
      <c r="BS2" s="27">
        <v>0.97</v>
      </c>
      <c r="BT2" s="27">
        <v>0.96499999999999997</v>
      </c>
      <c r="BU2" s="27">
        <v>0.96</v>
      </c>
      <c r="BV2" s="27">
        <v>0.95499999999999996</v>
      </c>
      <c r="BW2" s="27">
        <v>0.95</v>
      </c>
      <c r="BX2" s="27">
        <v>0.94499999999999995</v>
      </c>
      <c r="BY2" s="27">
        <v>0.94</v>
      </c>
      <c r="BZ2" s="27">
        <v>0.93500000000000005</v>
      </c>
      <c r="CA2" s="27">
        <v>0.92999999999999994</v>
      </c>
      <c r="CB2" s="27">
        <v>0.92500000000000004</v>
      </c>
      <c r="CC2" s="27">
        <v>0.92</v>
      </c>
      <c r="CD2" s="27">
        <v>0.91500000000000004</v>
      </c>
      <c r="CE2" s="27">
        <v>0.91</v>
      </c>
      <c r="CF2" s="27">
        <v>0.90500000000000003</v>
      </c>
      <c r="CG2" s="27">
        <v>0.9</v>
      </c>
      <c r="CH2" s="27">
        <v>0.89500000000000002</v>
      </c>
      <c r="CI2" s="27">
        <v>0.22</v>
      </c>
      <c r="CJ2" s="27">
        <v>0.22</v>
      </c>
      <c r="CK2" s="27">
        <v>0.22</v>
      </c>
      <c r="CL2" s="27">
        <v>0.22</v>
      </c>
      <c r="CM2" s="27">
        <v>0.22</v>
      </c>
      <c r="CN2" s="27">
        <v>0.22</v>
      </c>
      <c r="CO2" s="27">
        <v>0.22</v>
      </c>
      <c r="CP2" s="27">
        <v>0.22</v>
      </c>
      <c r="CQ2" s="27">
        <v>0.22</v>
      </c>
      <c r="CR2" s="27">
        <v>0.22</v>
      </c>
      <c r="CS2" s="27">
        <v>7.0000000000000007E-2</v>
      </c>
      <c r="CT2" s="27">
        <v>7.0000000000000007E-2</v>
      </c>
      <c r="CU2" s="27">
        <v>7.0000000000000007E-2</v>
      </c>
      <c r="CV2" s="27">
        <v>7.0000000000000007E-2</v>
      </c>
      <c r="CW2" s="27">
        <v>7.0000000000000007E-2</v>
      </c>
      <c r="CX2" s="27">
        <v>7.0000000000000007E-2</v>
      </c>
      <c r="CY2" s="27">
        <v>7.0000000000000007E-2</v>
      </c>
      <c r="CZ2" s="27">
        <v>7.0000000000000007E-2</v>
      </c>
      <c r="DA2" s="27">
        <v>7.0000000000000007E-2</v>
      </c>
      <c r="DB2" s="27">
        <v>7.0000000000000007E-2</v>
      </c>
      <c r="DC2" s="27">
        <v>7.0000000000000007E-2</v>
      </c>
      <c r="DD2" s="27">
        <v>7.0000000000000007E-2</v>
      </c>
    </row>
    <row r="3" spans="1:134" s="132" customFormat="1" x14ac:dyDescent="0.4">
      <c r="A3" s="119">
        <v>25</v>
      </c>
      <c r="B3" s="119" t="s">
        <v>157</v>
      </c>
      <c r="C3" s="120">
        <f>18000000*0.89</f>
        <v>16020000</v>
      </c>
      <c r="D3" s="119" t="s">
        <v>32</v>
      </c>
      <c r="E3" s="121">
        <v>46170.625</v>
      </c>
      <c r="F3" s="122">
        <v>8637.74</v>
      </c>
      <c r="G3" s="123">
        <f>F3*AG3</f>
        <v>5614.5309999999999</v>
      </c>
      <c r="H3" s="124">
        <f ca="1">N3</f>
        <v>46262</v>
      </c>
      <c r="I3" s="125"/>
      <c r="J3" s="126"/>
      <c r="K3" s="125"/>
      <c r="L3" s="127">
        <f>实时行情!$E$7 /( 合约状态!F5 *合约状态!AG5)-1</f>
        <v>0.37019485636216842</v>
      </c>
      <c r="M3" s="128" cm="1">
        <f t="array" aca="1" ref="M3:N3" ca="1">TRANSPOSE(_xll.DistanceToNearestBarrier(R3,S3,F3,AQ3:BL3,BM3:CH3))</f>
        <v>2.105399159845156E-2</v>
      </c>
      <c r="N3" s="129">
        <f ca="1"/>
        <v>46262</v>
      </c>
      <c r="O3" s="130">
        <f ca="1">BL3-R3</f>
        <v>724.5362405092601</v>
      </c>
      <c r="P3" s="131" cm="1">
        <f t="array" aca="1" ref="P3" ca="1">INDEX(BM:CH,ROW(), MATCH(H3, AQ3:BL3, 0))</f>
        <v>1</v>
      </c>
      <c r="Q3" s="130"/>
      <c r="R3" s="121">
        <f ca="1">实时行情!$A$2</f>
        <v>46178.46375949074</v>
      </c>
      <c r="S3" s="132">
        <f>实时行情!E7</f>
        <v>8459.6309999999994</v>
      </c>
      <c r="T3" s="168" cm="1">
        <f t="array" aca="1" ref="T3:Z3" ca="1">TRANSPOSE(_xll.ValuatePhoenix(实时行情!$D$1,"UP_OUT",F3,E3,CI3:DF3,DG3:ED3,AQ3:BL3,BM3:CH3,AH3,AG3,AI3,AJ3,AK3,AO3,AN3,0,0,R3,S3,AA3,AB3,AC3,AL3,"ALL"))*C3/F3</f>
        <v>-55207.12187168032</v>
      </c>
      <c r="U3" s="132">
        <f ca="1"/>
        <v>536.00570749045164</v>
      </c>
      <c r="V3" s="132">
        <f ca="1"/>
        <v>-0.79608575241208634</v>
      </c>
      <c r="W3" s="132">
        <f ca="1"/>
        <v>-10021064.59532832</v>
      </c>
      <c r="X3" s="132">
        <f ca="1"/>
        <v>1413724.8337830976</v>
      </c>
      <c r="Y3" s="132">
        <f ca="1"/>
        <v>-13349045.166868852</v>
      </c>
      <c r="Z3" s="132">
        <f ca="1"/>
        <v>-8302117.7516497141</v>
      </c>
      <c r="AA3" s="134">
        <v>2.1000000000000001E-2</v>
      </c>
      <c r="AB3" s="135">
        <v>-5.8000000000000003E-2</v>
      </c>
      <c r="AC3" s="134">
        <v>0.17</v>
      </c>
      <c r="AD3" s="136">
        <v>0</v>
      </c>
      <c r="AE3" s="137">
        <v>8637.74</v>
      </c>
      <c r="AF3" s="138">
        <v>46170.625</v>
      </c>
      <c r="AG3" s="139">
        <v>0.65</v>
      </c>
      <c r="AH3" s="139">
        <v>0.75</v>
      </c>
      <c r="AI3" s="132" t="b">
        <v>0</v>
      </c>
      <c r="AJ3" s="140">
        <v>1</v>
      </c>
      <c r="AK3" s="140">
        <v>1</v>
      </c>
      <c r="AL3" s="132" t="b">
        <v>0</v>
      </c>
      <c r="AM3" s="134"/>
      <c r="AN3" s="140">
        <v>1</v>
      </c>
      <c r="AO3" s="140">
        <v>1</v>
      </c>
      <c r="AP3" s="141" cm="1">
        <f t="array" aca="1" ref="AP3" ca="1">IF(ISERROR(TRANSPOSE(_xll.ValuatePhoenix(实时行情!$D$1,"UP_OUT",F3,E3,CI3:DF3,DG3:ED3,AQ3:BL3,BM3:CH3,AH3,AG3,AI3,AJ3,AK3,AO3,AN3,0,0,实时行情!B2,实时行情!E8,AA3,AB3,AC3,AL3,"NPV")*C3/F3)),    0,   TRANSPOSE(_xll.ValuatePhoenix(实时行情!$D$1,"UP_OUT",F3,E3,CI3:DF3,DG3:ED3,AQ3:BL3,BM3:CH3,AH3,AG3,AI3,AJ3,AK3,AO3,AN3,0,0,实时行情!B2,实时行情!E8,AA3,AB3,AC3,AL3,"NPV")*C3/F3))</f>
        <v>-80232.048475993739</v>
      </c>
      <c r="AQ3" s="142">
        <v>46262</v>
      </c>
      <c r="AR3" s="142">
        <v>46293</v>
      </c>
      <c r="AS3" s="142">
        <v>46323</v>
      </c>
      <c r="AT3" s="142">
        <v>46356</v>
      </c>
      <c r="AU3" s="142">
        <v>46384</v>
      </c>
      <c r="AV3" s="142">
        <v>46415</v>
      </c>
      <c r="AW3" s="142">
        <v>46444</v>
      </c>
      <c r="AX3" s="142">
        <v>46475</v>
      </c>
      <c r="AY3" s="142">
        <v>46505</v>
      </c>
      <c r="AZ3" s="142">
        <v>46535</v>
      </c>
      <c r="BA3" s="142">
        <v>46566</v>
      </c>
      <c r="BB3" s="142">
        <v>46596</v>
      </c>
      <c r="BC3" s="142">
        <v>46629</v>
      </c>
      <c r="BD3" s="142">
        <v>46658</v>
      </c>
      <c r="BE3" s="142">
        <v>46688</v>
      </c>
      <c r="BF3" s="142">
        <v>46720</v>
      </c>
      <c r="BG3" s="142">
        <v>46749</v>
      </c>
      <c r="BH3" s="142">
        <v>46776</v>
      </c>
      <c r="BI3" s="142">
        <v>46811</v>
      </c>
      <c r="BJ3" s="142">
        <v>46840</v>
      </c>
      <c r="BK3" s="142">
        <v>46871</v>
      </c>
      <c r="BL3" s="142">
        <v>46903</v>
      </c>
      <c r="BM3" s="134">
        <v>1</v>
      </c>
      <c r="BN3" s="134">
        <v>0.995</v>
      </c>
      <c r="BO3" s="134">
        <v>0.99</v>
      </c>
      <c r="BP3" s="134">
        <v>0.98499999999999999</v>
      </c>
      <c r="BQ3" s="134">
        <v>0.98</v>
      </c>
      <c r="BR3" s="134">
        <v>0.97499999999999998</v>
      </c>
      <c r="BS3" s="134">
        <v>0.97</v>
      </c>
      <c r="BT3" s="134">
        <v>0.96499999999999997</v>
      </c>
      <c r="BU3" s="134">
        <v>0.96</v>
      </c>
      <c r="BV3" s="134">
        <v>0.95499999999999996</v>
      </c>
      <c r="BW3" s="134">
        <v>0.95</v>
      </c>
      <c r="BX3" s="134">
        <v>0.94499999999999995</v>
      </c>
      <c r="BY3" s="134">
        <v>0.94</v>
      </c>
      <c r="BZ3" s="134">
        <v>0.93500000000000005</v>
      </c>
      <c r="CA3" s="134">
        <v>0.92999999999999994</v>
      </c>
      <c r="CB3" s="134">
        <v>0.92500000000000004</v>
      </c>
      <c r="CC3" s="134">
        <v>0.92</v>
      </c>
      <c r="CD3" s="134">
        <v>0.91500000000000004</v>
      </c>
      <c r="CE3" s="134">
        <v>0.91</v>
      </c>
      <c r="CF3" s="134">
        <v>0.90500000000000003</v>
      </c>
      <c r="CG3" s="134">
        <v>0.9</v>
      </c>
      <c r="CH3" s="134">
        <v>0.89500000000000002</v>
      </c>
      <c r="CI3" s="169">
        <v>46202</v>
      </c>
      <c r="CJ3" s="169">
        <v>46231</v>
      </c>
      <c r="CK3" s="169">
        <v>46262</v>
      </c>
      <c r="CL3" s="169">
        <v>46293</v>
      </c>
      <c r="CM3" s="169">
        <v>46323</v>
      </c>
      <c r="CN3" s="169">
        <v>46356</v>
      </c>
      <c r="CO3" s="169">
        <v>46384</v>
      </c>
      <c r="CP3" s="169">
        <v>46415</v>
      </c>
      <c r="CQ3" s="169">
        <v>46444</v>
      </c>
      <c r="CR3" s="169">
        <v>46475</v>
      </c>
      <c r="CS3" s="169">
        <v>46505</v>
      </c>
      <c r="CT3" s="169">
        <v>46535</v>
      </c>
      <c r="CU3" s="169">
        <v>46566</v>
      </c>
      <c r="CV3" s="169">
        <v>46596</v>
      </c>
      <c r="CW3" s="169">
        <v>46629</v>
      </c>
      <c r="CX3" s="169">
        <v>46658</v>
      </c>
      <c r="CY3" s="169">
        <v>46688</v>
      </c>
      <c r="CZ3" s="169">
        <v>46720</v>
      </c>
      <c r="DA3" s="169">
        <v>46749</v>
      </c>
      <c r="DB3" s="169">
        <v>46776</v>
      </c>
      <c r="DC3" s="169">
        <v>46811</v>
      </c>
      <c r="DD3" s="169">
        <v>46840</v>
      </c>
      <c r="DE3" s="169">
        <v>46871</v>
      </c>
      <c r="DF3" s="169">
        <v>46903</v>
      </c>
      <c r="DG3" s="132">
        <v>6.4999999999999997E-3</v>
      </c>
      <c r="DH3" s="132">
        <v>6.4999999999999997E-3</v>
      </c>
      <c r="DI3" s="132">
        <v>6.4999999999999997E-3</v>
      </c>
      <c r="DJ3" s="132">
        <v>6.4999999999999997E-3</v>
      </c>
      <c r="DK3" s="132">
        <v>6.4999999999999997E-3</v>
      </c>
      <c r="DL3" s="132">
        <v>6.4999999999999997E-3</v>
      </c>
      <c r="DM3" s="132">
        <v>6.4999999999999997E-3</v>
      </c>
      <c r="DN3" s="132">
        <v>6.4999999999999997E-3</v>
      </c>
      <c r="DO3" s="132">
        <v>6.4999999999999997E-3</v>
      </c>
      <c r="DP3" s="132">
        <v>6.4999999999999997E-3</v>
      </c>
      <c r="DQ3" s="132">
        <v>6.4999999999999997E-3</v>
      </c>
      <c r="DR3" s="132">
        <v>6.4999999999999997E-3</v>
      </c>
      <c r="DS3" s="132">
        <v>6.4999999999999997E-3</v>
      </c>
      <c r="DT3" s="132">
        <v>6.4999999999999997E-3</v>
      </c>
      <c r="DU3" s="132">
        <v>6.4999999999999997E-3</v>
      </c>
      <c r="DV3" s="132">
        <v>6.4999999999999997E-3</v>
      </c>
      <c r="DW3" s="132">
        <v>6.4999999999999997E-3</v>
      </c>
      <c r="DX3" s="132">
        <v>6.4999999999999997E-3</v>
      </c>
      <c r="DY3" s="132">
        <v>6.4999999999999997E-3</v>
      </c>
      <c r="DZ3" s="132">
        <v>6.4999999999999997E-3</v>
      </c>
      <c r="EA3" s="132">
        <v>6.4999999999999997E-3</v>
      </c>
      <c r="EB3" s="132">
        <v>6.4999999999999997E-3</v>
      </c>
      <c r="EC3" s="132">
        <v>6.4999999999999997E-3</v>
      </c>
      <c r="ED3" s="132">
        <v>6.4999999999999997E-3</v>
      </c>
    </row>
    <row r="4" spans="1:134" s="15" customFormat="1" x14ac:dyDescent="0.4">
      <c r="A4" s="143">
        <v>24</v>
      </c>
      <c r="B4" s="143" t="s">
        <v>148</v>
      </c>
      <c r="C4" s="144">
        <v>30000000</v>
      </c>
      <c r="D4" s="143" t="s">
        <v>32</v>
      </c>
      <c r="E4" s="145">
        <v>46157.625</v>
      </c>
      <c r="F4" s="146">
        <v>8810</v>
      </c>
      <c r="G4" s="147">
        <f>F4*AG4</f>
        <v>5726.5</v>
      </c>
      <c r="H4" s="148">
        <f ca="1">N4</f>
        <v>46251</v>
      </c>
      <c r="I4" s="149"/>
      <c r="J4" s="150"/>
      <c r="K4" s="149"/>
      <c r="L4" s="151">
        <f>实时行情!$E$7 /( 合约状态!F6 *合约状态!AG6)-1</f>
        <v>0.48771539290720956</v>
      </c>
      <c r="M4" s="152" cm="1">
        <f t="array" aca="1" ref="M4:N4" ca="1">TRANSPOSE(_xll.DistanceToNearestBarrier(R4,S4,F4,AQ4:BL4,BM4:CH4))</f>
        <v>4.1416581881644765E-2</v>
      </c>
      <c r="N4" s="153">
        <f ca="1"/>
        <v>46251</v>
      </c>
      <c r="O4" s="154">
        <f ca="1">BL4-R4</f>
        <v>709.5362405092601</v>
      </c>
      <c r="P4" s="155" cm="1">
        <f t="array" aca="1" ref="P4" ca="1">INDEX(BM:CH,ROW(), MATCH(H4, AQ4:BL4, 0))</f>
        <v>1</v>
      </c>
      <c r="Q4" s="154"/>
      <c r="R4" s="145">
        <f ca="1">实时行情!$A$2</f>
        <v>46178.46375949074</v>
      </c>
      <c r="S4" s="156">
        <f>实时行情!E7</f>
        <v>8459.6309999999994</v>
      </c>
      <c r="T4" s="167" cm="1">
        <f t="array" aca="1" ref="T4:Z4" ca="1">TRANSPOSE(_xll.ValuatePhoenix(实时行情!$D$1,"UP_OUT",F4,E4,CI4:DF4,DG4:ED4,AQ4:BL4,BM4:CH4,AH4,AG4,AI4,AJ4,AK4,AO4,AN4,0,0,R4,S4,AA4,AB4,AC4,AL4,"ALL"))*C4/F4</f>
        <v>-287689.72506372305</v>
      </c>
      <c r="U4" s="156">
        <f ca="1"/>
        <v>1811.4194137819122</v>
      </c>
      <c r="V4" s="156">
        <f ca="1"/>
        <v>-2.2996474496863653</v>
      </c>
      <c r="W4" s="156">
        <f ca="1"/>
        <v>-28890738.819008369</v>
      </c>
      <c r="X4" s="156">
        <f ca="1"/>
        <v>4474268.6260731462</v>
      </c>
      <c r="Y4" s="156">
        <f ca="1"/>
        <v>-29115949.926027194</v>
      </c>
      <c r="Z4" s="156">
        <f ca="1"/>
        <v>-25416992.584990799</v>
      </c>
      <c r="AA4" s="157">
        <v>2.1000000000000001E-2</v>
      </c>
      <c r="AB4" s="158">
        <v>-7.7100000000000002E-2</v>
      </c>
      <c r="AC4" s="157">
        <v>0.18</v>
      </c>
      <c r="AD4" s="159">
        <v>0</v>
      </c>
      <c r="AE4" s="160">
        <v>8490.6200000000008</v>
      </c>
      <c r="AF4" s="161">
        <v>46157.625</v>
      </c>
      <c r="AG4" s="162">
        <v>0.65</v>
      </c>
      <c r="AH4" s="162">
        <v>0.75</v>
      </c>
      <c r="AI4" s="156" t="b">
        <v>1</v>
      </c>
      <c r="AJ4" s="163">
        <v>1</v>
      </c>
      <c r="AK4" s="163">
        <v>1</v>
      </c>
      <c r="AL4" s="156" t="b">
        <v>0</v>
      </c>
      <c r="AM4" s="157"/>
      <c r="AN4" s="163">
        <v>1</v>
      </c>
      <c r="AO4" s="163">
        <v>1</v>
      </c>
      <c r="AP4" s="164" cm="1">
        <f t="array" aca="1" ref="AP4" ca="1">IF(ISERROR(TRANSPOSE(_xll.ValuatePhoenix(实时行情!$D$1,"UP_OUT",F4,E4,CI4:DF4,DG4:ED4,AQ4:BL4,BM4:CH4,AH4,AG4,AI4,AJ4,AK4,AO4,AN4,0,0,实时行情!B2,实时行情!E8,AA4,AB4,AC4,AL4,"NPV")*C4/F4)),    0,   TRANSPOSE(_xll.ValuatePhoenix(实时行情!$D$1,"UP_OUT",F4,E4,CI4:DF4,DG4:ED4,AQ4:BL4,BM4:CH4,AH4,AG4,AI4,AJ4,AK4,AO4,AN4,0,0,实时行情!B2,实时行情!E8,AA4,AB4,AC4,AL4,"NPV")*C4/F4))</f>
        <v>-371153.06402578816</v>
      </c>
      <c r="AQ4" s="165">
        <v>46251</v>
      </c>
      <c r="AR4" s="165">
        <v>46280</v>
      </c>
      <c r="AS4" s="165">
        <v>46310</v>
      </c>
      <c r="AT4" s="165">
        <v>46342</v>
      </c>
      <c r="AU4" s="165">
        <v>46371</v>
      </c>
      <c r="AV4" s="165">
        <v>46402</v>
      </c>
      <c r="AW4" s="165">
        <v>46433</v>
      </c>
      <c r="AX4" s="165">
        <v>46461</v>
      </c>
      <c r="AY4" s="165">
        <v>46492</v>
      </c>
      <c r="AZ4" s="165">
        <v>46524</v>
      </c>
      <c r="BA4" s="165">
        <v>46553</v>
      </c>
      <c r="BB4" s="165">
        <v>46583</v>
      </c>
      <c r="BC4" s="165">
        <v>46615</v>
      </c>
      <c r="BD4" s="165">
        <v>46646</v>
      </c>
      <c r="BE4" s="165">
        <v>46675</v>
      </c>
      <c r="BF4" s="165">
        <v>46706</v>
      </c>
      <c r="BG4" s="165">
        <v>46736</v>
      </c>
      <c r="BH4" s="165">
        <v>46769</v>
      </c>
      <c r="BI4" s="165">
        <v>46798</v>
      </c>
      <c r="BJ4" s="165">
        <v>46827</v>
      </c>
      <c r="BK4" s="165">
        <v>46860</v>
      </c>
      <c r="BL4" s="165">
        <v>46888</v>
      </c>
      <c r="BM4" s="157">
        <v>1</v>
      </c>
      <c r="BN4" s="157">
        <v>1</v>
      </c>
      <c r="BO4" s="157">
        <v>1</v>
      </c>
      <c r="BP4" s="157">
        <v>1</v>
      </c>
      <c r="BQ4" s="157">
        <v>1</v>
      </c>
      <c r="BR4" s="157">
        <v>1</v>
      </c>
      <c r="BS4" s="157">
        <v>1</v>
      </c>
      <c r="BT4" s="157">
        <v>1</v>
      </c>
      <c r="BU4" s="157">
        <v>1</v>
      </c>
      <c r="BV4" s="157">
        <v>1</v>
      </c>
      <c r="BW4" s="157">
        <v>1</v>
      </c>
      <c r="BX4" s="157">
        <v>1</v>
      </c>
      <c r="BY4" s="157">
        <v>1</v>
      </c>
      <c r="BZ4" s="157">
        <v>1</v>
      </c>
      <c r="CA4" s="157">
        <v>1</v>
      </c>
      <c r="CB4" s="157">
        <v>1</v>
      </c>
      <c r="CC4" s="157">
        <v>1</v>
      </c>
      <c r="CD4" s="157">
        <v>1</v>
      </c>
      <c r="CE4" s="157">
        <v>1</v>
      </c>
      <c r="CF4" s="157">
        <v>1</v>
      </c>
      <c r="CG4" s="157">
        <v>1</v>
      </c>
      <c r="CH4" s="157">
        <v>1</v>
      </c>
      <c r="CI4" s="166">
        <v>46188</v>
      </c>
      <c r="CJ4" s="166">
        <v>46218</v>
      </c>
      <c r="CK4" s="166">
        <v>46251</v>
      </c>
      <c r="CL4" s="166">
        <v>46280</v>
      </c>
      <c r="CM4" s="166">
        <v>46310</v>
      </c>
      <c r="CN4" s="166">
        <v>46342</v>
      </c>
      <c r="CO4" s="166">
        <v>46371</v>
      </c>
      <c r="CP4" s="166">
        <v>46402</v>
      </c>
      <c r="CQ4" s="166">
        <v>46433</v>
      </c>
      <c r="CR4" s="166">
        <v>46461</v>
      </c>
      <c r="CS4" s="166">
        <v>46492</v>
      </c>
      <c r="CT4" s="166">
        <v>46524</v>
      </c>
      <c r="CU4" s="166">
        <v>46553</v>
      </c>
      <c r="CV4" s="166">
        <v>46583</v>
      </c>
      <c r="CW4" s="166">
        <v>46615</v>
      </c>
      <c r="CX4" s="166">
        <v>46646</v>
      </c>
      <c r="CY4" s="166">
        <v>46675</v>
      </c>
      <c r="CZ4" s="166">
        <v>46706</v>
      </c>
      <c r="DA4" s="166">
        <v>46736</v>
      </c>
      <c r="DB4" s="166">
        <v>46769</v>
      </c>
      <c r="DC4" s="166">
        <v>46798</v>
      </c>
      <c r="DD4" s="166">
        <v>46827</v>
      </c>
      <c r="DE4" s="166">
        <v>46860</v>
      </c>
      <c r="DF4" s="166">
        <v>46888</v>
      </c>
      <c r="DG4" s="156">
        <v>9.9996482278682051E-3</v>
      </c>
      <c r="DH4" s="156">
        <v>9.9996482278682051E-3</v>
      </c>
      <c r="DI4" s="156">
        <v>9.9996482278682051E-3</v>
      </c>
      <c r="DJ4" s="156">
        <v>9.9996482278682051E-3</v>
      </c>
      <c r="DK4" s="156">
        <v>9.9996482278682051E-3</v>
      </c>
      <c r="DL4" s="156">
        <v>9.9996482278682051E-3</v>
      </c>
      <c r="DM4" s="156">
        <v>9.9996482278682051E-3</v>
      </c>
      <c r="DN4" s="156">
        <v>9.9996482278682051E-3</v>
      </c>
      <c r="DO4" s="156">
        <v>9.9996482278682051E-3</v>
      </c>
      <c r="DP4" s="156">
        <v>9.9996482278682051E-3</v>
      </c>
      <c r="DQ4" s="156">
        <v>9.9996482278682051E-3</v>
      </c>
      <c r="DR4" s="156">
        <v>9.9996482278682051E-3</v>
      </c>
      <c r="DS4" s="156">
        <v>9.9996482278682051E-3</v>
      </c>
      <c r="DT4" s="156">
        <v>9.9996482278682051E-3</v>
      </c>
      <c r="DU4" s="156">
        <v>9.9996482278682051E-3</v>
      </c>
      <c r="DV4" s="156">
        <v>9.9996482278682051E-3</v>
      </c>
      <c r="DW4" s="156">
        <v>9.9996482278682051E-3</v>
      </c>
      <c r="DX4" s="156">
        <v>9.9996482278682051E-3</v>
      </c>
      <c r="DY4" s="156">
        <v>9.9996482278682051E-3</v>
      </c>
      <c r="DZ4" s="156">
        <v>9.9996482278682051E-3</v>
      </c>
      <c r="EA4" s="156">
        <v>9.9996482278682051E-3</v>
      </c>
      <c r="EB4" s="156">
        <v>9.9996482278682051E-3</v>
      </c>
      <c r="EC4" s="156">
        <v>9.9996482278682051E-3</v>
      </c>
      <c r="ED4" s="156">
        <v>9.9996482278682051E-3</v>
      </c>
    </row>
    <row r="5" spans="1:134" s="156" customFormat="1" x14ac:dyDescent="0.4">
      <c r="A5" s="119">
        <v>23</v>
      </c>
      <c r="B5" s="119" t="s">
        <v>97</v>
      </c>
      <c r="C5" s="120">
        <v>14000000</v>
      </c>
      <c r="D5" s="119" t="s">
        <v>32</v>
      </c>
      <c r="E5" s="121">
        <v>46157.625</v>
      </c>
      <c r="F5" s="122">
        <v>8820.0499999999993</v>
      </c>
      <c r="G5" s="123">
        <f>F5*AG5</f>
        <v>6174.0349999999989</v>
      </c>
      <c r="H5" s="124">
        <f ca="1">N5</f>
        <v>46251</v>
      </c>
      <c r="I5" s="34" cm="1">
        <f t="array" aca="1" ref="I5" ca="1">INDEX(CI:DD,ROW(), MATCH(H5, AQ5:BL5, 0))</f>
        <v>0.15</v>
      </c>
      <c r="J5" s="126">
        <f ca="1">(N5-AF5)/365*C5*I5</f>
        <v>985993.15068493143</v>
      </c>
      <c r="K5" s="125">
        <v>0.15</v>
      </c>
      <c r="L5" s="127">
        <f>实时行情!$E$7 /( 合约状态!F7 *合约状态!AG7)-1</f>
        <v>0.51784078985707982</v>
      </c>
      <c r="M5" s="128" cm="1">
        <f t="array" aca="1" ref="M5:N5" ca="1">TRANSPOSE(_xll.DistanceToNearestBarrier(R5,S5,F5,AQ5:BL5,BM5:CH5))</f>
        <v>4.2604576960862728E-2</v>
      </c>
      <c r="N5" s="129">
        <f ca="1"/>
        <v>46251</v>
      </c>
      <c r="O5" s="130">
        <f ca="1">BL5-R5</f>
        <v>709.5362405092601</v>
      </c>
      <c r="P5" s="131" cm="1">
        <f t="array" aca="1" ref="P5" ca="1">INDEX(BM:CH,ROW(), MATCH(H5, AQ5:BL5, 0))</f>
        <v>1</v>
      </c>
      <c r="Q5" s="130"/>
      <c r="R5" s="121">
        <f ca="1">实时行情!$A$2</f>
        <v>46178.46375949074</v>
      </c>
      <c r="S5" s="132">
        <f>实时行情!E7</f>
        <v>8459.6309999999994</v>
      </c>
      <c r="T5" s="133" cm="1">
        <f t="array" aca="1" ref="T5:Z5" ca="1">TRANSPOSE(_xll.ValuateSnowball(实时行情!$D$1,F5,AF5,AQ5:BL5,BM5:CH5,CI5:DD5,0,AM5,AG5,AJ5,AK5,AN5,AO5,0,0,0,TRUE,AI5,R5,S5,AA5,AB5,AC5,FALSE,"ALL")*C5/F5)</f>
        <v>-311026.69637257309</v>
      </c>
      <c r="U5" s="132">
        <f ca="1"/>
        <v>1551.7249865912686</v>
      </c>
      <c r="V5" s="132">
        <f ca="1"/>
        <v>-1.1291950625693701</v>
      </c>
      <c r="W5" s="132">
        <f ca="1"/>
        <v>-10853527.773898546</v>
      </c>
      <c r="X5" s="132">
        <f ca="1"/>
        <v>2602881.9308333877</v>
      </c>
      <c r="Y5" s="132">
        <f ca="1"/>
        <v>-12474039.038933823</v>
      </c>
      <c r="Z5" s="132">
        <f ca="1"/>
        <v>-16569120.538444959</v>
      </c>
      <c r="AA5" s="134">
        <v>2.1000000000000001E-2</v>
      </c>
      <c r="AB5" s="135">
        <v>-7.6399999999999996E-2</v>
      </c>
      <c r="AC5" s="134">
        <v>0.18</v>
      </c>
      <c r="AD5" s="136">
        <v>0</v>
      </c>
      <c r="AE5" s="137">
        <v>8490.6200000000008</v>
      </c>
      <c r="AF5" s="138">
        <v>46079.625</v>
      </c>
      <c r="AG5" s="139">
        <v>0.7</v>
      </c>
      <c r="AH5" s="139"/>
      <c r="AI5" s="132" t="b">
        <v>1</v>
      </c>
      <c r="AJ5" s="140">
        <v>1</v>
      </c>
      <c r="AK5" s="140">
        <v>1</v>
      </c>
      <c r="AL5" s="132" t="b">
        <v>0</v>
      </c>
      <c r="AM5" s="134">
        <v>0.1971</v>
      </c>
      <c r="AN5" s="140">
        <v>1</v>
      </c>
      <c r="AO5" s="140">
        <v>1</v>
      </c>
      <c r="AP5" s="141" cm="1">
        <f t="array" aca="1" ref="AP5" ca="1">IF(ISERROR(TRANSPOSE(_xll.ValuateSnowball(实时行情!$D$1,F5,AF5,AQ5:BL5,BM5:CH5,CI5:DD5,0,AM5,AG5,AJ5,AK5,AN5,AO5,0,0,0,TRUE,AI5,实时行情!$B$2,实时行情!E8,AA5,AB5,AC5,FALSE,"NPV")*C5/F5)),    0,   TRANSPOSE(_xll.ValuateSnowball(实时行情!$D$1,F5,AF5,AQ5:BL5,BM5:CH5,CI5:DD5,0,AM5,AG5,AJ5,AK5,AN5,AO5,0,0,0,TRUE,AI5,实时行情!$B$2,实时行情!$E$8,AA5,AB5,AC5,FALSE,"NPV")*C5/F5))</f>
        <v>-378976.22614050109</v>
      </c>
      <c r="AQ5" s="142">
        <v>46251</v>
      </c>
      <c r="AR5" s="142">
        <v>46280</v>
      </c>
      <c r="AS5" s="142">
        <v>46310</v>
      </c>
      <c r="AT5" s="142">
        <v>46342</v>
      </c>
      <c r="AU5" s="142">
        <v>46371</v>
      </c>
      <c r="AV5" s="142">
        <v>46402</v>
      </c>
      <c r="AW5" s="142">
        <v>46433</v>
      </c>
      <c r="AX5" s="142">
        <v>46461</v>
      </c>
      <c r="AY5" s="142">
        <v>46492</v>
      </c>
      <c r="AZ5" s="142">
        <v>46524</v>
      </c>
      <c r="BA5" s="142">
        <v>46553</v>
      </c>
      <c r="BB5" s="142">
        <v>46583</v>
      </c>
      <c r="BC5" s="142">
        <v>46615</v>
      </c>
      <c r="BD5" s="142">
        <v>46646</v>
      </c>
      <c r="BE5" s="142">
        <v>46675</v>
      </c>
      <c r="BF5" s="142">
        <v>46706</v>
      </c>
      <c r="BG5" s="142">
        <v>46736</v>
      </c>
      <c r="BH5" s="142">
        <v>46769</v>
      </c>
      <c r="BI5" s="142">
        <v>46798</v>
      </c>
      <c r="BJ5" s="142">
        <v>46827</v>
      </c>
      <c r="BK5" s="142">
        <v>46860</v>
      </c>
      <c r="BL5" s="142">
        <v>46888</v>
      </c>
      <c r="BM5" s="134">
        <v>1</v>
      </c>
      <c r="BN5" s="134">
        <v>0.995</v>
      </c>
      <c r="BO5" s="134">
        <v>0.99</v>
      </c>
      <c r="BP5" s="134">
        <v>0.98499999999999999</v>
      </c>
      <c r="BQ5" s="134">
        <v>0.98</v>
      </c>
      <c r="BR5" s="134">
        <v>0.97499999999999998</v>
      </c>
      <c r="BS5" s="134">
        <v>0.97</v>
      </c>
      <c r="BT5" s="134">
        <v>0.96499999999999997</v>
      </c>
      <c r="BU5" s="134">
        <v>0.96</v>
      </c>
      <c r="BV5" s="134">
        <v>0.95499999999999996</v>
      </c>
      <c r="BW5" s="134">
        <v>0.95</v>
      </c>
      <c r="BX5" s="134">
        <v>0.94499999999999995</v>
      </c>
      <c r="BY5" s="134">
        <v>0.94</v>
      </c>
      <c r="BZ5" s="134">
        <v>0.93500000000000005</v>
      </c>
      <c r="CA5" s="134">
        <v>0.92999999999999994</v>
      </c>
      <c r="CB5" s="134">
        <v>0.92500000000000004</v>
      </c>
      <c r="CC5" s="134">
        <v>0.92</v>
      </c>
      <c r="CD5" s="134">
        <v>0.91500000000000004</v>
      </c>
      <c r="CE5" s="134">
        <v>0.91</v>
      </c>
      <c r="CF5" s="134">
        <v>0.90500000000000003</v>
      </c>
      <c r="CG5" s="134">
        <v>0.9</v>
      </c>
      <c r="CH5" s="134">
        <v>0.89500000000000002</v>
      </c>
      <c r="CI5" s="134">
        <v>0.15</v>
      </c>
      <c r="CJ5" s="134">
        <v>0.15</v>
      </c>
      <c r="CK5" s="134">
        <v>0.15</v>
      </c>
      <c r="CL5" s="134">
        <v>0.15</v>
      </c>
      <c r="CM5" s="134">
        <v>0.15</v>
      </c>
      <c r="CN5" s="134">
        <v>0.15</v>
      </c>
      <c r="CO5" s="134">
        <v>0.15</v>
      </c>
      <c r="CP5" s="134">
        <v>0.15</v>
      </c>
      <c r="CQ5" s="134">
        <v>0.15</v>
      </c>
      <c r="CR5" s="134">
        <v>0.15</v>
      </c>
      <c r="CS5" s="134">
        <v>0.15</v>
      </c>
      <c r="CT5" s="134">
        <v>0.15</v>
      </c>
      <c r="CU5" s="134">
        <v>0.15</v>
      </c>
      <c r="CV5" s="134">
        <v>0.15</v>
      </c>
      <c r="CW5" s="134">
        <v>0.15</v>
      </c>
      <c r="CX5" s="134">
        <v>0.15</v>
      </c>
      <c r="CY5" s="134">
        <v>0.15</v>
      </c>
      <c r="CZ5" s="134">
        <v>0.15</v>
      </c>
      <c r="DA5" s="134">
        <v>0.15</v>
      </c>
      <c r="DB5" s="134">
        <v>0.15</v>
      </c>
      <c r="DC5" s="134">
        <v>0.15</v>
      </c>
      <c r="DD5" s="134">
        <v>0.15</v>
      </c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</row>
    <row r="6" spans="1:134" s="156" customFormat="1" x14ac:dyDescent="0.4">
      <c r="A6" s="26">
        <v>22</v>
      </c>
      <c r="B6" s="26" t="s">
        <v>96</v>
      </c>
      <c r="C6" s="90">
        <v>11000000</v>
      </c>
      <c r="D6" s="26" t="s">
        <v>32</v>
      </c>
      <c r="E6" s="91">
        <v>46150.625</v>
      </c>
      <c r="F6" s="92">
        <v>8748.19</v>
      </c>
      <c r="G6" s="93">
        <f>F6*AG6</f>
        <v>5686.3235000000004</v>
      </c>
      <c r="H6" s="94">
        <f ca="1">N6</f>
        <v>46244</v>
      </c>
      <c r="I6" s="95" cm="1">
        <f t="array" aca="1" ref="I6" ca="1">INDEX(CI:DD,ROW(), MATCH(H6, AQ6:BL6, 0))</f>
        <v>0.215</v>
      </c>
      <c r="J6" s="96">
        <f ca="1">(N6-AF6)/365*C6*I6</f>
        <v>605018.8356164383</v>
      </c>
      <c r="K6" s="95">
        <v>0.05</v>
      </c>
      <c r="L6" s="97">
        <f>实时行情!$E$7 /( 合约状态!F8 *合约状态!AG8)-1</f>
        <v>0.44181093216460887</v>
      </c>
      <c r="M6" s="98" cm="1">
        <f t="array" aca="1" ref="M6:N6" ca="1">TRANSPOSE(_xll.DistanceToNearestBarrier(R6,S6,F6,AQ6:BL6,BM6:CH6))</f>
        <v>3.4110116623290221E-2</v>
      </c>
      <c r="N6" s="28">
        <f ca="1"/>
        <v>46244</v>
      </c>
      <c r="O6" s="48">
        <f ca="1">BL6-R6</f>
        <v>702.5362405092601</v>
      </c>
      <c r="P6" s="155" cm="1">
        <f t="array" aca="1" ref="P6" ca="1">INDEX(BM:CH,ROW(), MATCH(H6, AQ6:BL6, 0))</f>
        <v>1</v>
      </c>
      <c r="Q6" s="48"/>
      <c r="R6" s="91">
        <f ca="1">实时行情!$A$2</f>
        <v>46178.46375949074</v>
      </c>
      <c r="S6" s="15">
        <f>实时行情!E7</f>
        <v>8459.6309999999994</v>
      </c>
      <c r="T6" s="99" cm="1">
        <f t="array" aca="1" ref="T6:Z6" ca="1">TRANSPOSE(_xll.ValuateSnowball(实时行情!$D$1,F6,E6,AQ6:BL6,BM6:CH6,CI6:DD6,0,AM6,AG6,AJ6,AK6,AN6,AO6,0,0,0,TRUE,AI6,R6,S6,AA6,AB6,AC6,AL6,"ALL")*C6/F6)</f>
        <v>-92308.3637589805</v>
      </c>
      <c r="U6" s="15">
        <f ca="1"/>
        <v>898.40084463599203</v>
      </c>
      <c r="V6" s="15">
        <f ca="1"/>
        <v>-0.69880697002027969</v>
      </c>
      <c r="W6" s="15">
        <f ca="1"/>
        <v>-6192265.8325739447</v>
      </c>
      <c r="X6" s="15">
        <f ca="1"/>
        <v>1627209.3785772279</v>
      </c>
      <c r="Y6" s="15">
        <f ca="1"/>
        <v>-10557697.481879149</v>
      </c>
      <c r="Z6" s="15">
        <f ca="1"/>
        <v>-9781785.0021030176</v>
      </c>
      <c r="AA6" s="27">
        <v>2.1000000000000001E-2</v>
      </c>
      <c r="AB6" s="100">
        <v>-7.6999999999999999E-2</v>
      </c>
      <c r="AC6" s="27">
        <v>0.18</v>
      </c>
      <c r="AD6" s="101">
        <v>0</v>
      </c>
      <c r="AE6" s="102">
        <v>8748.19</v>
      </c>
      <c r="AF6" s="103">
        <v>46150.625</v>
      </c>
      <c r="AG6" s="104">
        <v>0.65</v>
      </c>
      <c r="AH6" s="104"/>
      <c r="AI6" s="15" t="b">
        <v>0</v>
      </c>
      <c r="AJ6" s="29">
        <v>1</v>
      </c>
      <c r="AK6" s="29">
        <v>1</v>
      </c>
      <c r="AL6" s="15" t="b">
        <v>0</v>
      </c>
      <c r="AM6" s="27">
        <v>0.05</v>
      </c>
      <c r="AN6" s="29">
        <v>1</v>
      </c>
      <c r="AO6" s="29">
        <v>1</v>
      </c>
      <c r="AP6" s="16" cm="1">
        <f t="array" aca="1" ref="AP6" ca="1">IF(ISERROR(TRANSPOSE(_xll.ValuateSnowball(实时行情!$D$1,F6,AF6,AQ6:BL6,BM6:CH6,CI6:DD6,0,AM6,AG6,AJ6,AK6,AN6,AO6,0,0,0,TRUE,AI6,实时行情!$B$2,实时行情!E8,AA6,AB6,AC6,FALSE,"NPV")*C6/F6)),    0,   TRANSPOSE(_xll.ValuateSnowball(实时行情!$D$1,F6,AF6,AQ6:BL6,BM6:CH6,CI6:DD6,0,AM6,AG6,AJ6,AK6,AN6,AO6,0,0,0,TRUE,AI6,实时行情!$B$2,实时行情!$E$8,AA6,AB6,AC6,FALSE,"NPV")*C6/F6))</f>
        <v>-131932.04622859729</v>
      </c>
      <c r="AQ6" s="25">
        <v>46244</v>
      </c>
      <c r="AR6" s="25">
        <v>46273</v>
      </c>
      <c r="AS6" s="25">
        <v>46303</v>
      </c>
      <c r="AT6" s="25">
        <v>46335</v>
      </c>
      <c r="AU6" s="25">
        <v>46364</v>
      </c>
      <c r="AV6" s="25">
        <v>46395</v>
      </c>
      <c r="AW6" s="25">
        <v>46433</v>
      </c>
      <c r="AX6" s="25">
        <v>46454</v>
      </c>
      <c r="AY6" s="25">
        <v>46485</v>
      </c>
      <c r="AZ6" s="25">
        <v>46517</v>
      </c>
      <c r="BA6" s="25">
        <v>46546</v>
      </c>
      <c r="BB6" s="25">
        <v>46576</v>
      </c>
      <c r="BC6" s="25">
        <v>46608</v>
      </c>
      <c r="BD6" s="25">
        <v>46638</v>
      </c>
      <c r="BE6" s="25">
        <v>46668</v>
      </c>
      <c r="BF6" s="25">
        <v>46699</v>
      </c>
      <c r="BG6" s="25">
        <v>46729</v>
      </c>
      <c r="BH6" s="25">
        <v>46762</v>
      </c>
      <c r="BI6" s="25">
        <v>46791</v>
      </c>
      <c r="BJ6" s="25">
        <v>46820</v>
      </c>
      <c r="BK6" s="25">
        <v>46853</v>
      </c>
      <c r="BL6" s="25">
        <v>46881</v>
      </c>
      <c r="BM6" s="27">
        <v>1</v>
      </c>
      <c r="BN6" s="27">
        <v>1</v>
      </c>
      <c r="BO6" s="27">
        <v>1</v>
      </c>
      <c r="BP6" s="27">
        <v>1</v>
      </c>
      <c r="BQ6" s="27">
        <v>1</v>
      </c>
      <c r="BR6" s="27">
        <v>1</v>
      </c>
      <c r="BS6" s="27">
        <v>1</v>
      </c>
      <c r="BT6" s="27">
        <v>1</v>
      </c>
      <c r="BU6" s="27">
        <v>1</v>
      </c>
      <c r="BV6" s="27">
        <v>1</v>
      </c>
      <c r="BW6" s="27">
        <v>1</v>
      </c>
      <c r="BX6" s="27">
        <v>1</v>
      </c>
      <c r="BY6" s="27">
        <v>1</v>
      </c>
      <c r="BZ6" s="27">
        <v>1</v>
      </c>
      <c r="CA6" s="27">
        <v>1</v>
      </c>
      <c r="CB6" s="27">
        <v>1</v>
      </c>
      <c r="CC6" s="27">
        <v>1</v>
      </c>
      <c r="CD6" s="27">
        <v>1</v>
      </c>
      <c r="CE6" s="27">
        <v>1</v>
      </c>
      <c r="CF6" s="27">
        <v>1</v>
      </c>
      <c r="CG6" s="27">
        <v>1</v>
      </c>
      <c r="CH6" s="27">
        <v>1</v>
      </c>
      <c r="CI6" s="27">
        <v>0.215</v>
      </c>
      <c r="CJ6" s="27">
        <v>0.215</v>
      </c>
      <c r="CK6" s="27">
        <v>0.215</v>
      </c>
      <c r="CL6" s="27">
        <v>0.215</v>
      </c>
      <c r="CM6" s="27">
        <v>0.215</v>
      </c>
      <c r="CN6" s="27">
        <v>0.215</v>
      </c>
      <c r="CO6" s="27">
        <v>0.215</v>
      </c>
      <c r="CP6" s="27">
        <v>0.215</v>
      </c>
      <c r="CQ6" s="27">
        <v>0.215</v>
      </c>
      <c r="CR6" s="27">
        <v>0.215</v>
      </c>
      <c r="CS6" s="27">
        <v>0.05</v>
      </c>
      <c r="CT6" s="27">
        <v>0.05</v>
      </c>
      <c r="CU6" s="27">
        <v>0.05</v>
      </c>
      <c r="CV6" s="27">
        <v>0.05</v>
      </c>
      <c r="CW6" s="27">
        <v>0.05</v>
      </c>
      <c r="CX6" s="27">
        <v>0.05</v>
      </c>
      <c r="CY6" s="27">
        <v>0.05</v>
      </c>
      <c r="CZ6" s="27">
        <v>0.05</v>
      </c>
      <c r="DA6" s="27">
        <v>0.05</v>
      </c>
      <c r="DB6" s="27">
        <v>0.05</v>
      </c>
      <c r="DC6" s="27">
        <v>0.05</v>
      </c>
      <c r="DD6" s="27">
        <v>0.05</v>
      </c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</row>
    <row r="7" spans="1:134" s="132" customFormat="1" x14ac:dyDescent="0.4">
      <c r="A7" s="32">
        <v>21</v>
      </c>
      <c r="B7" s="32" t="s">
        <v>96</v>
      </c>
      <c r="C7" s="70">
        <v>11000000</v>
      </c>
      <c r="D7" s="32" t="s">
        <v>32</v>
      </c>
      <c r="E7" s="41">
        <v>46148.625</v>
      </c>
      <c r="F7" s="38">
        <v>8574.56</v>
      </c>
      <c r="G7" s="39">
        <f>F7*AG7</f>
        <v>5573.4639999999999</v>
      </c>
      <c r="H7" s="88">
        <f ca="1">N7</f>
        <v>46240</v>
      </c>
      <c r="I7" s="34" cm="1">
        <f t="array" aca="1" ref="I7" ca="1">INDEX(CI:DD,ROW(), MATCH(H7, AQ7:BL7, 0))</f>
        <v>0.16</v>
      </c>
      <c r="J7" s="73">
        <f ca="1">(N7-AF7)/365*C7*I7</f>
        <v>440602.73972602742</v>
      </c>
      <c r="K7" s="34">
        <v>0.1</v>
      </c>
      <c r="L7" s="36">
        <f>实时行情!$E$7 /( 合约状态!F9 *合约状态!AG9)-1</f>
        <v>0.44181093216460887</v>
      </c>
      <c r="M7" s="37" cm="1">
        <f t="array" aca="1" ref="M7:N7" ca="1">TRANSPOSE(_xll.DistanceToNearestBarrier(R7,S7,F7,AQ7:BL7,BM7:CH7))</f>
        <v>1.3585580742233372E-2</v>
      </c>
      <c r="N7" s="33">
        <f ca="1"/>
        <v>46240</v>
      </c>
      <c r="O7" s="35">
        <f ca="1">BL7-R7</f>
        <v>702.5362405092601</v>
      </c>
      <c r="P7" s="131" cm="1">
        <f t="array" aca="1" ref="P7" ca="1">INDEX(BM:CH,ROW(), MATCH(H7, AQ7:BL7, 0))</f>
        <v>1</v>
      </c>
      <c r="Q7" s="35"/>
      <c r="R7" s="41">
        <f ca="1">实时行情!$A$2</f>
        <v>46178.46375949074</v>
      </c>
      <c r="S7">
        <f>实时行情!E7</f>
        <v>8459.6309999999994</v>
      </c>
      <c r="T7" s="20" cm="1">
        <f t="array" aca="1" ref="T7:Z7" ca="1">TRANSPOSE(_xll.ValuateSnowball(实时行情!$D$1,F7,E7,AQ7:BL7,BM7:CH7,CI7:DD7,0,AM7,AG7,AJ7,AK7,AN7,AO7,0,0,0,TRUE,AI7,R7,S7,AA7,AB7,AC7,AL7,"ALL")*C7/F7)</f>
        <v>60794.804100306574</v>
      </c>
      <c r="U7">
        <f ca="1"/>
        <v>692.14187754170109</v>
      </c>
      <c r="V7">
        <f ca="1"/>
        <v>-0.98911190684541206</v>
      </c>
      <c r="W7">
        <f ca="1"/>
        <v>-11055578.27860917</v>
      </c>
      <c r="X7">
        <f ca="1"/>
        <v>1628522.4658469637</v>
      </c>
      <c r="Y7">
        <f ca="1"/>
        <v>-9950818.49876526</v>
      </c>
      <c r="Z7">
        <f ca="1"/>
        <v>-9262793.7106743045</v>
      </c>
      <c r="AA7" s="4">
        <v>2.1000000000000001E-2</v>
      </c>
      <c r="AB7" s="21">
        <v>-8.2750000000000004E-2</v>
      </c>
      <c r="AC7" s="4">
        <v>0.16</v>
      </c>
      <c r="AD7" s="19">
        <v>0</v>
      </c>
      <c r="AE7" s="17">
        <v>8574.56</v>
      </c>
      <c r="AF7" s="1">
        <v>46148.625</v>
      </c>
      <c r="AG7" s="18">
        <v>0.65</v>
      </c>
      <c r="AH7" s="18"/>
      <c r="AI7" t="b">
        <v>1</v>
      </c>
      <c r="AJ7" s="2">
        <v>1</v>
      </c>
      <c r="AK7" s="2">
        <v>1</v>
      </c>
      <c r="AL7" t="b">
        <v>0</v>
      </c>
      <c r="AM7" s="4">
        <v>0.1</v>
      </c>
      <c r="AN7" s="2">
        <v>1</v>
      </c>
      <c r="AO7" s="2">
        <v>1</v>
      </c>
      <c r="AP7" s="6" cm="1">
        <f t="array" aca="1" ref="AP7" ca="1">IF(ISERROR(TRANSPOSE(_xll.ValuateSnowball(实时行情!$D$1,F7,AF7,AQ7:BL7,BM7:CH7,CI7:DD7,0,AM7,AG7,AJ7,AK7,AN7,AO7,0,0,0,TRUE,AI7,实时行情!$B$2,实时行情!E8,AA7,AB7,AC7,FALSE,"NPV")*C7/F7)),    0,   TRANSPOSE(_xll.ValuateSnowball(实时行情!$D$1,F7,AF7,AQ7:BL7,BM7:CH7,CI7:DD7,0,AM7,AG7,AJ7,AK7,AN7,AO7,0,0,0,TRUE,AI7,实时行情!$B$2,实时行情!$E$8,AA7,AB7,AC7,FALSE,"NPV")*C7/F7))</f>
        <v>29003.020797702891</v>
      </c>
      <c r="AQ7" s="3">
        <v>46240</v>
      </c>
      <c r="AR7" s="3">
        <v>46272</v>
      </c>
      <c r="AS7" s="3">
        <v>46303</v>
      </c>
      <c r="AT7" s="3">
        <v>46332</v>
      </c>
      <c r="AU7" s="3">
        <v>46363</v>
      </c>
      <c r="AV7" s="3">
        <v>46393</v>
      </c>
      <c r="AW7" s="3">
        <v>46433</v>
      </c>
      <c r="AX7" s="3">
        <v>46454</v>
      </c>
      <c r="AY7" s="3">
        <v>46483</v>
      </c>
      <c r="AZ7" s="3">
        <v>46513</v>
      </c>
      <c r="BA7" s="3">
        <v>46545</v>
      </c>
      <c r="BB7" s="3">
        <v>46574</v>
      </c>
      <c r="BC7" s="3">
        <v>46605</v>
      </c>
      <c r="BD7" s="3">
        <v>46636</v>
      </c>
      <c r="BE7" s="3">
        <v>46668</v>
      </c>
      <c r="BF7" s="3">
        <v>46699</v>
      </c>
      <c r="BG7" s="3">
        <v>46727</v>
      </c>
      <c r="BH7" s="3">
        <v>46758</v>
      </c>
      <c r="BI7" s="3">
        <v>46790</v>
      </c>
      <c r="BJ7" s="3">
        <v>46818</v>
      </c>
      <c r="BK7" s="3">
        <v>46849</v>
      </c>
      <c r="BL7" s="3">
        <v>46881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0.16</v>
      </c>
      <c r="CJ7" s="4">
        <v>0.16</v>
      </c>
      <c r="CK7" s="4">
        <v>0.16</v>
      </c>
      <c r="CL7" s="4">
        <v>0.16</v>
      </c>
      <c r="CM7" s="4">
        <v>0.16</v>
      </c>
      <c r="CN7" s="4">
        <v>0.16</v>
      </c>
      <c r="CO7" s="4">
        <v>0.16</v>
      </c>
      <c r="CP7" s="4">
        <v>0.16</v>
      </c>
      <c r="CQ7" s="4">
        <v>0.16</v>
      </c>
      <c r="CR7" s="4">
        <v>0.16</v>
      </c>
      <c r="CS7" s="4">
        <v>0.1</v>
      </c>
      <c r="CT7" s="4">
        <v>0.1</v>
      </c>
      <c r="CU7" s="4">
        <v>0.1</v>
      </c>
      <c r="CV7" s="4">
        <v>0.1</v>
      </c>
      <c r="CW7" s="4">
        <v>0.1</v>
      </c>
      <c r="CX7" s="4">
        <v>0.1</v>
      </c>
      <c r="CY7" s="4">
        <v>0.1</v>
      </c>
      <c r="CZ7" s="4">
        <v>0.1</v>
      </c>
      <c r="DA7" s="4">
        <v>0.1</v>
      </c>
      <c r="DB7" s="4">
        <v>0.1</v>
      </c>
      <c r="DC7" s="4">
        <v>0.1</v>
      </c>
      <c r="DD7" s="4">
        <v>0.1</v>
      </c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</row>
    <row r="8" spans="1:134" s="15" customFormat="1" x14ac:dyDescent="0.4">
      <c r="A8" s="26">
        <v>28</v>
      </c>
      <c r="B8" s="26" t="s">
        <v>96</v>
      </c>
      <c r="C8" s="90">
        <v>5000000</v>
      </c>
      <c r="D8" s="26" t="s">
        <v>32</v>
      </c>
      <c r="E8" s="91">
        <v>46142.625</v>
      </c>
      <c r="F8" s="146">
        <v>8381.9500000000007</v>
      </c>
      <c r="G8" s="93">
        <f>F8*AG8</f>
        <v>5867.3649999999998</v>
      </c>
      <c r="H8" s="94">
        <f ca="1">N8</f>
        <v>46234</v>
      </c>
      <c r="I8" s="95">
        <v>0.28000000000000003</v>
      </c>
      <c r="J8" s="96">
        <f ca="1">(N8-AF8)/365*C8*I8</f>
        <v>350479.45205479459</v>
      </c>
      <c r="K8" s="95">
        <v>0.08</v>
      </c>
      <c r="L8" s="97">
        <f>实时行情!$E$7 /( 合约状态!F2 *合约状态!AG2)-1</f>
        <v>0.50673867505585046</v>
      </c>
      <c r="M8" s="98" cm="1">
        <f t="array" aca="1" ref="M8:N8" ca="1">TRANSPOSE(_xll.DistanceToNearestBarrier(R8,S8,F8,AQ8:BL8,BM8:CH8))</f>
        <v>-9.1825518157941932E-3</v>
      </c>
      <c r="N8" s="28">
        <f ca="1"/>
        <v>46234</v>
      </c>
      <c r="O8" s="48">
        <f ca="1">BL8-R8</f>
        <v>692.5362405092601</v>
      </c>
      <c r="P8" s="155" cm="1">
        <f t="array" aca="1" ref="P8" ca="1">INDEX(BM:CH,ROW(), MATCH(H8, AQ8:BL8, 0))</f>
        <v>1</v>
      </c>
      <c r="Q8" s="48"/>
      <c r="R8" s="91">
        <f ca="1">实时行情!$A$2</f>
        <v>46178.46375949074</v>
      </c>
      <c r="S8" s="15">
        <f>实时行情!E7</f>
        <v>8459.6309999999994</v>
      </c>
      <c r="T8" s="99" cm="1">
        <f t="array" aca="1" ref="T8:Z8" ca="1">TRANSPOSE(_xll.ValuateSnowball(实时行情!$D$1,F8,E8,AQ8:BL8,BM8:CH8,CI8:DD8,0,AM8,AG8,AJ8,AK8,AN8,AO8,0,0,0,TRUE,AI8,R8,S8,AA8,AB8,AC8,AL8,"ALL")*C8/F8)</f>
        <v>124728.49741783562</v>
      </c>
      <c r="U8" s="15">
        <f ca="1"/>
        <v>433.34623760367987</v>
      </c>
      <c r="V8" s="15">
        <f ca="1"/>
        <v>-0.59667751546365477</v>
      </c>
      <c r="W8" s="15">
        <f ca="1"/>
        <v>-2341600.7098380281</v>
      </c>
      <c r="X8" s="15">
        <f ca="1"/>
        <v>1002399.5307231781</v>
      </c>
      <c r="Y8" s="15">
        <f ca="1"/>
        <v>-2842068.5095123127</v>
      </c>
      <c r="Z8" s="15">
        <f ca="1"/>
        <v>-3476895.1102878693</v>
      </c>
      <c r="AA8" s="27">
        <v>2.1000000000000001E-2</v>
      </c>
      <c r="AB8" s="100">
        <v>-7.4999999999999997E-2</v>
      </c>
      <c r="AC8" s="27">
        <v>0.17</v>
      </c>
      <c r="AD8" s="101">
        <v>0</v>
      </c>
      <c r="AE8" s="102">
        <v>8381.9500000000007</v>
      </c>
      <c r="AF8" s="103">
        <v>46142.625</v>
      </c>
      <c r="AG8" s="104">
        <v>0.7</v>
      </c>
      <c r="AH8" s="104"/>
      <c r="AI8" s="15" t="b">
        <v>1</v>
      </c>
      <c r="AJ8" s="29">
        <v>1</v>
      </c>
      <c r="AK8" s="29">
        <v>1</v>
      </c>
      <c r="AL8" s="15" t="b">
        <v>0</v>
      </c>
      <c r="AM8" s="27">
        <v>0.08</v>
      </c>
      <c r="AN8" s="29">
        <v>1</v>
      </c>
      <c r="AO8" s="29">
        <v>1</v>
      </c>
      <c r="AP8" s="16" cm="1">
        <f t="array" aca="1" ref="AP8" ca="1">IF(ISERROR(TRANSPOSE(_xll.ValuateSnowball(实时行情!$D$1,F8,AF8,AQ8:BL8,BM8:CH8,CI8:DD8,0,AM8,AG8,AJ8,AK8,AN8,AO8,0,0,0,TRUE,AI8,实时行情!$B$2,实时行情!E8,AA8,AB8,AC8,FALSE,"NPV")*C8/F8)),    0,   TRANSPOSE(_xll.ValuateSnowball(实时行情!$D$1,F8,AF8,AQ8:BL8,BM8:CH8,CI8:DD8,0,AM8,AG8,AJ8,AK8,AN8,AO8,0,0,0,TRUE,AI8,实时行情!$B$2,实时行情!$E$8,AA8,AB8,AC8,FALSE,"NPV")*C8/F8))</f>
        <v>104908.00822120369</v>
      </c>
      <c r="AQ8" s="25">
        <v>46234</v>
      </c>
      <c r="AR8" s="25">
        <v>46265</v>
      </c>
      <c r="AS8" s="25">
        <v>46295</v>
      </c>
      <c r="AT8" s="25">
        <v>46325</v>
      </c>
      <c r="AU8" s="25">
        <v>46356</v>
      </c>
      <c r="AV8" s="25">
        <v>46387</v>
      </c>
      <c r="AW8" s="25">
        <v>46416</v>
      </c>
      <c r="AX8" s="25">
        <v>46444</v>
      </c>
      <c r="AY8" s="25">
        <v>46477</v>
      </c>
      <c r="AZ8" s="25">
        <v>46507</v>
      </c>
      <c r="BA8" s="25">
        <v>46538</v>
      </c>
      <c r="BB8" s="25">
        <v>46568</v>
      </c>
      <c r="BC8" s="25">
        <v>46598</v>
      </c>
      <c r="BD8" s="25">
        <v>46630</v>
      </c>
      <c r="BE8" s="25">
        <v>46660</v>
      </c>
      <c r="BF8" s="25">
        <v>46689</v>
      </c>
      <c r="BG8" s="25">
        <v>46721</v>
      </c>
      <c r="BH8" s="25">
        <v>46752</v>
      </c>
      <c r="BI8" s="25">
        <v>46776</v>
      </c>
      <c r="BJ8" s="25">
        <v>46812</v>
      </c>
      <c r="BK8" s="25">
        <v>46843</v>
      </c>
      <c r="BL8" s="25">
        <v>46871</v>
      </c>
      <c r="BM8" s="27">
        <v>1</v>
      </c>
      <c r="BN8" s="27">
        <v>0.995</v>
      </c>
      <c r="BO8" s="27">
        <v>0.99</v>
      </c>
      <c r="BP8" s="27">
        <v>0.98499999999999999</v>
      </c>
      <c r="BQ8" s="27">
        <v>0.98</v>
      </c>
      <c r="BR8" s="27">
        <v>0.97499999999999998</v>
      </c>
      <c r="BS8" s="27">
        <v>0.97</v>
      </c>
      <c r="BT8" s="27">
        <v>0.96499999999999997</v>
      </c>
      <c r="BU8" s="27">
        <v>0.96</v>
      </c>
      <c r="BV8" s="27">
        <v>0.95499999999999996</v>
      </c>
      <c r="BW8" s="27">
        <v>0.95</v>
      </c>
      <c r="BX8" s="27">
        <v>0.94499999999999995</v>
      </c>
      <c r="BY8" s="27">
        <v>0.94</v>
      </c>
      <c r="BZ8" s="27">
        <v>0.93500000000000005</v>
      </c>
      <c r="CA8" s="27">
        <v>0.92999999999999994</v>
      </c>
      <c r="CB8" s="27">
        <v>0.92500000000000004</v>
      </c>
      <c r="CC8" s="27">
        <v>0.92</v>
      </c>
      <c r="CD8" s="27">
        <v>0.91500000000000004</v>
      </c>
      <c r="CE8" s="27">
        <v>0.91</v>
      </c>
      <c r="CF8" s="27">
        <v>0.90500000000000003</v>
      </c>
      <c r="CG8" s="27">
        <v>0.9</v>
      </c>
      <c r="CH8" s="27">
        <v>0.89500000000000002</v>
      </c>
      <c r="CI8" s="27">
        <v>0.28000000000000003</v>
      </c>
      <c r="CJ8" s="27">
        <v>0.28000000000000003</v>
      </c>
      <c r="CK8" s="27">
        <v>0.28000000000000003</v>
      </c>
      <c r="CL8" s="27">
        <v>0.28000000000000003</v>
      </c>
      <c r="CM8" s="27">
        <v>0.28000000000000003</v>
      </c>
      <c r="CN8" s="27">
        <v>0.28000000000000003</v>
      </c>
      <c r="CO8" s="27">
        <v>0.28000000000000003</v>
      </c>
      <c r="CP8" s="27">
        <v>0.28000000000000003</v>
      </c>
      <c r="CQ8" s="27">
        <v>0.28000000000000003</v>
      </c>
      <c r="CR8" s="27">
        <v>0.28000000000000003</v>
      </c>
      <c r="CS8" s="27">
        <v>0.08</v>
      </c>
      <c r="CT8" s="27">
        <v>0.08</v>
      </c>
      <c r="CU8" s="27">
        <v>0.08</v>
      </c>
      <c r="CV8" s="27">
        <v>0.08</v>
      </c>
      <c r="CW8" s="27">
        <v>0.08</v>
      </c>
      <c r="CX8" s="27">
        <v>0.08</v>
      </c>
      <c r="CY8" s="27">
        <v>0.08</v>
      </c>
      <c r="CZ8" s="27">
        <v>0.08</v>
      </c>
      <c r="DA8" s="27">
        <v>0.08</v>
      </c>
      <c r="DB8" s="27">
        <v>0.08</v>
      </c>
      <c r="DC8" s="27">
        <v>0.08</v>
      </c>
      <c r="DD8" s="27">
        <v>0.08</v>
      </c>
    </row>
    <row r="9" spans="1:134" s="170" customFormat="1" x14ac:dyDescent="0.4">
      <c r="A9" s="119">
        <v>27</v>
      </c>
      <c r="B9" s="119" t="s">
        <v>157</v>
      </c>
      <c r="C9" s="120">
        <f>25000000*0.79</f>
        <v>19750000</v>
      </c>
      <c r="D9" s="119" t="s">
        <v>32</v>
      </c>
      <c r="E9" s="121">
        <v>46142.625</v>
      </c>
      <c r="F9" s="122">
        <v>8381.9500000000007</v>
      </c>
      <c r="G9" s="123">
        <f>F9*AG9</f>
        <v>5867.3649999999998</v>
      </c>
      <c r="H9" s="124">
        <f ca="1">N9</f>
        <v>46234</v>
      </c>
      <c r="I9" s="125"/>
      <c r="J9" s="126"/>
      <c r="K9" s="125"/>
      <c r="L9" s="127">
        <f>实时行情!$E$7 /( 合约状态!F3 *合约状态!AG3)-1</f>
        <v>0.50673867505585046</v>
      </c>
      <c r="M9" s="128" cm="1">
        <f t="array" aca="1" ref="M9:N9" ca="1">TRANSPOSE(_xll.DistanceToNearestBarrier(R9,S9,F9,AQ9:BL9,BM9:CH9))</f>
        <v>-9.1825518157941932E-3</v>
      </c>
      <c r="N9" s="129">
        <f ca="1"/>
        <v>46234</v>
      </c>
      <c r="O9" s="130">
        <f ca="1">BL9-R9</f>
        <v>692.5362405092601</v>
      </c>
      <c r="P9" s="131" cm="1">
        <f t="array" aca="1" ref="P9" ca="1">INDEX(BM:CH,ROW(), MATCH(H9, AQ9:BL9, 0))</f>
        <v>1</v>
      </c>
      <c r="Q9" s="130"/>
      <c r="R9" s="121">
        <f ca="1">实时行情!$A$2</f>
        <v>46178.46375949074</v>
      </c>
      <c r="S9" s="132">
        <f>实时行情!E7</f>
        <v>8459.6309999999994</v>
      </c>
      <c r="T9" s="168" cm="1">
        <f t="array" aca="1" ref="T9:Z9" ca="1">TRANSPOSE(_xll.ValuatePhoenix(实时行情!$D$1,"UP_OUT",F9,E9,CI9:DF9,DG9:ED9,AQ9:BL9,BM9:CH9,AH9,AG9,AI9,AJ9,AK9,AO9,AN9,0,0,R9,S9,AA9,AB9,AC9,AL9,"ALL"))*C9/F9</f>
        <v>41898.091497261848</v>
      </c>
      <c r="U9" s="132">
        <f ca="1"/>
        <v>444.8590655279661</v>
      </c>
      <c r="V9" s="132">
        <f ca="1"/>
        <v>-0.94285901223059854</v>
      </c>
      <c r="W9" s="132">
        <f ca="1"/>
        <v>-7969439.0418533823</v>
      </c>
      <c r="X9" s="132">
        <f ca="1"/>
        <v>1478799.8721691356</v>
      </c>
      <c r="Y9" s="132">
        <f ca="1"/>
        <v>-10669669.416510895</v>
      </c>
      <c r="Z9" s="132">
        <f ca="1"/>
        <v>-6472407.6934938692</v>
      </c>
      <c r="AA9" s="134">
        <v>2.1000000000000001E-2</v>
      </c>
      <c r="AB9" s="135">
        <v>-5.5E-2</v>
      </c>
      <c r="AC9" s="134">
        <v>0.16</v>
      </c>
      <c r="AD9" s="136">
        <v>0</v>
      </c>
      <c r="AE9" s="137">
        <v>8381.9500000000007</v>
      </c>
      <c r="AF9" s="138">
        <v>46142.625</v>
      </c>
      <c r="AG9" s="139">
        <v>0.7</v>
      </c>
      <c r="AH9" s="139">
        <v>0.75</v>
      </c>
      <c r="AI9" s="132" t="b">
        <v>0</v>
      </c>
      <c r="AJ9" s="140">
        <v>1</v>
      </c>
      <c r="AK9" s="140">
        <v>1</v>
      </c>
      <c r="AL9" s="132" t="b">
        <v>0</v>
      </c>
      <c r="AM9" s="134"/>
      <c r="AN9" s="140">
        <v>1</v>
      </c>
      <c r="AO9" s="140">
        <v>1</v>
      </c>
      <c r="AP9" s="141" cm="1">
        <f t="array" aca="1" ref="AP9" ca="1">IF(ISERROR(TRANSPOSE(_xll.ValuatePhoenix(实时行情!$D$1,"UP_OUT",F9,E9,CI9:DF9,DG9:ED9,AQ9:BL9,BM9:CH9,AH9,AG9,AI9,AJ9,AK9,AO9,AN9,0,0,实时行情!B2,实时行情!E8,AA9,AB9,AC9,AL9,"NPV")*C9/F9)),    0,   TRANSPOSE(_xll.ValuatePhoenix(实时行情!$D$1,"UP_OUT",F9,E9,CI9:DF9,DG9:ED9,AQ9:BL9,BM9:CH9,AH9,AG9,AI9,AJ9,AK9,AO9,AN9,0,0,实时行情!B2,实时行情!E8,AA9,AB9,AC9,AL9,"NPV")*C9/F9))</f>
        <v>20186.270498208476</v>
      </c>
      <c r="AQ9" s="142">
        <v>46234</v>
      </c>
      <c r="AR9" s="142">
        <v>46265</v>
      </c>
      <c r="AS9" s="142">
        <v>46295</v>
      </c>
      <c r="AT9" s="142">
        <v>46325</v>
      </c>
      <c r="AU9" s="142">
        <v>46356</v>
      </c>
      <c r="AV9" s="142">
        <v>46387</v>
      </c>
      <c r="AW9" s="142">
        <v>46416</v>
      </c>
      <c r="AX9" s="142">
        <v>46444</v>
      </c>
      <c r="AY9" s="142">
        <v>46477</v>
      </c>
      <c r="AZ9" s="142">
        <v>46507</v>
      </c>
      <c r="BA9" s="142">
        <v>46538</v>
      </c>
      <c r="BB9" s="142">
        <v>46568</v>
      </c>
      <c r="BC9" s="142">
        <v>46598</v>
      </c>
      <c r="BD9" s="142">
        <v>46630</v>
      </c>
      <c r="BE9" s="142">
        <v>46660</v>
      </c>
      <c r="BF9" s="142">
        <v>46689</v>
      </c>
      <c r="BG9" s="142">
        <v>46721</v>
      </c>
      <c r="BH9" s="142">
        <v>46752</v>
      </c>
      <c r="BI9" s="142">
        <v>46776</v>
      </c>
      <c r="BJ9" s="142">
        <v>46812</v>
      </c>
      <c r="BK9" s="142">
        <v>46843</v>
      </c>
      <c r="BL9" s="142">
        <v>46871</v>
      </c>
      <c r="BM9" s="134">
        <v>1</v>
      </c>
      <c r="BN9" s="134">
        <v>0.995</v>
      </c>
      <c r="BO9" s="134">
        <v>0.99</v>
      </c>
      <c r="BP9" s="134">
        <v>0.98499999999999999</v>
      </c>
      <c r="BQ9" s="134">
        <v>0.98</v>
      </c>
      <c r="BR9" s="134">
        <v>0.97499999999999998</v>
      </c>
      <c r="BS9" s="134">
        <v>0.97</v>
      </c>
      <c r="BT9" s="134">
        <v>0.96499999999999997</v>
      </c>
      <c r="BU9" s="134">
        <v>0.96</v>
      </c>
      <c r="BV9" s="134">
        <v>0.95499999999999996</v>
      </c>
      <c r="BW9" s="134">
        <v>0.95</v>
      </c>
      <c r="BX9" s="134">
        <v>0.94499999999999995</v>
      </c>
      <c r="BY9" s="134">
        <v>0.94</v>
      </c>
      <c r="BZ9" s="134">
        <v>0.93500000000000005</v>
      </c>
      <c r="CA9" s="134">
        <v>0.92999999999999994</v>
      </c>
      <c r="CB9" s="134">
        <v>0.92500000000000004</v>
      </c>
      <c r="CC9" s="134">
        <v>0.92</v>
      </c>
      <c r="CD9" s="134">
        <v>0.91500000000000004</v>
      </c>
      <c r="CE9" s="134">
        <v>0.91</v>
      </c>
      <c r="CF9" s="134">
        <v>0.90500000000000003</v>
      </c>
      <c r="CG9" s="134">
        <v>0.9</v>
      </c>
      <c r="CH9" s="134">
        <v>0.89500000000000002</v>
      </c>
      <c r="CI9" s="169">
        <v>46171</v>
      </c>
      <c r="CJ9" s="169">
        <v>46203</v>
      </c>
      <c r="CK9" s="169">
        <v>46234</v>
      </c>
      <c r="CL9" s="169">
        <v>46265</v>
      </c>
      <c r="CM9" s="169">
        <v>46295</v>
      </c>
      <c r="CN9" s="169">
        <v>46325</v>
      </c>
      <c r="CO9" s="169">
        <v>46356</v>
      </c>
      <c r="CP9" s="169">
        <v>46387</v>
      </c>
      <c r="CQ9" s="169">
        <v>46416</v>
      </c>
      <c r="CR9" s="169">
        <v>46444</v>
      </c>
      <c r="CS9" s="169">
        <v>46477</v>
      </c>
      <c r="CT9" s="169">
        <v>46507</v>
      </c>
      <c r="CU9" s="169">
        <v>46538</v>
      </c>
      <c r="CV9" s="169">
        <v>46568</v>
      </c>
      <c r="CW9" s="169">
        <v>46598</v>
      </c>
      <c r="CX9" s="169">
        <v>46630</v>
      </c>
      <c r="CY9" s="169">
        <v>46660</v>
      </c>
      <c r="CZ9" s="169">
        <v>46689</v>
      </c>
      <c r="DA9" s="169">
        <v>46721</v>
      </c>
      <c r="DB9" s="169">
        <v>46752</v>
      </c>
      <c r="DC9" s="169">
        <v>46776</v>
      </c>
      <c r="DD9" s="169">
        <v>46812</v>
      </c>
      <c r="DE9" s="169">
        <v>46843</v>
      </c>
      <c r="DF9" s="169">
        <v>46871</v>
      </c>
      <c r="DG9" s="132">
        <v>7.0000000000000001E-3</v>
      </c>
      <c r="DH9" s="132">
        <v>7.0000000000000001E-3</v>
      </c>
      <c r="DI9" s="132">
        <v>7.0000000000000001E-3</v>
      </c>
      <c r="DJ9" s="132">
        <v>7.0000000000000001E-3</v>
      </c>
      <c r="DK9" s="132">
        <v>7.0000000000000001E-3</v>
      </c>
      <c r="DL9" s="132">
        <v>7.0000000000000001E-3</v>
      </c>
      <c r="DM9" s="132">
        <v>7.0000000000000001E-3</v>
      </c>
      <c r="DN9" s="132">
        <v>7.0000000000000001E-3</v>
      </c>
      <c r="DO9" s="132">
        <v>7.0000000000000001E-3</v>
      </c>
      <c r="DP9" s="132">
        <v>7.0000000000000001E-3</v>
      </c>
      <c r="DQ9" s="132">
        <v>7.0000000000000001E-3</v>
      </c>
      <c r="DR9" s="132">
        <v>7.0000000000000001E-3</v>
      </c>
      <c r="DS9" s="132">
        <v>7.0000000000000001E-3</v>
      </c>
      <c r="DT9" s="132">
        <v>7.0000000000000001E-3</v>
      </c>
      <c r="DU9" s="132">
        <v>7.0000000000000001E-3</v>
      </c>
      <c r="DV9" s="132">
        <v>7.0000000000000001E-3</v>
      </c>
      <c r="DW9" s="132">
        <v>7.0000000000000001E-3</v>
      </c>
      <c r="DX9" s="132">
        <v>7.0000000000000001E-3</v>
      </c>
      <c r="DY9" s="132">
        <v>7.0000000000000001E-3</v>
      </c>
      <c r="DZ9" s="132">
        <v>7.0000000000000001E-3</v>
      </c>
      <c r="EA9" s="132">
        <v>7.0000000000000001E-3</v>
      </c>
      <c r="EB9" s="132">
        <v>7.0000000000000001E-3</v>
      </c>
      <c r="EC9" s="132">
        <v>7.0000000000000001E-3</v>
      </c>
      <c r="ED9" s="132">
        <v>7.0000000000000001E-3</v>
      </c>
    </row>
    <row r="10" spans="1:134" s="15" customFormat="1" x14ac:dyDescent="0.4">
      <c r="A10" s="26">
        <v>20</v>
      </c>
      <c r="B10" s="26" t="s">
        <v>96</v>
      </c>
      <c r="C10" s="90">
        <v>22000000</v>
      </c>
      <c r="D10" s="26" t="s">
        <v>32</v>
      </c>
      <c r="E10" s="91">
        <v>46139.625</v>
      </c>
      <c r="F10" s="92">
        <v>8338.73</v>
      </c>
      <c r="G10" s="93">
        <f>F10*AG10</f>
        <v>5420.1745000000001</v>
      </c>
      <c r="H10" s="94">
        <f ca="1">N10</f>
        <v>46230</v>
      </c>
      <c r="I10" s="95" cm="1">
        <f t="array" aca="1" ref="I10" ca="1">INDEX(CI:DD,ROW(), MATCH(H10, AQ10:BL10, 0))</f>
        <v>0.26501968686955052</v>
      </c>
      <c r="J10" s="96">
        <f ca="1">(N10-AF10)/365*C10*I10</f>
        <v>1443631.212105161</v>
      </c>
      <c r="K10" s="95">
        <v>0.08</v>
      </c>
      <c r="L10" s="97">
        <f>实时行情!$E$7 /( 合约状态!F10 *合约状态!AG10)-1</f>
        <v>0.56076727788007541</v>
      </c>
      <c r="M10" s="98" cm="1">
        <f t="array" aca="1" ref="M10:N10" ca="1">TRANSPOSE(_xll.DistanceToNearestBarrier(R10,S10,F10,AQ10:BL10,BM10:CH10))</f>
        <v>-1.429152169875969E-2</v>
      </c>
      <c r="N10" s="28">
        <f ca="1"/>
        <v>46230</v>
      </c>
      <c r="O10" s="48">
        <f ca="1">BL10-R10</f>
        <v>691.5362405092601</v>
      </c>
      <c r="P10" s="155" cm="1">
        <f t="array" aca="1" ref="P10" ca="1">INDEX(BM:CH,ROW(), MATCH(H10, AQ10:BL10, 0))</f>
        <v>1</v>
      </c>
      <c r="Q10" s="48"/>
      <c r="R10" s="91">
        <f ca="1">实时行情!$A$2</f>
        <v>46178.46375949074</v>
      </c>
      <c r="S10" s="15">
        <f>实时行情!E7</f>
        <v>8459.6309999999994</v>
      </c>
      <c r="T10" s="99" cm="1">
        <f t="array" aca="1" ref="T10:Z10" ca="1">TRANSPOSE(_xll.ValuateSnowball(实时行情!$D$1,F10,E10,AQ10:BL10,BM10:CH10,CI10:DD10,0,AM10,AG10,AJ10,AK10,AN10,AO10,0,0,0,TRUE,AI10,R10,S10,AA10,AB10,AC10,AL10,"ALL")*C10/F10)</f>
        <v>643858.79655159265</v>
      </c>
      <c r="U10" s="15">
        <f ca="1"/>
        <v>1624.265898126866</v>
      </c>
      <c r="V10" s="15">
        <f ca="1"/>
        <v>-2.3738630156114406</v>
      </c>
      <c r="W10" s="15">
        <f ca="1"/>
        <v>-13655042.546531901</v>
      </c>
      <c r="X10" s="15">
        <f ca="1"/>
        <v>4145007.2991106631</v>
      </c>
      <c r="Y10" s="15">
        <f ca="1"/>
        <v>-13860527.041122392</v>
      </c>
      <c r="Z10" s="15">
        <f ca="1"/>
        <v>-14140999.678428033</v>
      </c>
      <c r="AA10" s="27">
        <v>2.1000000000000001E-2</v>
      </c>
      <c r="AB10" s="100">
        <v>-8.7510000000000004E-2</v>
      </c>
      <c r="AC10" s="27">
        <v>0.17</v>
      </c>
      <c r="AD10" s="101">
        <v>0</v>
      </c>
      <c r="AE10" s="102">
        <v>8338.73</v>
      </c>
      <c r="AF10" s="103">
        <v>46139.625</v>
      </c>
      <c r="AG10" s="104">
        <v>0.65</v>
      </c>
      <c r="AH10" s="104"/>
      <c r="AI10" s="15" t="b">
        <v>1</v>
      </c>
      <c r="AJ10" s="29">
        <v>1</v>
      </c>
      <c r="AK10" s="29">
        <v>1</v>
      </c>
      <c r="AL10" s="15" t="b">
        <v>0</v>
      </c>
      <c r="AM10" s="27">
        <v>0.08</v>
      </c>
      <c r="AN10" s="29">
        <v>1</v>
      </c>
      <c r="AO10" s="29">
        <v>1</v>
      </c>
      <c r="AP10" s="16" cm="1">
        <f t="array" aca="1" ref="AP10" ca="1">IF(ISERROR(TRANSPOSE(_xll.ValuateSnowball(实时行情!$D$1,F10,AF10,AQ10:BL10,BM10:CH10,CI10:DD10,0,AM10,AG10,AJ10,AK10,AN10,AO10,0,0,0,TRUE,AI10,实时行情!$B$2,实时行情!E8,AA10,AB10,AC10,FALSE,"NPV")*C10/F10)),    0,   TRANSPOSE(_xll.ValuateSnowball(实时行情!$D$1,F10,AF10,AQ10:BL10,BM10:CH10,CI10:DD10,0,AM10,AG10,AJ10,AK10,AN10,AO10,0,0,0,TRUE,AI10,实时行情!$B$2,实时行情!$E$8,AA10,AB10,AC10,FALSE,"NPV")*C10/F10))</f>
        <v>568590.54232396698</v>
      </c>
      <c r="AQ10" s="25">
        <v>46230</v>
      </c>
      <c r="AR10" s="25">
        <v>46261</v>
      </c>
      <c r="AS10" s="25">
        <v>46293</v>
      </c>
      <c r="AT10" s="25">
        <v>46322</v>
      </c>
      <c r="AU10" s="25">
        <v>46353</v>
      </c>
      <c r="AV10" s="25">
        <v>46384</v>
      </c>
      <c r="AW10" s="25">
        <v>46414</v>
      </c>
      <c r="AX10" s="25">
        <v>46444</v>
      </c>
      <c r="AY10" s="25">
        <v>46475</v>
      </c>
      <c r="AZ10" s="25">
        <v>46504</v>
      </c>
      <c r="BA10" s="25">
        <v>46534</v>
      </c>
      <c r="BB10" s="25">
        <v>46566</v>
      </c>
      <c r="BC10" s="25">
        <v>46595</v>
      </c>
      <c r="BD10" s="25">
        <v>46626</v>
      </c>
      <c r="BE10" s="25">
        <v>46657</v>
      </c>
      <c r="BF10" s="25">
        <v>46687</v>
      </c>
      <c r="BG10" s="25">
        <v>46720</v>
      </c>
      <c r="BH10" s="25">
        <v>46748</v>
      </c>
      <c r="BI10" s="25">
        <v>46776</v>
      </c>
      <c r="BJ10" s="25">
        <v>46811</v>
      </c>
      <c r="BK10" s="25">
        <v>46839</v>
      </c>
      <c r="BL10" s="25">
        <v>46870</v>
      </c>
      <c r="BM10" s="27">
        <v>1</v>
      </c>
      <c r="BN10" s="27">
        <v>1</v>
      </c>
      <c r="BO10" s="27">
        <v>1</v>
      </c>
      <c r="BP10" s="27">
        <v>1</v>
      </c>
      <c r="BQ10" s="27">
        <v>1</v>
      </c>
      <c r="BR10" s="27">
        <v>1</v>
      </c>
      <c r="BS10" s="27">
        <v>1</v>
      </c>
      <c r="BT10" s="27">
        <v>1</v>
      </c>
      <c r="BU10" s="27">
        <v>1</v>
      </c>
      <c r="BV10" s="27">
        <v>1</v>
      </c>
      <c r="BW10" s="27">
        <v>1</v>
      </c>
      <c r="BX10" s="27">
        <v>1</v>
      </c>
      <c r="BY10" s="27">
        <v>1</v>
      </c>
      <c r="BZ10" s="27">
        <v>1</v>
      </c>
      <c r="CA10" s="27">
        <v>1</v>
      </c>
      <c r="CB10" s="27">
        <v>1</v>
      </c>
      <c r="CC10" s="27">
        <v>1</v>
      </c>
      <c r="CD10" s="27">
        <v>1</v>
      </c>
      <c r="CE10" s="27">
        <v>1</v>
      </c>
      <c r="CF10" s="27">
        <v>1</v>
      </c>
      <c r="CG10" s="27">
        <v>1</v>
      </c>
      <c r="CH10" s="27">
        <v>1</v>
      </c>
      <c r="CI10" s="27">
        <v>0.26501968686955052</v>
      </c>
      <c r="CJ10" s="27">
        <v>0.26501968686955052</v>
      </c>
      <c r="CK10" s="27">
        <v>0.26501968686955052</v>
      </c>
      <c r="CL10" s="27">
        <v>0.26501968686955052</v>
      </c>
      <c r="CM10" s="27">
        <v>0.26501968686955052</v>
      </c>
      <c r="CN10" s="27">
        <v>0.26501968686955052</v>
      </c>
      <c r="CO10" s="27">
        <v>0.26501968686955052</v>
      </c>
      <c r="CP10" s="27">
        <v>0.26501968686955052</v>
      </c>
      <c r="CQ10" s="27">
        <v>0.26501968686955052</v>
      </c>
      <c r="CR10" s="27">
        <v>0.26501968686955052</v>
      </c>
      <c r="CS10" s="27">
        <v>0.08</v>
      </c>
      <c r="CT10" s="27">
        <v>0.08</v>
      </c>
      <c r="CU10" s="27">
        <v>0.08</v>
      </c>
      <c r="CV10" s="27">
        <v>0.08</v>
      </c>
      <c r="CW10" s="27">
        <v>0.08</v>
      </c>
      <c r="CX10" s="27">
        <v>0.08</v>
      </c>
      <c r="CY10" s="27">
        <v>0.08</v>
      </c>
      <c r="CZ10" s="27">
        <v>0.08</v>
      </c>
      <c r="DA10" s="27">
        <v>0.08</v>
      </c>
      <c r="DB10" s="27">
        <v>0.08</v>
      </c>
      <c r="DC10" s="27">
        <v>0.08</v>
      </c>
      <c r="DD10" s="27">
        <v>0.08</v>
      </c>
    </row>
    <row r="11" spans="1:134" x14ac:dyDescent="0.4">
      <c r="A11" s="32">
        <v>19</v>
      </c>
      <c r="B11" s="32" t="s">
        <v>96</v>
      </c>
      <c r="C11" s="70">
        <v>23000000</v>
      </c>
      <c r="D11" s="32" t="s">
        <v>32</v>
      </c>
      <c r="E11" s="41">
        <v>46111.625</v>
      </c>
      <c r="F11" s="38">
        <v>7767.9296999999997</v>
      </c>
      <c r="G11" s="39">
        <f>F11*AG11</f>
        <v>5437.5507899999993</v>
      </c>
      <c r="H11" s="88">
        <f ca="1">N11</f>
        <v>46203</v>
      </c>
      <c r="I11" s="34" cm="1">
        <f t="array" aca="1" ref="I11" ca="1">INDEX(CI:DD,ROW(), MATCH(H11, AQ11:BL11, 0))</f>
        <v>0.33</v>
      </c>
      <c r="J11" s="73">
        <f ca="1">(N11-AF11)/365*C11*I11</f>
        <v>1900099.3150684934</v>
      </c>
      <c r="K11" s="34">
        <v>0.1</v>
      </c>
      <c r="L11" s="36">
        <f>实时行情!$E$7 /( 合约状态!F11 *合约状态!AG11)-1</f>
        <v>0.5557796748414372</v>
      </c>
      <c r="M11" s="37" cm="1">
        <f t="array" aca="1" ref="M11:N11" ca="1">TRANSPOSE(_xll.DistanceToNearestBarrier(R11,S11,F11,AQ11:BL11,BM11:CH11))</f>
        <v>-8.1764949322257641E-2</v>
      </c>
      <c r="N11" s="33">
        <f ca="1"/>
        <v>46203</v>
      </c>
      <c r="O11" s="35">
        <f ca="1">BL11-R11</f>
        <v>663.5362405092601</v>
      </c>
      <c r="P11" s="131" cm="1">
        <f t="array" aca="1" ref="P11" ca="1">INDEX(BM:CH,ROW(), MATCH(H11, AQ11:BL11, 0))</f>
        <v>1</v>
      </c>
      <c r="Q11" s="35"/>
      <c r="R11" s="41">
        <f ca="1">实时行情!$A$2</f>
        <v>46178.46375949074</v>
      </c>
      <c r="S11">
        <f>实时行情!E7</f>
        <v>8459.6309999999994</v>
      </c>
      <c r="T11" s="20" cm="1">
        <f t="array" aca="1" ref="T11:Z11" ca="1">TRANSPOSE(_xll.ValuateSnowball(实时行情!$D$1,F11,E11,AQ11:BL11,BM11:CH11,CI11:DD11,0,AM11,AG11,AJ11,AK11,AN11,AO11,0,0,0,TRUE,AI11,R11,S11,AA11,AB11,AC11,AL11,"ALL")*C11/F11)</f>
        <v>1848652.475117346</v>
      </c>
      <c r="U11">
        <f ca="1"/>
        <v>286.45798709274953</v>
      </c>
      <c r="V11">
        <f ca="1"/>
        <v>-1.4139939828397263</v>
      </c>
      <c r="W11">
        <f ca="1"/>
        <v>-1995780.9403095902</v>
      </c>
      <c r="X11">
        <f ca="1"/>
        <v>2276016.7942728456</v>
      </c>
      <c r="Y11">
        <f ca="1"/>
        <v>-2400630.753837585</v>
      </c>
      <c r="Z11">
        <f ca="1"/>
        <v>-1082657.624981632</v>
      </c>
      <c r="AA11" s="4">
        <v>2.1000000000000001E-2</v>
      </c>
      <c r="AB11" s="21">
        <v>-7.46E-2</v>
      </c>
      <c r="AC11" s="4">
        <v>0.17899999999999999</v>
      </c>
      <c r="AD11" s="19">
        <v>0</v>
      </c>
      <c r="AE11" s="17">
        <v>7767.93</v>
      </c>
      <c r="AF11" s="1">
        <v>46111.625</v>
      </c>
      <c r="AG11" s="18">
        <v>0.7</v>
      </c>
      <c r="AH11" s="18"/>
      <c r="AI11" t="b">
        <v>1</v>
      </c>
      <c r="AJ11" s="2">
        <v>1</v>
      </c>
      <c r="AK11" s="2">
        <v>1</v>
      </c>
      <c r="AL11" t="b">
        <v>0</v>
      </c>
      <c r="AM11" s="4">
        <v>0.1</v>
      </c>
      <c r="AN11" s="2">
        <v>1</v>
      </c>
      <c r="AO11" s="2">
        <v>1</v>
      </c>
      <c r="AP11" s="6" cm="1">
        <f t="array" aca="1" ref="AP11" ca="1">IF(ISERROR(TRANSPOSE(_xll.ValuateSnowball(实时行情!$D$1,F11,AF11,AQ11:BL11,BM11:CH11,CI11:DD11,0,AM11,AG11,AJ11,AK11,AN11,AO11,0,0,0,TRUE,AI11,实时行情!$B$2,实时行情!E8,AA11,AB11,AC11,FALSE,"NPV")*C11/F11)),    0,   TRANSPOSE(_xll.ValuateSnowball(实时行情!$D$1,F11,AF11,AQ11:BL11,BM11:CH11,CI11:DD11,0,AM11,AG11,AJ11,AK11,AN11,AO11,0,0,0,TRUE,AI11,实时行情!$B$2,实时行情!$E$8,AA11,AB11,AC11,FALSE,"NPV")*C11/F11))</f>
        <v>1830443.029429093</v>
      </c>
      <c r="AQ11" s="3">
        <v>46203</v>
      </c>
      <c r="AR11" s="3">
        <v>46233</v>
      </c>
      <c r="AS11" s="3">
        <v>46265</v>
      </c>
      <c r="AT11" s="3">
        <v>46295</v>
      </c>
      <c r="AU11" s="3">
        <v>46325</v>
      </c>
      <c r="AV11" s="3">
        <v>46356</v>
      </c>
      <c r="AW11" s="3">
        <v>46386</v>
      </c>
      <c r="AX11" s="3">
        <v>46416</v>
      </c>
      <c r="AY11" s="3">
        <v>46444</v>
      </c>
      <c r="AZ11" s="3">
        <v>46476</v>
      </c>
      <c r="BA11" s="3">
        <v>46507</v>
      </c>
      <c r="BB11" s="3">
        <v>46538</v>
      </c>
      <c r="BC11" s="3">
        <v>46568</v>
      </c>
      <c r="BD11" s="3">
        <v>46598</v>
      </c>
      <c r="BE11" s="3">
        <v>46629</v>
      </c>
      <c r="BF11" s="3">
        <v>46660</v>
      </c>
      <c r="BG11" s="3">
        <v>46689</v>
      </c>
      <c r="BH11" s="3">
        <v>46721</v>
      </c>
      <c r="BI11" s="3">
        <v>46751</v>
      </c>
      <c r="BJ11" s="3">
        <v>46776</v>
      </c>
      <c r="BK11" s="3">
        <v>46812</v>
      </c>
      <c r="BL11" s="3">
        <v>46842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0.33</v>
      </c>
      <c r="CJ11" s="4">
        <v>0.33</v>
      </c>
      <c r="CK11" s="4">
        <v>0.33</v>
      </c>
      <c r="CL11" s="4">
        <v>0.33</v>
      </c>
      <c r="CM11" s="4">
        <v>0.33</v>
      </c>
      <c r="CN11" s="4">
        <v>0.33</v>
      </c>
      <c r="CO11" s="4">
        <v>0.33</v>
      </c>
      <c r="CP11" s="4">
        <v>0.33</v>
      </c>
      <c r="CQ11" s="4">
        <v>0.33</v>
      </c>
      <c r="CR11" s="4">
        <v>0.33</v>
      </c>
      <c r="CS11" s="4">
        <v>0.1</v>
      </c>
      <c r="CT11" s="4">
        <v>0.1</v>
      </c>
      <c r="CU11" s="4">
        <v>0.1</v>
      </c>
      <c r="CV11" s="4">
        <v>0.1</v>
      </c>
      <c r="CW11" s="4">
        <v>0.1</v>
      </c>
      <c r="CX11" s="4">
        <v>0.1</v>
      </c>
      <c r="CY11" s="4">
        <v>0.1</v>
      </c>
      <c r="CZ11" s="4">
        <v>0.1</v>
      </c>
      <c r="DA11" s="4">
        <v>0.1</v>
      </c>
      <c r="DB11" s="4">
        <v>0.1</v>
      </c>
      <c r="DC11" s="4">
        <v>0.1</v>
      </c>
      <c r="DD11" s="4">
        <v>0.1</v>
      </c>
    </row>
    <row r="15" spans="1:134" x14ac:dyDescent="0.4">
      <c r="AQ15" s="69"/>
      <c r="BM15" s="118"/>
      <c r="CI15" s="118"/>
    </row>
    <row r="16" spans="1:134" x14ac:dyDescent="0.4">
      <c r="AQ16" s="68"/>
      <c r="BM16" s="117"/>
      <c r="CI16" s="118"/>
      <c r="DG16" s="118"/>
    </row>
    <row r="17" spans="5:111" x14ac:dyDescent="0.4">
      <c r="AQ17" s="69"/>
      <c r="BM17" s="117"/>
      <c r="CI17" s="118"/>
      <c r="DG17" s="117"/>
    </row>
    <row r="18" spans="5:111" x14ac:dyDescent="0.4">
      <c r="AQ18" s="68"/>
      <c r="BM18" s="117"/>
      <c r="CI18" s="118"/>
      <c r="DG18" s="117"/>
    </row>
    <row r="19" spans="5:111" x14ac:dyDescent="0.4">
      <c r="E19" s="4"/>
      <c r="AM19" s="4"/>
      <c r="AQ19" s="68"/>
      <c r="BM19" s="117"/>
      <c r="BN19" s="118"/>
      <c r="CI19" s="118"/>
      <c r="DG19" s="117"/>
    </row>
    <row r="20" spans="5:111" x14ac:dyDescent="0.4">
      <c r="AM20" s="4"/>
      <c r="AQ20" s="68"/>
      <c r="BM20" s="117"/>
      <c r="BN20" s="117"/>
      <c r="CI20" s="118"/>
      <c r="DG20" s="117"/>
    </row>
    <row r="21" spans="5:111" x14ac:dyDescent="0.4">
      <c r="AM21" s="4"/>
      <c r="AQ21" s="68"/>
      <c r="BM21" s="117"/>
      <c r="BN21" s="117"/>
      <c r="CI21" s="118"/>
      <c r="DG21" s="117"/>
    </row>
    <row r="22" spans="5:111" x14ac:dyDescent="0.4">
      <c r="AM22" s="4"/>
      <c r="AQ22" s="68"/>
      <c r="BM22" s="117"/>
      <c r="BN22" s="117"/>
      <c r="CI22" s="118"/>
      <c r="DG22" s="117"/>
    </row>
    <row r="23" spans="5:111" x14ac:dyDescent="0.4">
      <c r="AM23" s="4"/>
      <c r="AQ23" s="68"/>
      <c r="BM23" s="117"/>
      <c r="BN23" s="117"/>
      <c r="CI23" s="118"/>
      <c r="DG23" s="117"/>
    </row>
    <row r="24" spans="5:111" x14ac:dyDescent="0.4">
      <c r="R24" s="9"/>
      <c r="S24" s="13"/>
      <c r="U24" s="6"/>
      <c r="V24" s="6"/>
      <c r="W24" s="6"/>
      <c r="X24" s="6"/>
      <c r="Y24" s="6"/>
      <c r="Z24" s="6"/>
      <c r="AC24"/>
      <c r="AO24" s="6"/>
      <c r="AP24"/>
      <c r="AQ24" s="68"/>
      <c r="BL24" s="4"/>
      <c r="BM24" s="117"/>
      <c r="BN24" s="117"/>
      <c r="CI24" s="118"/>
      <c r="DD24"/>
      <c r="DG24" s="117"/>
    </row>
    <row r="25" spans="5:111" x14ac:dyDescent="0.4">
      <c r="R25" s="9"/>
      <c r="S25" s="13"/>
      <c r="U25" s="6"/>
      <c r="V25" s="6"/>
      <c r="W25" s="6"/>
      <c r="X25" s="6"/>
      <c r="Y25" s="6"/>
      <c r="Z25" s="6"/>
      <c r="AC25"/>
      <c r="AO25" s="6"/>
      <c r="AP25"/>
      <c r="AQ25" s="68"/>
      <c r="BL25" s="4"/>
      <c r="BM25" s="117"/>
      <c r="BN25" s="117"/>
      <c r="CI25" s="118"/>
      <c r="DD25"/>
      <c r="DG25" s="117"/>
    </row>
    <row r="26" spans="5:111" x14ac:dyDescent="0.4">
      <c r="R26" s="9"/>
      <c r="S26" s="13"/>
      <c r="U26" s="6"/>
      <c r="V26" s="6"/>
      <c r="W26" s="6"/>
      <c r="X26" s="6"/>
      <c r="Y26" s="6"/>
      <c r="Z26" s="6"/>
      <c r="AC26"/>
      <c r="AO26" s="6"/>
      <c r="AP26"/>
      <c r="AQ26" s="68"/>
      <c r="BL26" s="4"/>
      <c r="BM26" s="117"/>
      <c r="BN26" s="117"/>
      <c r="CI26" s="117"/>
      <c r="DD26"/>
      <c r="DG26" s="117"/>
    </row>
    <row r="27" spans="5:111" x14ac:dyDescent="0.4">
      <c r="R27" s="9"/>
      <c r="S27" s="13"/>
      <c r="U27" s="6"/>
      <c r="V27" s="6"/>
      <c r="W27" s="6"/>
      <c r="X27" s="6"/>
      <c r="Y27" s="6"/>
      <c r="Z27" s="6"/>
      <c r="AC27"/>
      <c r="AO27" s="6"/>
      <c r="AP27"/>
      <c r="AQ27" s="68"/>
      <c r="BL27" s="4"/>
      <c r="BM27" s="117"/>
      <c r="BN27" s="117"/>
      <c r="CI27" s="117"/>
      <c r="DD27"/>
      <c r="DG27" s="117"/>
    </row>
    <row r="28" spans="5:111" x14ac:dyDescent="0.4">
      <c r="R28" s="9"/>
      <c r="S28" s="13"/>
      <c r="U28" s="6"/>
      <c r="V28" s="6"/>
      <c r="W28" s="6"/>
      <c r="X28" s="6"/>
      <c r="Y28" s="6"/>
      <c r="Z28" s="6"/>
      <c r="AC28"/>
      <c r="AO28" s="6"/>
      <c r="AP28"/>
      <c r="AQ28" s="68"/>
      <c r="BL28" s="4"/>
      <c r="BM28" s="117"/>
      <c r="BN28" s="117"/>
      <c r="CI28" s="117"/>
      <c r="DD28"/>
      <c r="DG28" s="117"/>
    </row>
    <row r="29" spans="5:111" x14ac:dyDescent="0.4">
      <c r="R29" s="9"/>
      <c r="S29" s="13"/>
      <c r="U29" s="6"/>
      <c r="V29" s="6"/>
      <c r="W29" s="6"/>
      <c r="X29" s="6"/>
      <c r="Y29" s="6"/>
      <c r="Z29" s="6"/>
      <c r="AC29"/>
      <c r="AO29" s="6"/>
      <c r="AP29"/>
      <c r="AQ29" s="68"/>
      <c r="BL29" s="4"/>
      <c r="BM29" s="117"/>
      <c r="BN29" s="117"/>
      <c r="CI29" s="117"/>
      <c r="DD29"/>
      <c r="DG29" s="117"/>
    </row>
    <row r="30" spans="5:111" x14ac:dyDescent="0.4">
      <c r="R30" s="9"/>
      <c r="S30" s="13"/>
      <c r="U30" s="6"/>
      <c r="V30" s="6"/>
      <c r="W30" s="6"/>
      <c r="X30" s="6"/>
      <c r="Y30" s="6"/>
      <c r="Z30" s="6"/>
      <c r="AC30"/>
      <c r="AO30" s="6"/>
      <c r="AP30"/>
      <c r="AQ30" s="68"/>
      <c r="BL30" s="4"/>
      <c r="BM30" s="117"/>
      <c r="BN30" s="117"/>
      <c r="CI30" s="117"/>
      <c r="DD30"/>
      <c r="DG30" s="117"/>
    </row>
    <row r="31" spans="5:111" x14ac:dyDescent="0.4">
      <c r="R31" s="9"/>
      <c r="S31" s="13"/>
      <c r="U31" s="6"/>
      <c r="V31" s="6"/>
      <c r="W31" s="6"/>
      <c r="X31" s="6"/>
      <c r="Y31" s="6"/>
      <c r="Z31" s="6"/>
      <c r="AC31"/>
      <c r="AO31" s="6"/>
      <c r="AP31"/>
      <c r="AQ31" s="68"/>
      <c r="BL31" s="4"/>
      <c r="BM31" s="117"/>
      <c r="BN31" s="117"/>
      <c r="CI31" s="117"/>
      <c r="DD31"/>
      <c r="DG31" s="117"/>
    </row>
    <row r="32" spans="5:111" x14ac:dyDescent="0.4">
      <c r="R32" s="9"/>
      <c r="S32" s="13"/>
      <c r="U32" s="6"/>
      <c r="V32" s="6"/>
      <c r="W32" s="6"/>
      <c r="X32" s="6"/>
      <c r="Y32" s="6"/>
      <c r="Z32" s="6"/>
      <c r="AC32"/>
      <c r="AO32" s="6"/>
      <c r="AP32"/>
      <c r="AQ32" s="68"/>
      <c r="BL32" s="4"/>
      <c r="BM32" s="117"/>
      <c r="BN32" s="117"/>
      <c r="CI32" s="117"/>
      <c r="DD32"/>
      <c r="DG32" s="117"/>
    </row>
    <row r="33" spans="18:111" x14ac:dyDescent="0.4">
      <c r="R33" s="9"/>
      <c r="S33" s="13"/>
      <c r="U33" s="6"/>
      <c r="V33" s="6"/>
      <c r="W33" s="6"/>
      <c r="X33" s="6"/>
      <c r="Y33" s="6"/>
      <c r="Z33" s="6"/>
      <c r="AC33"/>
      <c r="AO33" s="6"/>
      <c r="AP33"/>
      <c r="AQ33" s="68"/>
      <c r="BL33" s="4"/>
      <c r="BM33" s="117"/>
      <c r="BN33" s="117"/>
      <c r="CI33" s="117"/>
      <c r="DD33"/>
      <c r="DG33" s="117"/>
    </row>
    <row r="34" spans="18:111" x14ac:dyDescent="0.4">
      <c r="R34" s="9"/>
      <c r="S34" s="13"/>
      <c r="U34" s="6"/>
      <c r="V34" s="6"/>
      <c r="W34" s="6"/>
      <c r="X34" s="6"/>
      <c r="Y34" s="6"/>
      <c r="Z34" s="6"/>
      <c r="AC34"/>
      <c r="AO34" s="6"/>
      <c r="AP34"/>
      <c r="AQ34" s="68"/>
      <c r="BL34" s="4"/>
      <c r="BM34" s="117"/>
      <c r="BN34" s="117"/>
      <c r="CI34" s="117"/>
      <c r="DD34"/>
      <c r="DG34" s="117"/>
    </row>
    <row r="35" spans="18:111" x14ac:dyDescent="0.4">
      <c r="R35" s="9"/>
      <c r="S35" s="13"/>
      <c r="U35" s="6"/>
      <c r="V35" s="6"/>
      <c r="W35" s="6"/>
      <c r="X35" s="6"/>
      <c r="Y35" s="6"/>
      <c r="Z35" s="6"/>
      <c r="AC35"/>
      <c r="AO35" s="6"/>
      <c r="AP35"/>
      <c r="AQ35" s="68"/>
      <c r="BL35" s="4"/>
      <c r="BM35" s="117"/>
      <c r="BN35" s="117"/>
      <c r="CI35" s="117"/>
      <c r="DD35"/>
      <c r="DG35" s="117"/>
    </row>
    <row r="36" spans="18:111" x14ac:dyDescent="0.4">
      <c r="R36" s="9"/>
      <c r="S36" s="13"/>
      <c r="U36" s="6"/>
      <c r="V36" s="6"/>
      <c r="W36" s="6"/>
      <c r="X36" s="6"/>
      <c r="Y36" s="6"/>
      <c r="Z36" s="6"/>
      <c r="AC36"/>
      <c r="AO36" s="6"/>
      <c r="AP36"/>
      <c r="AQ36" s="68"/>
      <c r="BL36" s="4"/>
      <c r="BM36" s="117"/>
      <c r="BN36" s="117"/>
      <c r="CI36" s="117"/>
      <c r="DD36"/>
      <c r="DG36" s="117"/>
    </row>
    <row r="37" spans="18:111" x14ac:dyDescent="0.4">
      <c r="R37" s="9"/>
      <c r="S37" s="13"/>
      <c r="U37" s="6"/>
      <c r="V37" s="6"/>
      <c r="W37" s="6"/>
      <c r="X37" s="6"/>
      <c r="Y37" s="6"/>
      <c r="Z37" s="6"/>
      <c r="AC37"/>
      <c r="AO37" s="6"/>
      <c r="AP37"/>
      <c r="AQ37" s="68"/>
      <c r="BL37" s="4"/>
      <c r="BM37" s="117"/>
      <c r="BN37" s="117"/>
      <c r="CI37" s="117"/>
      <c r="DD37"/>
      <c r="DG37" s="117"/>
    </row>
    <row r="38" spans="18:111" x14ac:dyDescent="0.4">
      <c r="R38" s="9"/>
      <c r="S38" s="13"/>
      <c r="U38" s="6"/>
      <c r="V38" s="6"/>
      <c r="W38" s="6"/>
      <c r="X38" s="6"/>
      <c r="Y38" s="6"/>
      <c r="Z38" s="6"/>
      <c r="AC38"/>
      <c r="AO38" s="6"/>
      <c r="AP38"/>
      <c r="AQ38" s="68"/>
      <c r="BL38" s="4"/>
      <c r="BM38" s="117"/>
      <c r="BN38" s="117"/>
      <c r="CI38" s="68"/>
      <c r="DD38"/>
      <c r="DG38" s="117"/>
    </row>
    <row r="39" spans="18:111" x14ac:dyDescent="0.4">
      <c r="R39" s="9"/>
      <c r="S39" s="13"/>
      <c r="U39" s="6"/>
      <c r="V39" s="6"/>
      <c r="W39" s="6"/>
      <c r="X39" s="6"/>
      <c r="Y39" s="6"/>
      <c r="Z39" s="6"/>
      <c r="AC39"/>
      <c r="AO39" s="6"/>
      <c r="AP39"/>
      <c r="AQ39" s="68"/>
      <c r="BL39" s="4"/>
      <c r="BN39" s="117"/>
      <c r="CI39" s="68"/>
      <c r="DD39"/>
      <c r="DG39" s="117"/>
    </row>
    <row r="40" spans="18:111" x14ac:dyDescent="0.4">
      <c r="R40" s="9"/>
      <c r="S40" s="13"/>
      <c r="U40" s="6"/>
      <c r="V40" s="6"/>
      <c r="W40" s="6"/>
      <c r="X40" s="6"/>
      <c r="Y40" s="6"/>
      <c r="Z40" s="6"/>
      <c r="AC40"/>
      <c r="AO40" s="6"/>
      <c r="AP40"/>
      <c r="AQ40" s="68"/>
      <c r="BL40" s="4"/>
      <c r="BN40" s="117"/>
      <c r="CI40" s="68"/>
      <c r="DD40"/>
    </row>
    <row r="41" spans="18:111" x14ac:dyDescent="0.4">
      <c r="R41" s="9"/>
      <c r="S41" s="13"/>
      <c r="U41" s="6"/>
      <c r="V41" s="6"/>
      <c r="W41" s="6"/>
      <c r="X41" s="6"/>
      <c r="Y41" s="6"/>
      <c r="Z41" s="6"/>
      <c r="AC41"/>
      <c r="AO41" s="6"/>
      <c r="AP41"/>
      <c r="AQ41" s="68"/>
      <c r="BL41" s="4"/>
      <c r="DD41"/>
    </row>
    <row r="42" spans="18:111" x14ac:dyDescent="0.4">
      <c r="R42" s="9"/>
      <c r="S42" s="13"/>
      <c r="U42" s="6"/>
      <c r="V42" s="6"/>
      <c r="W42" s="6"/>
      <c r="X42" s="6"/>
      <c r="Y42" s="6"/>
      <c r="Z42" s="6"/>
      <c r="AC42"/>
      <c r="AO42" s="6"/>
      <c r="AP42"/>
      <c r="AQ42" s="68"/>
      <c r="BL42" s="4"/>
      <c r="DD42"/>
    </row>
    <row r="43" spans="18:111" x14ac:dyDescent="0.4">
      <c r="R43" s="9"/>
      <c r="S43" s="13"/>
      <c r="U43" s="6"/>
      <c r="V43" s="6"/>
      <c r="W43" s="6"/>
      <c r="X43" s="6"/>
      <c r="Y43" s="6"/>
      <c r="Z43" s="6"/>
      <c r="AC43"/>
      <c r="AO43" s="6"/>
      <c r="AP43"/>
      <c r="AQ43" s="68"/>
      <c r="BL43" s="4"/>
      <c r="DD43"/>
    </row>
    <row r="44" spans="18:111" x14ac:dyDescent="0.4">
      <c r="R44" s="9"/>
      <c r="S44" s="13"/>
      <c r="U44" s="6"/>
      <c r="V44" s="6"/>
      <c r="W44" s="6"/>
      <c r="X44" s="6"/>
      <c r="Y44" s="6"/>
      <c r="Z44" s="6"/>
      <c r="AC44"/>
      <c r="AO44" s="6"/>
      <c r="AP44"/>
      <c r="BL44" s="4"/>
      <c r="DD44"/>
    </row>
    <row r="45" spans="18:111" x14ac:dyDescent="0.4">
      <c r="R45" s="9"/>
      <c r="S45" s="13"/>
      <c r="U45" s="6"/>
      <c r="V45" s="6"/>
      <c r="W45" s="6"/>
      <c r="X45" s="6"/>
      <c r="Y45" s="6"/>
      <c r="Z45" s="6"/>
      <c r="AC45"/>
      <c r="AO45" s="6"/>
      <c r="AP45"/>
      <c r="BL45" s="4"/>
      <c r="DD45"/>
    </row>
    <row r="46" spans="18:111" x14ac:dyDescent="0.4">
      <c r="R46" s="9"/>
      <c r="S46" s="13"/>
      <c r="U46" s="6"/>
      <c r="V46" s="6"/>
      <c r="W46" s="6"/>
      <c r="X46" s="6"/>
      <c r="Y46" s="6"/>
      <c r="Z46" s="6"/>
      <c r="AC46"/>
      <c r="AO46" s="6"/>
      <c r="AP46"/>
      <c r="BL46" s="4"/>
      <c r="DD46"/>
    </row>
    <row r="47" spans="18:111" x14ac:dyDescent="0.4">
      <c r="R47" s="9"/>
      <c r="S47" s="13"/>
      <c r="U47" s="6"/>
      <c r="V47" s="6"/>
      <c r="W47" s="6"/>
      <c r="X47" s="6"/>
      <c r="Y47" s="6"/>
      <c r="Z47" s="6"/>
      <c r="AC47"/>
      <c r="AO47" s="6"/>
      <c r="AP47"/>
      <c r="BL47" s="4"/>
      <c r="DD47"/>
    </row>
    <row r="48" spans="18:111" x14ac:dyDescent="0.4">
      <c r="R48" s="9"/>
      <c r="S48" s="13"/>
      <c r="U48" s="6"/>
      <c r="V48" s="6"/>
      <c r="W48" s="6"/>
      <c r="X48" s="6"/>
      <c r="Y48" s="6"/>
      <c r="Z48" s="6"/>
      <c r="AC48"/>
      <c r="AO48" s="6"/>
      <c r="AP48"/>
      <c r="BL48" s="4"/>
      <c r="DD48"/>
    </row>
    <row r="49" spans="18:108" x14ac:dyDescent="0.4">
      <c r="R49" s="9"/>
      <c r="S49" s="13"/>
      <c r="U49" s="6"/>
      <c r="V49" s="6"/>
      <c r="W49" s="6"/>
      <c r="X49" s="6"/>
      <c r="Y49" s="6"/>
      <c r="Z49" s="6"/>
      <c r="AC49"/>
      <c r="AO49" s="6"/>
      <c r="AP49"/>
      <c r="BL49" s="4"/>
      <c r="DD49"/>
    </row>
    <row r="50" spans="18:108" x14ac:dyDescent="0.4">
      <c r="R50" s="9"/>
      <c r="S50" s="13"/>
      <c r="U50" s="6"/>
      <c r="V50" s="6"/>
      <c r="W50" s="6"/>
      <c r="X50" s="6"/>
      <c r="Y50" s="6"/>
      <c r="Z50" s="6"/>
      <c r="AC50"/>
      <c r="AO50" s="6"/>
      <c r="AP50"/>
      <c r="BL50" s="4"/>
      <c r="DD50"/>
    </row>
    <row r="51" spans="18:108" x14ac:dyDescent="0.4">
      <c r="R51" s="9"/>
      <c r="S51" s="13"/>
      <c r="U51" s="6"/>
      <c r="V51" s="6"/>
      <c r="W51" s="6"/>
      <c r="X51" s="6"/>
      <c r="Y51" s="6"/>
      <c r="Z51" s="6"/>
      <c r="AC51"/>
      <c r="AO51" s="6"/>
      <c r="AP51"/>
      <c r="BL51" s="4"/>
      <c r="DD51"/>
    </row>
    <row r="52" spans="18:108" x14ac:dyDescent="0.4">
      <c r="R52" s="9"/>
      <c r="S52" s="13"/>
      <c r="U52" s="6"/>
      <c r="V52" s="6"/>
      <c r="W52" s="6"/>
      <c r="X52" s="6"/>
      <c r="Y52" s="6"/>
      <c r="Z52" s="6"/>
      <c r="AC52"/>
      <c r="AO52" s="6"/>
      <c r="AP52"/>
      <c r="BL52" s="4"/>
      <c r="DD52"/>
    </row>
    <row r="53" spans="18:108" x14ac:dyDescent="0.4">
      <c r="R53" s="10"/>
      <c r="S53" s="13"/>
      <c r="U53" s="6"/>
      <c r="V53" s="6"/>
      <c r="W53" s="6"/>
      <c r="X53" s="6"/>
      <c r="Y53" s="6"/>
      <c r="Z53" s="6"/>
      <c r="AC53"/>
      <c r="AO53" s="6"/>
      <c r="AP53"/>
      <c r="BL53" s="4"/>
      <c r="DD53"/>
    </row>
    <row r="54" spans="18:108" x14ac:dyDescent="0.4">
      <c r="Z54" s="4"/>
      <c r="AC54"/>
      <c r="AO54" s="6"/>
      <c r="AP54"/>
      <c r="BL54" s="4"/>
      <c r="DD54"/>
    </row>
    <row r="55" spans="18:108" x14ac:dyDescent="0.4">
      <c r="R55" s="11"/>
    </row>
  </sheetData>
  <sortState xmlns:xlrd2="http://schemas.microsoft.com/office/spreadsheetml/2017/richdata2" ref="A1:ED56">
    <sortCondition descending="1" ref="H1:H56"/>
  </sortState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4688-BF49-46AD-9A16-1F3BC2720D6D}">
  <dimension ref="A1:R37"/>
  <sheetViews>
    <sheetView workbookViewId="0">
      <selection activeCell="E29" sqref="E29"/>
    </sheetView>
  </sheetViews>
  <sheetFormatPr defaultRowHeight="13.9" x14ac:dyDescent="0.4"/>
  <cols>
    <col min="1" max="1" width="18.86328125" customWidth="1"/>
    <col min="2" max="2" width="21.1328125" customWidth="1"/>
    <col min="3" max="5" width="13.46484375" customWidth="1"/>
    <col min="7" max="7" width="18.265625" style="43" customWidth="1"/>
    <col min="10" max="10" width="11.3984375" style="107" bestFit="1" customWidth="1"/>
    <col min="11" max="11" width="12.265625" style="107" bestFit="1" customWidth="1"/>
    <col min="12" max="12" width="13" style="107" bestFit="1" customWidth="1"/>
    <col min="13" max="13" width="14.1328125" style="107" bestFit="1" customWidth="1"/>
    <col min="14" max="14" width="12.265625" style="107" bestFit="1" customWidth="1"/>
    <col min="18" max="18" width="19.86328125" bestFit="1" customWidth="1"/>
  </cols>
  <sheetData>
    <row r="1" spans="1:14" x14ac:dyDescent="0.4">
      <c r="A1" s="32" t="s">
        <v>28</v>
      </c>
      <c r="B1" s="32" t="s">
        <v>42</v>
      </c>
      <c r="C1" s="32"/>
      <c r="D1" s="57" t="s">
        <v>36</v>
      </c>
      <c r="E1" s="32"/>
      <c r="F1" s="32"/>
      <c r="G1" s="44"/>
      <c r="H1" s="32"/>
      <c r="J1" s="105" t="s">
        <v>92</v>
      </c>
      <c r="K1" s="106" t="s">
        <v>11</v>
      </c>
      <c r="L1" s="106" t="s">
        <v>12</v>
      </c>
      <c r="M1" s="106" t="s">
        <v>13</v>
      </c>
      <c r="N1" s="106" t="s">
        <v>15</v>
      </c>
    </row>
    <row r="2" spans="1:14" x14ac:dyDescent="0.4">
      <c r="A2" s="41">
        <f ca="1">IF(NOW()&gt;TODAY()+0.625, TODAY()+0.625, NOW())</f>
        <v>46178.46375949074</v>
      </c>
      <c r="B2" s="58" cm="1">
        <f t="array" aca="1" ref="B2" ca="1">_xll.GetNextBusinessDate(D1,TODAY(),-1)+0.625</f>
        <v>46177.625</v>
      </c>
      <c r="C2" s="32"/>
      <c r="D2" s="32"/>
      <c r="E2" s="32"/>
      <c r="F2" s="32"/>
      <c r="G2" s="44"/>
      <c r="H2" s="32"/>
      <c r="J2" s="105" t="s">
        <v>104</v>
      </c>
      <c r="K2" s="108">
        <f ca="1">G12</f>
        <v>1954915.3990342044</v>
      </c>
      <c r="L2" s="108">
        <f ca="1">G23</f>
        <v>71327045.962945312</v>
      </c>
      <c r="M2" s="108">
        <f ca="1">G25</f>
        <v>-8145248.8392582173</v>
      </c>
      <c r="N2" s="108">
        <f ca="1">G27</f>
        <v>86531.187463947557</v>
      </c>
    </row>
    <row r="3" spans="1:14" x14ac:dyDescent="0.4">
      <c r="A3" s="32"/>
      <c r="B3" s="32"/>
      <c r="C3" s="32"/>
      <c r="D3" s="32"/>
      <c r="E3" s="32"/>
      <c r="F3" s="32"/>
      <c r="G3" s="44"/>
      <c r="H3" s="32"/>
      <c r="J3" s="106" t="s">
        <v>105</v>
      </c>
      <c r="K3" s="109">
        <f ca="1">K2/($G$16+$G$17)</f>
        <v>1.272980008487468E-2</v>
      </c>
      <c r="L3" s="109">
        <f ca="1">L2/($G$16+$G$17)</f>
        <v>0.46445950356804916</v>
      </c>
      <c r="M3" s="109">
        <f ca="1">M2/($G$16+$G$17)</f>
        <v>-5.3039323040035273E-2</v>
      </c>
      <c r="N3" s="109">
        <f ca="1">N2/($G$16+$G$17)</f>
        <v>5.6346413664092954E-4</v>
      </c>
    </row>
    <row r="4" spans="1:14" x14ac:dyDescent="0.4">
      <c r="A4" s="32"/>
      <c r="B4" s="32"/>
      <c r="C4" s="32"/>
      <c r="D4" s="32"/>
      <c r="E4" s="32"/>
      <c r="F4" s="32"/>
      <c r="G4" s="44"/>
      <c r="H4" s="32"/>
    </row>
    <row r="5" spans="1:14" x14ac:dyDescent="0.4">
      <c r="A5" s="32" t="s">
        <v>50</v>
      </c>
      <c r="B5" s="32" t="s">
        <v>40</v>
      </c>
      <c r="C5" s="32" t="s">
        <v>23</v>
      </c>
      <c r="D5" s="32" t="s">
        <v>29</v>
      </c>
      <c r="E5" s="32" t="s">
        <v>30</v>
      </c>
      <c r="F5" s="32"/>
      <c r="G5" s="44"/>
      <c r="H5" s="32"/>
    </row>
    <row r="6" spans="1:14" x14ac:dyDescent="0.4">
      <c r="A6" s="32"/>
      <c r="B6" s="32" t="s">
        <v>41</v>
      </c>
      <c r="C6" s="32" t="s">
        <v>31</v>
      </c>
      <c r="D6" s="32" t="s">
        <v>10</v>
      </c>
      <c r="E6" s="32" t="s">
        <v>32</v>
      </c>
      <c r="F6" s="32"/>
      <c r="G6" s="44"/>
      <c r="H6" s="32"/>
    </row>
    <row r="7" spans="1:14" x14ac:dyDescent="0.4">
      <c r="A7" s="32" t="s">
        <v>47</v>
      </c>
      <c r="B7" s="32">
        <f>RTD("em.rtq",,B6,"NOW")</f>
        <v>2897.1889999999999</v>
      </c>
      <c r="C7" s="32">
        <f>RTD("em.rtq",,C6,"NOW")</f>
        <v>4903.6040000000003</v>
      </c>
      <c r="D7" s="32">
        <f>RTD("em.rtq",,D6,"NOW")</f>
        <v>8360.4279999999999</v>
      </c>
      <c r="E7" s="32">
        <f>RTD("em.rtq",,E6,"NOW")</f>
        <v>8459.6309999999994</v>
      </c>
      <c r="F7" s="32"/>
      <c r="G7" s="44"/>
      <c r="H7" s="32"/>
    </row>
    <row r="8" spans="1:14" x14ac:dyDescent="0.4">
      <c r="A8" s="32" t="s">
        <v>48</v>
      </c>
      <c r="B8" s="32" cm="1">
        <f t="array" aca="1" ref="B8" ca="1">[1]!EM_I_DQ_CLOSE(B6,实时行情!$B$2)</f>
        <v>2891.3488000000002</v>
      </c>
      <c r="C8" s="32" cm="1">
        <f t="array" aca="1" ref="C8" ca="1">[1]!EM_I_DQ_CLOSE(C6,实时行情!$B$2)</f>
        <v>4904.7453999999998</v>
      </c>
      <c r="D8" s="32" cm="1">
        <f t="array" aca="1" ref="D8" ca="1">[1]!EM_I_DQ_CLOSE(D6,实时行情!$B$2)</f>
        <v>8356.7443999999996</v>
      </c>
      <c r="E8" s="32" cm="1">
        <f t="array" aca="1" ref="E8" ca="1">[1]!EM_I_DQ_CLOSE(E6,实时行情!$B$2)</f>
        <v>8420.0946000000004</v>
      </c>
      <c r="F8" s="32"/>
      <c r="G8" s="44"/>
      <c r="H8" s="32"/>
    </row>
    <row r="9" spans="1:14" x14ac:dyDescent="0.4">
      <c r="A9" s="45" t="s">
        <v>66</v>
      </c>
      <c r="B9" s="45"/>
      <c r="C9" s="45"/>
      <c r="D9" s="45"/>
      <c r="E9" s="45"/>
      <c r="F9" s="45"/>
      <c r="G9" s="44" t="s">
        <v>45</v>
      </c>
      <c r="H9" s="32"/>
    </row>
    <row r="10" spans="1:14" x14ac:dyDescent="0.4">
      <c r="A10" s="45"/>
      <c r="B10" s="45"/>
      <c r="C10" s="45"/>
      <c r="D10" s="45"/>
      <c r="E10" s="45"/>
      <c r="F10" s="45"/>
      <c r="G10" s="44"/>
      <c r="H10" s="32"/>
    </row>
    <row r="11" spans="1:14" x14ac:dyDescent="0.4">
      <c r="A11" s="32" t="s">
        <v>34</v>
      </c>
      <c r="B11" s="46">
        <f>SUMIF(合约状态!$D:$D,B6,合约状态!$AP:$AP)</f>
        <v>0</v>
      </c>
      <c r="C11" s="46">
        <f>SUMIF(合约状态!$D:$D,C6,合约状态!$AP:$AP)</f>
        <v>0</v>
      </c>
      <c r="D11" s="46">
        <f>SUMIF(合约状态!$D:$D,D6,合约状态!$AP:$AP)</f>
        <v>0</v>
      </c>
      <c r="E11" s="46">
        <f ca="1">SUMIF(合约状态!$D:$D,E6,合约状态!$AP:$AP)+ SUMIF(合约状态!$D:$D,E6,合约状态!$AD:$AD)</f>
        <v>1565254.1778586486</v>
      </c>
      <c r="F11" s="35"/>
      <c r="G11" s="44">
        <f t="shared" ref="G11" ca="1" si="0">SUM(B11:E11)</f>
        <v>1565254.1778586486</v>
      </c>
      <c r="H11" s="32"/>
    </row>
    <row r="12" spans="1:14" x14ac:dyDescent="0.4">
      <c r="A12" s="26" t="s">
        <v>33</v>
      </c>
      <c r="B12" s="47">
        <f>SUMIF(合约状态!$D:$D,B6,合约状态!$T:$T)</f>
        <v>0</v>
      </c>
      <c r="C12" s="47">
        <f>SUMIF(合约状态!$D:$D,C6,合约状态!$T:$T)</f>
        <v>0</v>
      </c>
      <c r="D12" s="47">
        <f>SUMIF(合约状态!$D:$D,D6,合约状态!$T:$T)</f>
        <v>0</v>
      </c>
      <c r="E12" s="47">
        <f ca="1">SUMIF(合约状态!$D:$D,E6,合约状态!$T:$T)+ SUMIF(合约状态!$D:$D,E6,合约状态!$AD:$AD)</f>
        <v>1954915.3990342044</v>
      </c>
      <c r="F12" s="48"/>
      <c r="G12" s="49">
        <f ca="1">SUM(B12:E12)</f>
        <v>1954915.3990342044</v>
      </c>
      <c r="H12" s="59"/>
    </row>
    <row r="13" spans="1:14" x14ac:dyDescent="0.4">
      <c r="A13" s="50" t="s">
        <v>35</v>
      </c>
      <c r="B13" s="51">
        <f>B12-B11</f>
        <v>0</v>
      </c>
      <c r="C13" s="51">
        <f>C12-C11</f>
        <v>0</v>
      </c>
      <c r="D13" s="51">
        <f>D12-D11</f>
        <v>0</v>
      </c>
      <c r="E13" s="51">
        <f ca="1">E12-E11</f>
        <v>389661.22117555584</v>
      </c>
      <c r="F13" s="52"/>
      <c r="G13" s="53">
        <f ca="1">SUM(B13:E13)</f>
        <v>389661.22117555584</v>
      </c>
      <c r="H13" s="32"/>
    </row>
    <row r="14" spans="1:14" x14ac:dyDescent="0.4">
      <c r="H14" s="32"/>
    </row>
    <row r="15" spans="1:14" x14ac:dyDescent="0.4">
      <c r="H15" s="32"/>
    </row>
    <row r="16" spans="1:14" x14ac:dyDescent="0.4">
      <c r="A16" s="32" t="s">
        <v>88</v>
      </c>
      <c r="B16" s="46">
        <f ca="1">SUMIFS(合约状态!$C:$C,合约状态!$M:$M,"&lt;0",合约状态!$D:$D,B6)</f>
        <v>0</v>
      </c>
      <c r="C16" s="46">
        <f ca="1">SUMIFS(合约状态!$C:$C,合约状态!$M:$M,"&lt;0",合约状态!$D:$D,C6)</f>
        <v>0</v>
      </c>
      <c r="D16" s="46">
        <f ca="1">SUMIFS(合约状态!$C:$C,合约状态!$M:$M,"&lt;0",合约状态!$D:$D,D6)</f>
        <v>0</v>
      </c>
      <c r="E16" s="46">
        <f ca="1">SUMIFS(合约状态!$C:$C,合约状态!$M:$M,"&lt;0",合约状态!$D:$D,E6)</f>
        <v>69750000</v>
      </c>
      <c r="F16" s="32"/>
      <c r="G16" s="44">
        <f ca="1">SUM(B16:E16)</f>
        <v>69750000</v>
      </c>
      <c r="H16" s="32"/>
    </row>
    <row r="17" spans="1:18" x14ac:dyDescent="0.4">
      <c r="A17" s="32" t="s">
        <v>87</v>
      </c>
      <c r="B17" s="46">
        <f ca="1">SUMIFS(合约状态!$C:$C,合约状态!$M:$M,"&gt;0",合约状态!$D:$D,B6)</f>
        <v>0</v>
      </c>
      <c r="C17" s="46">
        <f ca="1">SUMIFS(合约状态!$C:$C,合约状态!$M:$M,"&gt;0",合约状态!$D:$D,C6)</f>
        <v>0</v>
      </c>
      <c r="D17" s="46">
        <f ca="1">SUMIFS(合约状态!$C:$C,合约状态!$M:$M,"&gt;0",合约状态!$D:$D,D6)</f>
        <v>0</v>
      </c>
      <c r="E17" s="46">
        <f ca="1">SUMIFS(合约状态!$C:$C,合约状态!$M:$M,"&gt;0",合约状态!$D:$D,E6)</f>
        <v>83820000</v>
      </c>
      <c r="F17" s="32"/>
      <c r="G17" s="44">
        <f ca="1">SUM(B17:E17)</f>
        <v>83820000</v>
      </c>
      <c r="H17" s="32"/>
    </row>
    <row r="18" spans="1:18" x14ac:dyDescent="0.4">
      <c r="A18" s="32"/>
      <c r="B18" s="46"/>
      <c r="C18" s="46"/>
      <c r="D18" s="46"/>
      <c r="E18" s="46"/>
      <c r="F18" s="32"/>
      <c r="G18" s="44"/>
      <c r="H18" s="32"/>
    </row>
    <row r="19" spans="1:18" x14ac:dyDescent="0.4">
      <c r="A19" s="32" t="s">
        <v>50</v>
      </c>
      <c r="B19" s="32" t="s">
        <v>40</v>
      </c>
      <c r="C19" s="32" t="s">
        <v>23</v>
      </c>
      <c r="D19" s="32" t="s">
        <v>29</v>
      </c>
      <c r="E19" s="32" t="s">
        <v>30</v>
      </c>
      <c r="F19" s="32"/>
      <c r="G19" s="44" t="s">
        <v>45</v>
      </c>
      <c r="H19" s="32"/>
    </row>
    <row r="20" spans="1:18" x14ac:dyDescent="0.4">
      <c r="A20" s="62" t="s">
        <v>92</v>
      </c>
      <c r="B20" s="55">
        <f>SUMIF(合约状态!$D:$D,B6,合约状态!$U:$U)</f>
        <v>0</v>
      </c>
      <c r="C20" s="55">
        <f>SUMIF(合约状态!$D:$D,C6,合约状态!$U:$U)</f>
        <v>0</v>
      </c>
      <c r="D20" s="55">
        <f>SUMIF(合约状态!$D:$D,D6,合约状态!$U:$U)</f>
        <v>0</v>
      </c>
      <c r="E20" s="55">
        <f ca="1">SUMIF(合约状态!$D:$D,E6,合约状态!$U:$U)</f>
        <v>8431.4606586203718</v>
      </c>
      <c r="F20" s="32"/>
      <c r="G20" s="44"/>
      <c r="H20" s="32"/>
      <c r="R20" s="42"/>
    </row>
    <row r="21" spans="1:18" x14ac:dyDescent="0.4">
      <c r="A21" s="26" t="s">
        <v>11</v>
      </c>
      <c r="B21" s="47">
        <v>0</v>
      </c>
      <c r="C21" s="47">
        <v>0</v>
      </c>
      <c r="D21" s="47">
        <v>0</v>
      </c>
      <c r="E21" s="47">
        <v>-975660.2929728725</v>
      </c>
      <c r="F21" s="48"/>
      <c r="G21" s="49">
        <v>-975660.2929728725</v>
      </c>
      <c r="H21" s="59"/>
    </row>
    <row r="22" spans="1:18" x14ac:dyDescent="0.4">
      <c r="A22" s="64"/>
      <c r="B22" s="65"/>
      <c r="C22" s="65"/>
      <c r="D22" s="65"/>
      <c r="E22" s="65"/>
      <c r="F22" s="66"/>
      <c r="G22" s="67"/>
      <c r="H22" s="59"/>
    </row>
    <row r="23" spans="1:18" x14ac:dyDescent="0.4">
      <c r="A23" s="64" t="s">
        <v>51</v>
      </c>
      <c r="B23" s="65">
        <f>B20*B7</f>
        <v>0</v>
      </c>
      <c r="C23" s="65">
        <f>C20*C7</f>
        <v>0</v>
      </c>
      <c r="D23" s="65">
        <f>D20*D7</f>
        <v>0</v>
      </c>
      <c r="E23" s="65">
        <f ca="1">E20*E7</f>
        <v>71327045.962945312</v>
      </c>
      <c r="F23" s="64"/>
      <c r="G23" s="67">
        <f ca="1">SUM(B23:E23)</f>
        <v>71327045.962945312</v>
      </c>
      <c r="H23" s="60"/>
      <c r="R23" s="42"/>
    </row>
    <row r="24" spans="1:18" x14ac:dyDescent="0.4">
      <c r="A24" s="54" t="s">
        <v>13</v>
      </c>
      <c r="B24" s="56">
        <f>SUMIF(合约状态!$D:$D,B6,合约状态!$V:$V)</f>
        <v>0</v>
      </c>
      <c r="C24" s="56">
        <f>SUMIF(合约状态!$D:$D,C6,合约状态!$V:$V)</f>
        <v>0</v>
      </c>
      <c r="D24" s="56">
        <f>SUMIF(合约状态!$D:$D,D6,合约状态!$V:$V)</f>
        <v>0</v>
      </c>
      <c r="E24" s="56">
        <f ca="1">SUMIF(合约状态!$D:$D,E6,合约状态!$V:$V)</f>
        <v>-11.381552778940842</v>
      </c>
      <c r="F24" s="32" t="s">
        <v>89</v>
      </c>
      <c r="G24" s="60">
        <f ca="1">G23/(G16+G17)</f>
        <v>0.46445950356804916</v>
      </c>
      <c r="H24" s="32"/>
      <c r="R24" s="42"/>
    </row>
    <row r="25" spans="1:18" x14ac:dyDescent="0.4">
      <c r="A25" s="32" t="s">
        <v>90</v>
      </c>
      <c r="B25" s="46">
        <f>B24*B7</f>
        <v>0</v>
      </c>
      <c r="C25" s="46">
        <f>C24*C7</f>
        <v>0</v>
      </c>
      <c r="D25" s="46">
        <f>D24*D7</f>
        <v>0</v>
      </c>
      <c r="E25" s="46">
        <f ca="1">E24*E7*E7*0.01</f>
        <v>-8145248.8392582173</v>
      </c>
      <c r="F25" s="32"/>
      <c r="G25" s="44">
        <f t="shared" ref="G25:G27" ca="1" si="1">SUM(B25:E25)</f>
        <v>-8145248.8392582173</v>
      </c>
      <c r="H25" s="32"/>
    </row>
    <row r="26" spans="1:18" x14ac:dyDescent="0.4">
      <c r="A26" s="32"/>
      <c r="B26" s="46"/>
      <c r="C26" s="46"/>
      <c r="D26" s="46"/>
      <c r="E26" s="46"/>
      <c r="F26" s="32"/>
      <c r="G26" s="44"/>
      <c r="H26" s="32"/>
    </row>
    <row r="27" spans="1:18" x14ac:dyDescent="0.4">
      <c r="A27" s="32" t="s">
        <v>91</v>
      </c>
      <c r="B27" s="46">
        <f>SUMIF(合约状态!$D:$D,B6,合约状态!$X:$X)</f>
        <v>0</v>
      </c>
      <c r="C27" s="46">
        <f>SUMIF(合约状态!$D:$D,C6,合约状态!$X:$X)</f>
        <v>0</v>
      </c>
      <c r="D27" s="46">
        <f>SUMIF(合约状态!$D:$D,D6,合约状态!$X:$X)*1/242</f>
        <v>0</v>
      </c>
      <c r="E27" s="46">
        <f ca="1">SUMIF(合约状态!$D:$D,E6,合约状态!$X:$X) / 242</f>
        <v>86531.187463947557</v>
      </c>
      <c r="F27" s="32"/>
      <c r="G27" s="44">
        <f t="shared" ca="1" si="1"/>
        <v>86531.187463947557</v>
      </c>
      <c r="H27" s="32"/>
    </row>
    <row r="28" spans="1:18" x14ac:dyDescent="0.4">
      <c r="A28" s="32"/>
      <c r="B28" s="32"/>
      <c r="C28" s="32"/>
      <c r="D28" s="32"/>
      <c r="E28" s="32"/>
      <c r="F28" s="32"/>
      <c r="G28" s="44"/>
      <c r="H28" s="32"/>
    </row>
    <row r="29" spans="1:18" x14ac:dyDescent="0.4">
      <c r="A29" s="32" t="s">
        <v>53</v>
      </c>
      <c r="B29" s="32">
        <f>SUMIF(了结合约!$D:$D,B6,了结合约!$AD:$AD)</f>
        <v>0</v>
      </c>
      <c r="C29" s="32">
        <f>SUMIF(了结合约!$D:$D,C6,了结合约!$AD:$AD)</f>
        <v>0</v>
      </c>
      <c r="D29" s="32">
        <f>SUMIF(了结合约!$D:$D,D6,了结合约!$AD:$AD)</f>
        <v>2881016.436986302</v>
      </c>
      <c r="E29" s="32">
        <f>SUMIF(了结合约!$D:$D,E6,了结合约!$AD:$AD)</f>
        <v>13172289.05191781</v>
      </c>
      <c r="F29" s="32"/>
      <c r="G29" s="44">
        <f>SUM(B29:E29)</f>
        <v>16053305.488904111</v>
      </c>
      <c r="H29" s="32"/>
    </row>
    <row r="30" spans="1:18" x14ac:dyDescent="0.4">
      <c r="A30" s="32" t="s">
        <v>54</v>
      </c>
      <c r="B30" s="61">
        <f>B12+B29</f>
        <v>0</v>
      </c>
      <c r="C30" s="61">
        <f>C12+C29</f>
        <v>0</v>
      </c>
      <c r="D30" s="61">
        <f>D12+D29</f>
        <v>2881016.436986302</v>
      </c>
      <c r="E30" s="61">
        <f ca="1">E12+E29</f>
        <v>15127204.450952014</v>
      </c>
      <c r="F30" s="61"/>
      <c r="G30" s="44">
        <f ca="1">G12+G29</f>
        <v>18008220.887938317</v>
      </c>
      <c r="H30" s="32"/>
    </row>
    <row r="31" spans="1:18" x14ac:dyDescent="0.4">
      <c r="A31" s="32"/>
      <c r="B31" s="32"/>
      <c r="C31" s="32"/>
      <c r="D31" s="32"/>
      <c r="E31" s="32"/>
      <c r="F31" s="32"/>
      <c r="G31" s="44"/>
      <c r="H31" s="32"/>
    </row>
    <row r="32" spans="1:18" x14ac:dyDescent="0.4">
      <c r="A32" s="32"/>
      <c r="B32" s="32"/>
      <c r="C32" s="32"/>
      <c r="D32" s="32"/>
      <c r="E32" s="32"/>
      <c r="F32" s="32"/>
      <c r="G32" s="44"/>
      <c r="H32" s="32"/>
    </row>
    <row r="33" spans="1:8" x14ac:dyDescent="0.4">
      <c r="A33" s="45" t="s">
        <v>67</v>
      </c>
      <c r="B33" s="45"/>
      <c r="C33" s="45"/>
      <c r="D33" s="45"/>
      <c r="E33" s="45"/>
      <c r="F33" s="45"/>
      <c r="G33" s="44" t="s">
        <v>45</v>
      </c>
      <c r="H33" s="32"/>
    </row>
    <row r="34" spans="1:8" x14ac:dyDescent="0.4">
      <c r="A34" s="32" t="s">
        <v>34</v>
      </c>
      <c r="B34" s="46">
        <f>SUMIF(合约状态!$D:$D,B30,合约状态!$AP:$AP)</f>
        <v>0</v>
      </c>
      <c r="C34" s="46">
        <f>SUMIF(合约状态!$D:$D,C30,合约状态!$AP:$AP)</f>
        <v>0</v>
      </c>
      <c r="D34" s="46">
        <f>SUMIF(合约状态!$D:$D,D6,合约状态!$AP:$AP) + SUMIF(了结合约!$D:$D,D6,了结合约!$T:$T)</f>
        <v>2881016.4387671235</v>
      </c>
      <c r="E34" s="46">
        <f ca="1">SUMIF(合约状态!$D:$D,E6,合约状态!$AP:$AP)+ SUMIF(合约状态!$D:$D,E6,合约状态!$AD:$AD) + SUMIF(了结合约!$D:$D,E6,了结合约!$AD:$AD)</f>
        <v>14737543.229776459</v>
      </c>
      <c r="F34" s="35"/>
      <c r="G34" s="44">
        <f ca="1">SUM(B34:E34)</f>
        <v>17618559.668543581</v>
      </c>
      <c r="H34" s="32"/>
    </row>
    <row r="35" spans="1:8" x14ac:dyDescent="0.4">
      <c r="A35" s="26" t="s">
        <v>33</v>
      </c>
      <c r="B35" s="47">
        <f>SUMIF(合约状态!$D:$D,B30,合约状态!$T:$T)</f>
        <v>0</v>
      </c>
      <c r="C35" s="47">
        <f>SUMIF(合约状态!$D:$D,C30,合约状态!$T:$T)</f>
        <v>0</v>
      </c>
      <c r="D35" s="47">
        <f>SUMIF(合约状态!$D:$D,D6,合约状态!$T:$T) + SUMIF(了结合约!$D:$D,D6,了结合约!$T:$T)</f>
        <v>2881016.4387671235</v>
      </c>
      <c r="E35" s="47">
        <f ca="1">SUMIF(合约状态!$D:$D,E6,合约状态!$T:$T)+ SUMIF(合约状态!$D:$D,E6,合约状态!$AD:$AD)  + SUMIF(了结合约!$D:$D,E6,了结合约!$AD:$AD)</f>
        <v>15127204.450952014</v>
      </c>
      <c r="F35" s="48"/>
      <c r="G35" s="49">
        <f ca="1">SUM(B35:E35)</f>
        <v>18008220.889719136</v>
      </c>
      <c r="H35" s="32"/>
    </row>
    <row r="36" spans="1:8" x14ac:dyDescent="0.4">
      <c r="A36" s="32"/>
      <c r="B36" s="32"/>
      <c r="C36" s="32"/>
      <c r="D36" s="32"/>
      <c r="E36" s="32"/>
      <c r="F36" s="32"/>
      <c r="G36" s="44"/>
      <c r="H36" s="32"/>
    </row>
    <row r="37" spans="1:8" x14ac:dyDescent="0.4">
      <c r="A37" s="32"/>
      <c r="B37" s="32"/>
      <c r="C37" s="32"/>
      <c r="D37" s="32"/>
      <c r="E37" s="32"/>
      <c r="F37" s="32"/>
      <c r="G37" s="44"/>
      <c r="H37" s="32"/>
    </row>
  </sheetData>
  <phoneticPr fontId="1" type="noConversion"/>
  <conditionalFormatting sqref="A11:G11">
    <cfRule type="expression" dxfId="20" priority="14">
      <formula>XEZ9&lt;0</formula>
    </cfRule>
  </conditionalFormatting>
  <conditionalFormatting sqref="A12:G12">
    <cfRule type="expression" dxfId="19" priority="26">
      <formula>XEZ8&lt;0</formula>
    </cfRule>
  </conditionalFormatting>
  <conditionalFormatting sqref="A13:G13">
    <cfRule type="expression" dxfId="18" priority="35">
      <formula>XEZ12&lt;0</formula>
    </cfRule>
  </conditionalFormatting>
  <conditionalFormatting sqref="A21:G22">
    <cfRule type="expression" dxfId="17" priority="4">
      <formula>XEZ17&lt;0</formula>
    </cfRule>
  </conditionalFormatting>
  <conditionalFormatting sqref="A34:G34">
    <cfRule type="expression" dxfId="16" priority="7">
      <formula>XEZ33&lt;0</formula>
    </cfRule>
  </conditionalFormatting>
  <conditionalFormatting sqref="A35:G35">
    <cfRule type="expression" dxfId="15" priority="11">
      <formula>XEZ32&lt;0</formula>
    </cfRule>
  </conditionalFormatting>
  <conditionalFormatting sqref="B11:E11">
    <cfRule type="expression" dxfId="14" priority="18">
      <formula>XFC9&lt;0</formula>
    </cfRule>
  </conditionalFormatting>
  <conditionalFormatting sqref="B11:E13">
    <cfRule type="expression" dxfId="13" priority="17">
      <formula>B11&lt;0</formula>
    </cfRule>
  </conditionalFormatting>
  <conditionalFormatting sqref="B12:E12">
    <cfRule type="expression" dxfId="12" priority="30">
      <formula>XFC8&lt;0</formula>
    </cfRule>
  </conditionalFormatting>
  <conditionalFormatting sqref="B13:E13">
    <cfRule type="expression" dxfId="11" priority="38">
      <formula>XFC12&lt;0</formula>
    </cfRule>
  </conditionalFormatting>
  <conditionalFormatting sqref="B21:E22">
    <cfRule type="expression" dxfId="10" priority="3">
      <formula>B21&lt;0</formula>
    </cfRule>
    <cfRule type="expression" dxfId="9" priority="5">
      <formula>XFC17&lt;0</formula>
    </cfRule>
  </conditionalFormatting>
  <conditionalFormatting sqref="B34:E34">
    <cfRule type="expression" dxfId="8" priority="10">
      <formula>XFC33&lt;0</formula>
    </cfRule>
  </conditionalFormatting>
  <conditionalFormatting sqref="B34:E35">
    <cfRule type="expression" dxfId="7" priority="9">
      <formula>B34&lt;0</formula>
    </cfRule>
  </conditionalFormatting>
  <conditionalFormatting sqref="B35:E35">
    <cfRule type="expression" dxfId="6" priority="12">
      <formula>XFC32&lt;0</formula>
    </cfRule>
  </conditionalFormatting>
  <conditionalFormatting sqref="B11:G13">
    <cfRule type="expression" dxfId="5" priority="13">
      <formula>B11&lt;0</formula>
    </cfRule>
    <cfRule type="expression" dxfId="4" priority="16">
      <formula>B11&gt;0</formula>
    </cfRule>
  </conditionalFormatting>
  <conditionalFormatting sqref="B21:G22">
    <cfRule type="expression" dxfId="3" priority="1">
      <formula>B21&lt;0</formula>
    </cfRule>
    <cfRule type="expression" dxfId="2" priority="2">
      <formula>B21&gt;0</formula>
    </cfRule>
  </conditionalFormatting>
  <conditionalFormatting sqref="B34:G35">
    <cfRule type="expression" dxfId="1" priority="6">
      <formula>B34&lt;0</formula>
    </cfRule>
    <cfRule type="expression" dxfId="0" priority="8">
      <formula>B34&gt;0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449F-A848-401A-B96B-72D6D4FEA20C}">
  <dimension ref="A1:EE31"/>
  <sheetViews>
    <sheetView workbookViewId="0">
      <selection activeCell="T23" sqref="T23"/>
    </sheetView>
  </sheetViews>
  <sheetFormatPr defaultRowHeight="13.9" x14ac:dyDescent="0.4"/>
  <cols>
    <col min="1" max="1" width="7.86328125" customWidth="1"/>
    <col min="3" max="3" width="14.86328125" customWidth="1"/>
    <col min="5" max="5" width="8.3984375" customWidth="1"/>
    <col min="7" max="9" width="2.265625" style="30" customWidth="1"/>
    <col min="10" max="16" width="2.265625" customWidth="1"/>
    <col min="17" max="17" width="13.3984375" customWidth="1"/>
    <col min="18" max="19" width="3.1328125" customWidth="1"/>
    <col min="20" max="20" width="15.1328125" customWidth="1"/>
    <col min="21" max="23" width="0" hidden="1" customWidth="1"/>
    <col min="24" max="26" width="9" hidden="1" customWidth="1"/>
    <col min="29" max="29" width="13.59765625" customWidth="1"/>
    <col min="30" max="30" width="14.59765625" style="8" customWidth="1"/>
    <col min="32" max="32" width="21.59765625" customWidth="1"/>
  </cols>
  <sheetData>
    <row r="1" spans="1:135" x14ac:dyDescent="0.4">
      <c r="A1" s="32" t="s">
        <v>82</v>
      </c>
      <c r="B1" s="32" t="s">
        <v>81</v>
      </c>
      <c r="C1" s="31" t="s">
        <v>83</v>
      </c>
      <c r="D1" s="32" t="s">
        <v>84</v>
      </c>
      <c r="E1" s="35" t="s">
        <v>111</v>
      </c>
      <c r="F1" s="32" t="s">
        <v>85</v>
      </c>
      <c r="G1" s="39" t="s">
        <v>73</v>
      </c>
      <c r="H1" s="39" t="s">
        <v>110</v>
      </c>
      <c r="I1" s="30" t="s">
        <v>112</v>
      </c>
      <c r="J1" s="32" t="s">
        <v>113</v>
      </c>
      <c r="K1" s="33" t="s">
        <v>114</v>
      </c>
      <c r="L1" s="34" t="s">
        <v>77</v>
      </c>
      <c r="M1" s="35" t="s">
        <v>115</v>
      </c>
      <c r="N1" s="34" t="s">
        <v>75</v>
      </c>
      <c r="O1" s="6" t="s">
        <v>79</v>
      </c>
      <c r="P1" s="6" t="s">
        <v>109</v>
      </c>
      <c r="Q1" s="6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s="4" t="s">
        <v>126</v>
      </c>
      <c r="AB1" s="4" t="s">
        <v>127</v>
      </c>
      <c r="AC1" s="4" t="s">
        <v>128</v>
      </c>
      <c r="AD1" s="8" t="s">
        <v>129</v>
      </c>
      <c r="AE1" t="s">
        <v>85</v>
      </c>
      <c r="AF1" t="s">
        <v>130</v>
      </c>
      <c r="AG1" t="s">
        <v>131</v>
      </c>
      <c r="AH1" t="s">
        <v>152</v>
      </c>
      <c r="AI1" t="s">
        <v>132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s="6" t="s">
        <v>139</v>
      </c>
      <c r="AQ1" t="s">
        <v>140</v>
      </c>
      <c r="AS1" t="s">
        <v>141</v>
      </c>
      <c r="AU1" t="s">
        <v>142</v>
      </c>
      <c r="AW1" s="4" t="s">
        <v>143</v>
      </c>
      <c r="AX1" s="4"/>
      <c r="AY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35" s="15" customFormat="1" x14ac:dyDescent="0.4">
      <c r="A2" s="26">
        <v>18</v>
      </c>
      <c r="B2" s="26" t="s">
        <v>97</v>
      </c>
      <c r="C2" s="90">
        <v>11000000</v>
      </c>
      <c r="D2" s="26" t="s">
        <v>32</v>
      </c>
      <c r="E2" s="91">
        <v>46079.625</v>
      </c>
      <c r="F2" s="92">
        <v>8490.6200000000008</v>
      </c>
      <c r="G2" s="93"/>
      <c r="H2" s="94"/>
      <c r="I2" s="95"/>
      <c r="K2" s="95"/>
      <c r="L2" s="97"/>
      <c r="M2" s="98"/>
      <c r="N2" s="28"/>
      <c r="O2" s="48"/>
      <c r="P2" s="155"/>
      <c r="Q2" s="48" t="s">
        <v>154</v>
      </c>
      <c r="R2" s="91"/>
      <c r="T2" s="99">
        <v>534600</v>
      </c>
      <c r="AA2" s="27">
        <v>2.1000000000000001E-2</v>
      </c>
      <c r="AB2" s="100">
        <v>-5.7829999999999999E-2</v>
      </c>
      <c r="AC2" s="27">
        <v>0.19</v>
      </c>
      <c r="AD2" s="96">
        <v>534600</v>
      </c>
      <c r="AE2" s="102">
        <v>8490.6200000000008</v>
      </c>
      <c r="AF2" s="103">
        <v>46079.625</v>
      </c>
      <c r="AG2" s="104">
        <v>0.7</v>
      </c>
      <c r="AH2" s="104"/>
      <c r="AI2" s="15" t="b">
        <v>1</v>
      </c>
      <c r="AJ2" s="29">
        <v>1</v>
      </c>
      <c r="AK2" s="29">
        <v>1</v>
      </c>
      <c r="AL2" s="15" t="b">
        <v>0</v>
      </c>
      <c r="AM2" s="27">
        <v>0.1971</v>
      </c>
      <c r="AN2" s="29">
        <v>1</v>
      </c>
      <c r="AO2" s="29">
        <v>1</v>
      </c>
      <c r="AP2" s="16" cm="1">
        <f t="array" aca="1" ref="AP2" ca="1">IF(ISERROR(TRANSPOSE(_xll.ValuateSnowball(实时行情!$D$1,F2,AF2,AQ2:BL2,BM2:CH2,CI2:DD2,0,AM2,AG2,AJ2,AK2,AN2,AO2,0,0,0,TRUE,AI2,实时行情!$B$2,实时行情!E8,AA2,AB2,AC2,FALSE,"NPV")*C2/F2)),    0,   TRANSPOSE(_xll.ValuateSnowball(实时行情!$D$1,F2,AF2,AQ2:BL2,BM2:CH2,CI2:DD2,0,AM2,AG2,AJ2,AK2,AN2,AO2,0,0,0,TRUE,AI2,实时行情!$B$2,实时行情!$E$8,AA2,AB2,AC2,FALSE,"NPV")*C2/F2))</f>
        <v>474357.57618912234</v>
      </c>
      <c r="AQ2" s="25">
        <v>46168</v>
      </c>
      <c r="AR2" s="25">
        <v>46199</v>
      </c>
      <c r="AS2" s="25">
        <v>46230</v>
      </c>
      <c r="AT2" s="25">
        <v>46260</v>
      </c>
      <c r="AU2" s="25">
        <v>46293</v>
      </c>
      <c r="AV2" s="25">
        <v>46321</v>
      </c>
      <c r="AW2" s="25">
        <v>46352</v>
      </c>
      <c r="AX2" s="25">
        <v>46384</v>
      </c>
      <c r="AY2" s="25">
        <v>46413</v>
      </c>
      <c r="AZ2" s="25">
        <v>46444</v>
      </c>
      <c r="BA2" s="25">
        <v>46472</v>
      </c>
      <c r="BB2" s="25">
        <v>46503</v>
      </c>
      <c r="BC2" s="25">
        <v>46533</v>
      </c>
      <c r="BD2" s="25">
        <v>46566</v>
      </c>
      <c r="BE2" s="25">
        <v>46594</v>
      </c>
      <c r="BF2" s="25">
        <v>46625</v>
      </c>
      <c r="BG2" s="25">
        <v>46657</v>
      </c>
      <c r="BH2" s="25">
        <v>46686</v>
      </c>
      <c r="BI2" s="25">
        <v>46717</v>
      </c>
      <c r="BJ2" s="25">
        <v>46748</v>
      </c>
      <c r="BK2" s="25">
        <v>46776</v>
      </c>
      <c r="BL2" s="25">
        <v>46811</v>
      </c>
      <c r="BM2" s="27">
        <v>1</v>
      </c>
      <c r="BN2" s="27">
        <v>1</v>
      </c>
      <c r="BO2" s="27">
        <v>1</v>
      </c>
      <c r="BP2" s="27">
        <v>1</v>
      </c>
      <c r="BQ2" s="27">
        <v>1</v>
      </c>
      <c r="BR2" s="27">
        <v>1</v>
      </c>
      <c r="BS2" s="27">
        <v>1</v>
      </c>
      <c r="BT2" s="27">
        <v>1</v>
      </c>
      <c r="BU2" s="27">
        <v>1</v>
      </c>
      <c r="BV2" s="27">
        <v>1</v>
      </c>
      <c r="BW2" s="27">
        <v>1</v>
      </c>
      <c r="BX2" s="27">
        <v>1</v>
      </c>
      <c r="BY2" s="27">
        <v>1</v>
      </c>
      <c r="BZ2" s="27">
        <v>1</v>
      </c>
      <c r="CA2" s="27">
        <v>1</v>
      </c>
      <c r="CB2" s="27">
        <v>1</v>
      </c>
      <c r="CC2" s="27">
        <v>1</v>
      </c>
      <c r="CD2" s="27">
        <v>1</v>
      </c>
      <c r="CE2" s="27">
        <v>1</v>
      </c>
      <c r="CF2" s="27">
        <v>1</v>
      </c>
      <c r="CG2" s="27">
        <v>1</v>
      </c>
      <c r="CH2" s="27">
        <v>1</v>
      </c>
      <c r="CI2" s="27">
        <v>0.1971</v>
      </c>
      <c r="CJ2" s="27">
        <v>0.1971</v>
      </c>
      <c r="CK2" s="27">
        <v>0.1971</v>
      </c>
      <c r="CL2" s="27">
        <v>0.1971</v>
      </c>
      <c r="CM2" s="27">
        <v>0.1971</v>
      </c>
      <c r="CN2" s="27">
        <v>0.1971</v>
      </c>
      <c r="CO2" s="27">
        <v>0.1971</v>
      </c>
      <c r="CP2" s="27">
        <v>0.1971</v>
      </c>
      <c r="CQ2" s="27">
        <v>0.1971</v>
      </c>
      <c r="CR2" s="27">
        <v>0.1971</v>
      </c>
      <c r="CS2" s="27">
        <v>0.1971</v>
      </c>
      <c r="CT2" s="27">
        <v>0.1971</v>
      </c>
      <c r="CU2" s="27">
        <v>0.1971</v>
      </c>
      <c r="CV2" s="27">
        <v>0.1971</v>
      </c>
      <c r="CW2" s="27">
        <v>0.1971</v>
      </c>
      <c r="CX2" s="27">
        <v>0.1971</v>
      </c>
      <c r="CY2" s="27">
        <v>0.1971</v>
      </c>
      <c r="CZ2" s="27">
        <v>0.1971</v>
      </c>
      <c r="DA2" s="27">
        <v>0.1971</v>
      </c>
      <c r="DB2" s="27">
        <v>0.1971</v>
      </c>
      <c r="DC2" s="27">
        <v>0.1971</v>
      </c>
      <c r="DD2" s="27">
        <v>0.1971</v>
      </c>
    </row>
    <row r="3" spans="1:135" x14ac:dyDescent="0.4">
      <c r="A3" s="32">
        <v>17</v>
      </c>
      <c r="B3" s="32" t="s">
        <v>96</v>
      </c>
      <c r="C3" s="70">
        <v>12000000</v>
      </c>
      <c r="D3" s="32" t="s">
        <v>32</v>
      </c>
      <c r="E3" s="41">
        <v>46078.625</v>
      </c>
      <c r="F3" s="38">
        <v>8426.33</v>
      </c>
      <c r="G3" s="39"/>
      <c r="H3" s="88"/>
      <c r="I3" s="34"/>
      <c r="J3" s="73"/>
      <c r="K3" s="34"/>
      <c r="L3" s="36"/>
      <c r="M3" s="37"/>
      <c r="N3" s="33"/>
      <c r="O3" s="35"/>
      <c r="P3" s="131"/>
      <c r="Q3" s="35" t="s">
        <v>153</v>
      </c>
      <c r="R3" s="41"/>
      <c r="T3" s="73">
        <v>987863.01369863015</v>
      </c>
      <c r="AA3" s="4">
        <v>2.1000000000000001E-2</v>
      </c>
      <c r="AB3" s="21">
        <v>-6.3780000000000003E-2</v>
      </c>
      <c r="AC3" s="4">
        <v>0.18</v>
      </c>
      <c r="AD3" s="73">
        <v>1006027.4</v>
      </c>
      <c r="AE3" s="17">
        <v>8426.33</v>
      </c>
      <c r="AF3" s="1">
        <v>46078.625</v>
      </c>
      <c r="AG3" s="18">
        <v>0.7</v>
      </c>
      <c r="AH3" s="18"/>
      <c r="AI3" t="b">
        <v>1</v>
      </c>
      <c r="AJ3" s="2">
        <v>1</v>
      </c>
      <c r="AK3" s="2">
        <v>1</v>
      </c>
      <c r="AL3" t="b">
        <v>0</v>
      </c>
      <c r="AM3" s="4">
        <v>0.05</v>
      </c>
      <c r="AN3" s="2">
        <v>1</v>
      </c>
      <c r="AO3" s="2">
        <v>1</v>
      </c>
      <c r="AP3" s="6"/>
      <c r="AQ3" s="3">
        <v>46167</v>
      </c>
      <c r="AR3" s="3">
        <v>46198</v>
      </c>
      <c r="AS3" s="3">
        <v>46230</v>
      </c>
      <c r="AT3" s="3">
        <v>46259</v>
      </c>
      <c r="AU3" s="3">
        <v>46293</v>
      </c>
      <c r="AV3" s="3">
        <v>46321</v>
      </c>
      <c r="AW3" s="3">
        <v>46351</v>
      </c>
      <c r="AX3" s="3">
        <v>46381</v>
      </c>
      <c r="AY3" s="3">
        <v>46412</v>
      </c>
      <c r="AZ3" s="3">
        <v>46443</v>
      </c>
      <c r="BA3" s="3">
        <v>46471</v>
      </c>
      <c r="BB3" s="3">
        <v>46503</v>
      </c>
      <c r="BC3" s="3">
        <v>46532</v>
      </c>
      <c r="BD3" s="3">
        <v>46563</v>
      </c>
      <c r="BE3" s="3">
        <v>46594</v>
      </c>
      <c r="BF3" s="3">
        <v>46624</v>
      </c>
      <c r="BG3" s="3">
        <v>46657</v>
      </c>
      <c r="BH3" s="3">
        <v>46685</v>
      </c>
      <c r="BI3" s="3">
        <v>46716</v>
      </c>
      <c r="BJ3" s="3">
        <v>46748</v>
      </c>
      <c r="BK3" s="3">
        <v>46776</v>
      </c>
      <c r="BL3" s="3">
        <v>46808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0.34</v>
      </c>
      <c r="CJ3" s="4">
        <v>0.34</v>
      </c>
      <c r="CK3" s="4">
        <v>0.34</v>
      </c>
      <c r="CL3" s="4">
        <v>0.34</v>
      </c>
      <c r="CM3" s="4">
        <v>0.34</v>
      </c>
      <c r="CN3" s="4">
        <v>0.34</v>
      </c>
      <c r="CO3" s="4">
        <v>0.34</v>
      </c>
      <c r="CP3" s="4">
        <v>0.34</v>
      </c>
      <c r="CQ3" s="4">
        <v>0.34</v>
      </c>
      <c r="CR3" s="4">
        <v>0.34</v>
      </c>
      <c r="CS3" s="4">
        <v>0.05</v>
      </c>
      <c r="CT3" s="4">
        <v>0.05</v>
      </c>
      <c r="CU3" s="4">
        <v>0.05</v>
      </c>
      <c r="CV3" s="4">
        <v>0.05</v>
      </c>
      <c r="CW3" s="4">
        <v>0.05</v>
      </c>
      <c r="CX3" s="4">
        <v>0.05</v>
      </c>
      <c r="CY3" s="4">
        <v>0.05</v>
      </c>
      <c r="CZ3" s="4">
        <v>0.05</v>
      </c>
      <c r="DA3" s="4">
        <v>0.05</v>
      </c>
      <c r="DB3" s="4">
        <v>0.05</v>
      </c>
      <c r="DC3" s="4">
        <v>0.05</v>
      </c>
      <c r="DD3" s="4">
        <v>0.05</v>
      </c>
    </row>
    <row r="4" spans="1:135" s="15" customFormat="1" x14ac:dyDescent="0.4">
      <c r="A4" s="26">
        <v>14</v>
      </c>
      <c r="B4" s="26" t="s">
        <v>96</v>
      </c>
      <c r="C4" s="90">
        <v>10000000</v>
      </c>
      <c r="D4" s="26" t="s">
        <v>32</v>
      </c>
      <c r="E4" s="91">
        <v>46035.625</v>
      </c>
      <c r="F4" s="92">
        <v>8287.81</v>
      </c>
      <c r="G4" s="93"/>
      <c r="H4" s="94"/>
      <c r="I4" s="95"/>
      <c r="J4" s="96"/>
      <c r="K4" s="95"/>
      <c r="L4" s="97"/>
      <c r="M4" s="98"/>
      <c r="N4" s="28"/>
      <c r="O4" s="48"/>
      <c r="P4" s="116"/>
      <c r="Q4" s="48" t="s">
        <v>147</v>
      </c>
      <c r="R4" s="91"/>
      <c r="T4" s="99">
        <v>856613.7</v>
      </c>
      <c r="AA4" s="27">
        <v>2.1000000000000001E-2</v>
      </c>
      <c r="AB4" s="100">
        <v>-8.8994599999999993E-2</v>
      </c>
      <c r="AC4" s="27">
        <v>0.185</v>
      </c>
      <c r="AD4" s="101">
        <v>856613.7</v>
      </c>
      <c r="AE4" s="102">
        <v>8287.81</v>
      </c>
      <c r="AF4" s="103">
        <v>46035.625</v>
      </c>
      <c r="AG4" s="104">
        <v>0.65</v>
      </c>
      <c r="AH4" s="104"/>
      <c r="AI4" s="15" t="b">
        <v>1</v>
      </c>
      <c r="AJ4" s="29">
        <v>1</v>
      </c>
      <c r="AK4" s="29">
        <v>1</v>
      </c>
      <c r="AL4" s="15" t="b">
        <v>0</v>
      </c>
      <c r="AM4" s="27">
        <v>0.05</v>
      </c>
      <c r="AN4" s="29">
        <v>0.25</v>
      </c>
      <c r="AO4" s="29">
        <v>1</v>
      </c>
      <c r="AP4" s="16"/>
      <c r="AQ4" s="25">
        <v>46125</v>
      </c>
      <c r="AR4" s="25">
        <v>46155</v>
      </c>
      <c r="AS4" s="25">
        <v>46188</v>
      </c>
      <c r="AT4" s="25">
        <v>46216</v>
      </c>
      <c r="AU4" s="25">
        <v>46247</v>
      </c>
      <c r="AV4" s="25">
        <v>46279</v>
      </c>
      <c r="AW4" s="25">
        <v>46308</v>
      </c>
      <c r="AX4" s="25">
        <v>46339</v>
      </c>
      <c r="AY4" s="25">
        <v>46370</v>
      </c>
      <c r="AZ4" s="25">
        <v>46400</v>
      </c>
      <c r="BA4" s="25">
        <v>46433</v>
      </c>
      <c r="BB4" s="25">
        <v>46461</v>
      </c>
      <c r="BC4" s="25">
        <v>46490</v>
      </c>
      <c r="BD4" s="25">
        <v>46520</v>
      </c>
      <c r="BE4" s="25">
        <v>46552</v>
      </c>
      <c r="BF4" s="25">
        <v>46581</v>
      </c>
      <c r="BG4" s="25">
        <v>46612</v>
      </c>
      <c r="BH4" s="25">
        <v>46643</v>
      </c>
      <c r="BI4" s="25">
        <v>46673</v>
      </c>
      <c r="BJ4" s="25">
        <v>46706</v>
      </c>
      <c r="BK4" s="25">
        <v>46734</v>
      </c>
      <c r="BL4" s="25">
        <v>46765</v>
      </c>
      <c r="BM4" s="27">
        <v>1</v>
      </c>
      <c r="BN4" s="27">
        <v>0.995</v>
      </c>
      <c r="BO4" s="27">
        <v>0.99</v>
      </c>
      <c r="BP4" s="27">
        <v>0.98499999999999999</v>
      </c>
      <c r="BQ4" s="27">
        <v>0.98</v>
      </c>
      <c r="BR4" s="27">
        <v>0.97499999999999998</v>
      </c>
      <c r="BS4" s="27">
        <v>0.97</v>
      </c>
      <c r="BT4" s="27">
        <v>0.96499999999999997</v>
      </c>
      <c r="BU4" s="27">
        <v>0.96</v>
      </c>
      <c r="BV4" s="27">
        <v>0.95499999999999996</v>
      </c>
      <c r="BW4" s="27">
        <v>0.95</v>
      </c>
      <c r="BX4" s="27">
        <v>0.94499999999999995</v>
      </c>
      <c r="BY4" s="27">
        <v>0.94</v>
      </c>
      <c r="BZ4" s="27">
        <v>0.93500000000000005</v>
      </c>
      <c r="CA4" s="27">
        <v>0.92999999999999994</v>
      </c>
      <c r="CB4" s="27">
        <v>0.92500000000000004</v>
      </c>
      <c r="CC4" s="27">
        <v>0.92</v>
      </c>
      <c r="CD4" s="27">
        <v>0.91500000000000004</v>
      </c>
      <c r="CE4" s="27">
        <v>0.91</v>
      </c>
      <c r="CF4" s="27">
        <v>0.90500000000000003</v>
      </c>
      <c r="CG4" s="27">
        <v>0.9</v>
      </c>
      <c r="CH4" s="27">
        <v>0.89500000000000002</v>
      </c>
      <c r="CI4" s="27">
        <v>0.25840000000000002</v>
      </c>
      <c r="CJ4" s="27">
        <v>0.25840000000000002</v>
      </c>
      <c r="CK4" s="27">
        <v>0.25840000000000002</v>
      </c>
      <c r="CL4" s="27">
        <v>0.25840000000000002</v>
      </c>
      <c r="CM4" s="27">
        <v>0.25840000000000002</v>
      </c>
      <c r="CN4" s="27">
        <v>0.25840000000000002</v>
      </c>
      <c r="CO4" s="27">
        <v>0.25840000000000002</v>
      </c>
      <c r="CP4" s="27">
        <v>0.25840000000000002</v>
      </c>
      <c r="CQ4" s="27">
        <v>0.25840000000000002</v>
      </c>
      <c r="CR4" s="27">
        <v>0.25840000000000002</v>
      </c>
      <c r="CS4" s="27">
        <v>0.05</v>
      </c>
      <c r="CT4" s="27">
        <v>0.05</v>
      </c>
      <c r="CU4" s="27">
        <v>0.05</v>
      </c>
      <c r="CV4" s="27">
        <v>0.05</v>
      </c>
      <c r="CW4" s="27">
        <v>0.05</v>
      </c>
      <c r="CX4" s="27">
        <v>0.05</v>
      </c>
      <c r="CY4" s="27">
        <v>0.05</v>
      </c>
      <c r="CZ4" s="27">
        <v>0.05</v>
      </c>
      <c r="DA4" s="27">
        <v>0.05</v>
      </c>
      <c r="DB4" s="27">
        <v>0.05</v>
      </c>
      <c r="DC4" s="27">
        <v>0.05</v>
      </c>
      <c r="DD4" s="27">
        <v>0.05</v>
      </c>
    </row>
    <row r="5" spans="1:135" x14ac:dyDescent="0.4">
      <c r="A5" s="32">
        <v>13</v>
      </c>
      <c r="B5" s="32" t="s">
        <v>96</v>
      </c>
      <c r="C5" s="70">
        <v>30000000</v>
      </c>
      <c r="D5" s="32" t="s">
        <v>32</v>
      </c>
      <c r="E5" s="41">
        <v>46031.625</v>
      </c>
      <c r="F5" s="38">
        <v>8080.6</v>
      </c>
      <c r="G5" s="39"/>
      <c r="H5" s="88"/>
      <c r="I5" s="34"/>
      <c r="J5" s="73"/>
      <c r="K5" s="34"/>
      <c r="L5" s="36"/>
      <c r="M5" s="37"/>
      <c r="N5" s="33"/>
      <c r="O5" s="35"/>
      <c r="P5" s="115"/>
      <c r="Q5" s="35" t="s">
        <v>146</v>
      </c>
      <c r="R5" s="41"/>
      <c r="T5" s="20">
        <v>2757534.25</v>
      </c>
      <c r="AA5" s="4">
        <v>2.1000000000000001E-2</v>
      </c>
      <c r="AB5" s="21">
        <v>-8.1110000000000002E-2</v>
      </c>
      <c r="AC5" s="4">
        <v>0.182</v>
      </c>
      <c r="AD5" s="19">
        <v>2757534.25</v>
      </c>
      <c r="AE5" s="17">
        <v>8080.6</v>
      </c>
      <c r="AF5" s="1">
        <v>46031.625</v>
      </c>
      <c r="AG5" s="18">
        <v>0.65</v>
      </c>
      <c r="AH5" s="18"/>
      <c r="AI5" t="b">
        <v>1</v>
      </c>
      <c r="AJ5" s="2">
        <v>1</v>
      </c>
      <c r="AK5" s="2">
        <v>1</v>
      </c>
      <c r="AL5" t="b">
        <v>0</v>
      </c>
      <c r="AM5" s="4">
        <v>0.05</v>
      </c>
      <c r="AN5" s="2">
        <v>1</v>
      </c>
      <c r="AO5" s="2">
        <v>1</v>
      </c>
      <c r="AP5" s="6"/>
      <c r="AQ5" s="3">
        <v>46121</v>
      </c>
      <c r="AR5" s="3">
        <v>46153</v>
      </c>
      <c r="AS5" s="3">
        <v>46182</v>
      </c>
      <c r="AT5" s="3">
        <v>46212</v>
      </c>
      <c r="AU5" s="3">
        <v>46244</v>
      </c>
      <c r="AV5" s="3">
        <v>46274</v>
      </c>
      <c r="AW5" s="3">
        <v>46304</v>
      </c>
      <c r="AX5" s="3">
        <v>46335</v>
      </c>
      <c r="AY5" s="3">
        <v>46365</v>
      </c>
      <c r="AZ5" s="3">
        <v>46398</v>
      </c>
      <c r="BA5" s="3">
        <v>46433</v>
      </c>
      <c r="BB5" s="3">
        <v>46455</v>
      </c>
      <c r="BC5" s="3">
        <v>46486</v>
      </c>
      <c r="BD5" s="3">
        <v>46517</v>
      </c>
      <c r="BE5" s="3">
        <v>46548</v>
      </c>
      <c r="BF5" s="3">
        <v>46577</v>
      </c>
      <c r="BG5" s="3">
        <v>46608</v>
      </c>
      <c r="BH5" s="3">
        <v>46639</v>
      </c>
      <c r="BI5" s="3">
        <v>46671</v>
      </c>
      <c r="BJ5" s="3">
        <v>46700</v>
      </c>
      <c r="BK5" s="3">
        <v>46730</v>
      </c>
      <c r="BL5" s="3">
        <v>46762</v>
      </c>
      <c r="BM5" s="4">
        <v>1</v>
      </c>
      <c r="BN5" s="4">
        <v>0.995</v>
      </c>
      <c r="BO5" s="4">
        <v>0.99</v>
      </c>
      <c r="BP5" s="4">
        <v>0.98499999999999999</v>
      </c>
      <c r="BQ5" s="4">
        <v>0.98</v>
      </c>
      <c r="BR5" s="4">
        <v>0.97499999999999998</v>
      </c>
      <c r="BS5" s="4">
        <v>0.97</v>
      </c>
      <c r="BT5" s="4">
        <v>0.96499999999999997</v>
      </c>
      <c r="BU5" s="4">
        <v>0.96</v>
      </c>
      <c r="BV5" s="4">
        <v>0.95499999999999996</v>
      </c>
      <c r="BW5" s="4">
        <v>0.95</v>
      </c>
      <c r="BX5" s="4">
        <v>0.94499999999999995</v>
      </c>
      <c r="BY5" s="4">
        <v>0.94</v>
      </c>
      <c r="BZ5" s="4">
        <v>0.93500000000000005</v>
      </c>
      <c r="CA5" s="4">
        <v>0.92999999999999994</v>
      </c>
      <c r="CB5" s="4">
        <v>0.92500000000000004</v>
      </c>
      <c r="CC5" s="4">
        <v>0.92</v>
      </c>
      <c r="CD5" s="4">
        <v>0.91500000000000004</v>
      </c>
      <c r="CE5" s="4">
        <v>0.91</v>
      </c>
      <c r="CF5" s="4">
        <v>0.90500000000000003</v>
      </c>
      <c r="CG5" s="4">
        <v>0.9</v>
      </c>
      <c r="CH5" s="4">
        <v>0.89500000000000002</v>
      </c>
      <c r="CI5" s="4">
        <v>0.27500000000000002</v>
      </c>
      <c r="CJ5" s="4">
        <v>0.27500000000000002</v>
      </c>
      <c r="CK5" s="4">
        <v>0.27500000000000002</v>
      </c>
      <c r="CL5" s="4">
        <v>0.27500000000000002</v>
      </c>
      <c r="CM5" s="4">
        <v>0.27500000000000002</v>
      </c>
      <c r="CN5" s="4">
        <v>0.27500000000000002</v>
      </c>
      <c r="CO5" s="4">
        <v>0.27500000000000002</v>
      </c>
      <c r="CP5" s="4">
        <v>0.27500000000000002</v>
      </c>
      <c r="CQ5" s="4">
        <v>0.27500000000000002</v>
      </c>
      <c r="CR5" s="4">
        <v>0.27500000000000002</v>
      </c>
      <c r="CS5" s="4">
        <v>0.05</v>
      </c>
      <c r="CT5" s="4">
        <v>0.05</v>
      </c>
      <c r="CU5" s="4">
        <v>0.05</v>
      </c>
      <c r="CV5" s="4">
        <v>0.05</v>
      </c>
      <c r="CW5" s="4">
        <v>0.05</v>
      </c>
      <c r="CX5" s="4">
        <v>0.05</v>
      </c>
      <c r="CY5" s="4">
        <v>0.05</v>
      </c>
      <c r="CZ5" s="4">
        <v>0.05</v>
      </c>
      <c r="DA5" s="4">
        <v>0.05</v>
      </c>
      <c r="DB5" s="4">
        <v>0.05</v>
      </c>
      <c r="DC5" s="4">
        <v>0.05</v>
      </c>
      <c r="DD5" s="4">
        <v>0.05</v>
      </c>
    </row>
    <row r="6" spans="1:135" s="15" customFormat="1" x14ac:dyDescent="0.4">
      <c r="A6" s="26">
        <v>16</v>
      </c>
      <c r="B6" s="26" t="s">
        <v>97</v>
      </c>
      <c r="C6" s="90">
        <v>21000000</v>
      </c>
      <c r="D6" s="26" t="s">
        <v>32</v>
      </c>
      <c r="E6" s="91">
        <v>46058.625</v>
      </c>
      <c r="F6" s="92">
        <v>8091.49</v>
      </c>
      <c r="G6" s="93"/>
      <c r="H6" s="94"/>
      <c r="I6" s="95"/>
      <c r="J6" s="96"/>
      <c r="K6" s="95"/>
      <c r="L6" s="97"/>
      <c r="M6" s="98"/>
      <c r="N6" s="28"/>
      <c r="O6" s="48"/>
      <c r="P6" s="116"/>
      <c r="Q6" s="48" t="s">
        <v>145</v>
      </c>
      <c r="R6" s="91"/>
      <c r="T6" s="99">
        <v>926180.55</v>
      </c>
      <c r="AA6" s="27">
        <v>2.1000000000000001E-2</v>
      </c>
      <c r="AB6" s="100">
        <v>-8.8489999999999999E-2</v>
      </c>
      <c r="AC6" s="27">
        <v>0.19</v>
      </c>
      <c r="AD6" s="101">
        <v>926180.55</v>
      </c>
      <c r="AE6" s="102">
        <v>8091.49</v>
      </c>
      <c r="AF6" s="103">
        <v>46058.625</v>
      </c>
      <c r="AG6" s="104">
        <v>0.65</v>
      </c>
      <c r="AH6" s="104"/>
      <c r="AI6" s="15" t="b">
        <v>1</v>
      </c>
      <c r="AJ6" s="29">
        <v>1</v>
      </c>
      <c r="AK6" s="29">
        <v>1</v>
      </c>
      <c r="AL6" s="15" t="b">
        <v>0</v>
      </c>
      <c r="AM6" s="27">
        <v>0.1769</v>
      </c>
      <c r="AN6" s="29">
        <v>1</v>
      </c>
      <c r="AO6" s="29">
        <v>1</v>
      </c>
      <c r="AP6" s="16"/>
      <c r="AQ6" s="25">
        <v>46148</v>
      </c>
      <c r="AR6" s="25">
        <v>46178</v>
      </c>
      <c r="AS6" s="25">
        <v>46209</v>
      </c>
      <c r="AT6" s="25">
        <v>46239</v>
      </c>
      <c r="AU6" s="25">
        <v>46272</v>
      </c>
      <c r="AV6" s="25">
        <v>46303</v>
      </c>
      <c r="AW6" s="25">
        <v>46331</v>
      </c>
      <c r="AX6" s="25">
        <v>46363</v>
      </c>
      <c r="AY6" s="25">
        <v>46392</v>
      </c>
      <c r="AZ6" s="25">
        <v>46433</v>
      </c>
      <c r="BA6" s="25">
        <v>46451</v>
      </c>
      <c r="BB6" s="25">
        <v>46483</v>
      </c>
      <c r="BC6" s="25">
        <v>46513</v>
      </c>
      <c r="BD6" s="25">
        <v>46545</v>
      </c>
      <c r="BE6" s="25">
        <v>46573</v>
      </c>
      <c r="BF6" s="25">
        <v>46604</v>
      </c>
      <c r="BG6" s="25">
        <v>46636</v>
      </c>
      <c r="BH6" s="25">
        <v>46668</v>
      </c>
      <c r="BI6" s="25">
        <v>46696</v>
      </c>
      <c r="BJ6" s="25">
        <v>46727</v>
      </c>
      <c r="BK6" s="25">
        <v>46757</v>
      </c>
      <c r="BL6" s="25">
        <v>46790</v>
      </c>
      <c r="BM6" s="27">
        <v>1</v>
      </c>
      <c r="BN6" s="27">
        <v>1</v>
      </c>
      <c r="BO6" s="27">
        <v>1</v>
      </c>
      <c r="BP6" s="27">
        <v>1</v>
      </c>
      <c r="BQ6" s="27">
        <v>1</v>
      </c>
      <c r="BR6" s="27">
        <v>1</v>
      </c>
      <c r="BS6" s="27">
        <v>1</v>
      </c>
      <c r="BT6" s="27">
        <v>1</v>
      </c>
      <c r="BU6" s="27">
        <v>1</v>
      </c>
      <c r="BV6" s="27">
        <v>1</v>
      </c>
      <c r="BW6" s="27">
        <v>1</v>
      </c>
      <c r="BX6" s="27">
        <v>1</v>
      </c>
      <c r="BY6" s="27">
        <v>1</v>
      </c>
      <c r="BZ6" s="27">
        <v>1</v>
      </c>
      <c r="CA6" s="27">
        <v>1</v>
      </c>
      <c r="CB6" s="27">
        <v>1</v>
      </c>
      <c r="CC6" s="27">
        <v>1</v>
      </c>
      <c r="CD6" s="27">
        <v>1</v>
      </c>
      <c r="CE6" s="27">
        <v>1</v>
      </c>
      <c r="CF6" s="27">
        <v>1</v>
      </c>
      <c r="CG6" s="27">
        <v>1</v>
      </c>
      <c r="CH6" s="27">
        <v>1</v>
      </c>
      <c r="CI6" s="27">
        <v>0.1769</v>
      </c>
      <c r="CJ6" s="27">
        <v>0.1769</v>
      </c>
      <c r="CK6" s="27">
        <v>0.1769</v>
      </c>
      <c r="CL6" s="27">
        <v>0.1769</v>
      </c>
      <c r="CM6" s="27">
        <v>0.1769</v>
      </c>
      <c r="CN6" s="27">
        <v>0.1769</v>
      </c>
      <c r="CO6" s="27">
        <v>0.1769</v>
      </c>
      <c r="CP6" s="27">
        <v>0.1769</v>
      </c>
      <c r="CQ6" s="27">
        <v>0.1769</v>
      </c>
      <c r="CR6" s="27">
        <v>0.1769</v>
      </c>
      <c r="CS6" s="27">
        <v>0.1769</v>
      </c>
      <c r="CT6" s="27">
        <v>0.1769</v>
      </c>
      <c r="CU6" s="27">
        <v>0.1769</v>
      </c>
      <c r="CV6" s="27">
        <v>0.1769</v>
      </c>
      <c r="CW6" s="27">
        <v>0.1769</v>
      </c>
      <c r="CX6" s="27">
        <v>0.1769</v>
      </c>
      <c r="CY6" s="27">
        <v>0.1769</v>
      </c>
      <c r="CZ6" s="27">
        <v>0.1769</v>
      </c>
      <c r="DA6" s="27">
        <v>0.1769</v>
      </c>
      <c r="DB6" s="27">
        <v>0.1769</v>
      </c>
      <c r="DC6" s="27">
        <v>0.1769</v>
      </c>
      <c r="DD6" s="27">
        <v>0.1769</v>
      </c>
    </row>
    <row r="7" spans="1:135" x14ac:dyDescent="0.4">
      <c r="A7" s="32">
        <v>15</v>
      </c>
      <c r="B7" s="32" t="s">
        <v>96</v>
      </c>
      <c r="C7" s="70">
        <v>21000000</v>
      </c>
      <c r="D7" s="32" t="s">
        <v>32</v>
      </c>
      <c r="E7" s="41">
        <v>46049.625</v>
      </c>
      <c r="F7" s="38">
        <v>8272.2000000000007</v>
      </c>
      <c r="G7" s="39"/>
      <c r="H7" s="88"/>
      <c r="I7" s="34"/>
      <c r="J7" s="73"/>
      <c r="K7" s="34"/>
      <c r="L7" s="36"/>
      <c r="M7" s="37"/>
      <c r="N7" s="33"/>
      <c r="O7" s="35"/>
      <c r="P7" s="115"/>
      <c r="Q7" s="35" t="s">
        <v>144</v>
      </c>
      <c r="R7" s="41"/>
      <c r="T7" s="20">
        <v>1294520.55</v>
      </c>
      <c r="AA7" s="4">
        <v>2.1000000000000001E-2</v>
      </c>
      <c r="AB7" s="21">
        <v>-7.4075000000000002E-2</v>
      </c>
      <c r="AC7" s="4">
        <v>0.17</v>
      </c>
      <c r="AD7" s="19">
        <v>1294520.55</v>
      </c>
      <c r="AE7" s="17">
        <v>8272.2000000000007</v>
      </c>
      <c r="AF7" s="1">
        <v>46049.625</v>
      </c>
      <c r="AG7" s="18">
        <v>0.65</v>
      </c>
      <c r="AH7" s="18"/>
      <c r="AI7" t="b">
        <v>1</v>
      </c>
      <c r="AJ7" s="2">
        <v>1</v>
      </c>
      <c r="AK7" s="2">
        <v>1</v>
      </c>
      <c r="AL7" t="b">
        <v>0</v>
      </c>
      <c r="AM7" s="4">
        <v>0.05</v>
      </c>
      <c r="AN7" s="2">
        <v>1</v>
      </c>
      <c r="AO7" s="2">
        <v>1</v>
      </c>
      <c r="AP7" s="6"/>
      <c r="AQ7" s="3">
        <v>46139</v>
      </c>
      <c r="AR7" s="3">
        <v>46169</v>
      </c>
      <c r="AS7" s="3">
        <v>46202</v>
      </c>
      <c r="AT7" s="3">
        <v>46230</v>
      </c>
      <c r="AU7" s="3">
        <v>46261</v>
      </c>
      <c r="AV7" s="3">
        <v>46293</v>
      </c>
      <c r="AW7" s="3">
        <v>46322</v>
      </c>
      <c r="AX7" s="3">
        <v>46353</v>
      </c>
      <c r="AY7" s="3">
        <v>46384</v>
      </c>
      <c r="AZ7" s="3">
        <v>46414</v>
      </c>
      <c r="BA7" s="3">
        <v>46444</v>
      </c>
      <c r="BB7" s="3">
        <v>46475</v>
      </c>
      <c r="BC7" s="3">
        <v>46504</v>
      </c>
      <c r="BD7" s="3">
        <v>46534</v>
      </c>
      <c r="BE7" s="3">
        <v>46566</v>
      </c>
      <c r="BF7" s="3">
        <v>46595</v>
      </c>
      <c r="BG7" s="3">
        <v>46626</v>
      </c>
      <c r="BH7" s="3">
        <v>46657</v>
      </c>
      <c r="BI7" s="3">
        <v>46687</v>
      </c>
      <c r="BJ7" s="3">
        <v>46720</v>
      </c>
      <c r="BK7" s="3">
        <v>46748</v>
      </c>
      <c r="BL7" s="3">
        <v>46776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0.25</v>
      </c>
      <c r="CJ7" s="4">
        <v>0.25</v>
      </c>
      <c r="CK7" s="4">
        <v>0.25</v>
      </c>
      <c r="CL7" s="4">
        <v>0.25</v>
      </c>
      <c r="CM7" s="4">
        <v>0.25</v>
      </c>
      <c r="CN7" s="4">
        <v>0.25</v>
      </c>
      <c r="CO7" s="4">
        <v>0.25</v>
      </c>
      <c r="CP7" s="4">
        <v>0.25</v>
      </c>
      <c r="CQ7" s="4">
        <v>0.25</v>
      </c>
      <c r="CR7" s="4">
        <v>0.25</v>
      </c>
      <c r="CS7" s="4">
        <v>0.05</v>
      </c>
      <c r="CT7" s="4">
        <v>0.05</v>
      </c>
      <c r="CU7" s="4">
        <v>0.05</v>
      </c>
      <c r="CV7" s="4">
        <v>0.05</v>
      </c>
      <c r="CW7" s="4">
        <v>0.05</v>
      </c>
      <c r="CX7" s="4">
        <v>0.05</v>
      </c>
      <c r="CY7" s="4">
        <v>0.05</v>
      </c>
      <c r="CZ7" s="4">
        <v>0.05</v>
      </c>
      <c r="DA7" s="4">
        <v>0.05</v>
      </c>
      <c r="DB7" s="4">
        <v>0.05</v>
      </c>
      <c r="DC7" s="4">
        <v>0.05</v>
      </c>
      <c r="DD7" s="4">
        <v>0.05</v>
      </c>
    </row>
    <row r="8" spans="1:135" x14ac:dyDescent="0.4">
      <c r="A8" s="32">
        <v>12</v>
      </c>
      <c r="C8" s="31">
        <v>22000000</v>
      </c>
      <c r="D8" s="32" t="s">
        <v>32</v>
      </c>
      <c r="E8" s="41">
        <v>46021.625</v>
      </c>
      <c r="F8" s="38">
        <v>7597.3</v>
      </c>
      <c r="G8" s="39"/>
      <c r="H8" s="39"/>
      <c r="I8" s="36"/>
      <c r="J8" s="37"/>
      <c r="K8" s="33"/>
      <c r="L8" s="34"/>
      <c r="M8" s="35"/>
      <c r="N8" s="34"/>
      <c r="O8" s="35"/>
      <c r="P8" s="35"/>
      <c r="Q8" s="35" t="s">
        <v>95</v>
      </c>
      <c r="R8" s="41"/>
      <c r="T8" s="20">
        <v>1535780.8219178109</v>
      </c>
      <c r="AA8" s="4">
        <v>2.1000000000000001E-2</v>
      </c>
      <c r="AB8" s="21">
        <v>-7.7410000000000007E-2</v>
      </c>
      <c r="AC8" s="4">
        <v>0.17499999999999999</v>
      </c>
      <c r="AD8" s="19">
        <v>1535780.8219178109</v>
      </c>
      <c r="AE8" s="17">
        <v>7597.3</v>
      </c>
      <c r="AF8" s="1">
        <v>46021.625</v>
      </c>
      <c r="AG8" s="18">
        <v>0.65</v>
      </c>
      <c r="AH8" s="18"/>
      <c r="AI8" t="b">
        <v>1</v>
      </c>
      <c r="AJ8" s="2">
        <v>1</v>
      </c>
      <c r="AK8" s="2">
        <v>1</v>
      </c>
      <c r="AL8" t="b">
        <v>0</v>
      </c>
      <c r="AM8" s="4">
        <v>0.05</v>
      </c>
      <c r="AN8" s="2">
        <v>1</v>
      </c>
      <c r="AO8" s="2">
        <v>1</v>
      </c>
      <c r="AP8" s="6"/>
      <c r="AQ8" s="3">
        <v>46111</v>
      </c>
      <c r="AR8" s="3">
        <v>46142</v>
      </c>
      <c r="AS8" s="3">
        <v>46171</v>
      </c>
      <c r="AT8" s="3">
        <v>46203</v>
      </c>
      <c r="AU8" s="3">
        <v>46233</v>
      </c>
      <c r="AV8" s="3">
        <v>46265</v>
      </c>
      <c r="AW8" s="3">
        <v>46295</v>
      </c>
      <c r="AX8" s="3">
        <v>46325</v>
      </c>
      <c r="AY8" s="3">
        <v>46356</v>
      </c>
      <c r="AZ8" s="3">
        <v>46386</v>
      </c>
      <c r="BA8" s="3">
        <v>46416</v>
      </c>
      <c r="BB8" s="3">
        <v>46444</v>
      </c>
      <c r="BC8" s="3">
        <v>46476</v>
      </c>
      <c r="BD8" s="3">
        <v>46507</v>
      </c>
      <c r="BE8" s="3">
        <v>46538</v>
      </c>
      <c r="BF8" s="3">
        <v>46568</v>
      </c>
      <c r="BG8" s="3">
        <v>46598</v>
      </c>
      <c r="BH8" s="3">
        <v>46629</v>
      </c>
      <c r="BI8" s="3">
        <v>46660</v>
      </c>
      <c r="BJ8" s="3">
        <v>46689</v>
      </c>
      <c r="BK8" s="3">
        <v>46721</v>
      </c>
      <c r="BL8" s="3">
        <v>46751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0.28000000000000003</v>
      </c>
      <c r="CJ8" s="4">
        <v>0.28000000000000003</v>
      </c>
      <c r="CK8" s="4">
        <v>0.28000000000000003</v>
      </c>
      <c r="CL8" s="4">
        <v>0.28000000000000003</v>
      </c>
      <c r="CM8" s="4">
        <v>0.28000000000000003</v>
      </c>
      <c r="CN8" s="4">
        <v>0.28000000000000003</v>
      </c>
      <c r="CO8" s="4">
        <v>0.28000000000000003</v>
      </c>
      <c r="CP8" s="4">
        <v>0.28000000000000003</v>
      </c>
      <c r="CQ8" s="4">
        <v>0.28000000000000003</v>
      </c>
      <c r="CR8" s="4">
        <v>0.28000000000000003</v>
      </c>
      <c r="CS8" s="4">
        <v>0.05</v>
      </c>
      <c r="CT8" s="4">
        <v>0.05</v>
      </c>
      <c r="CU8" s="4">
        <v>0.05</v>
      </c>
      <c r="CV8" s="4">
        <v>0.05</v>
      </c>
      <c r="CW8" s="4">
        <v>0.05</v>
      </c>
      <c r="CX8" s="4">
        <v>0.05</v>
      </c>
      <c r="CY8" s="4">
        <v>0.05</v>
      </c>
      <c r="CZ8" s="4">
        <v>0.05</v>
      </c>
      <c r="DA8" s="4">
        <v>0.05</v>
      </c>
      <c r="DB8" s="4">
        <v>0.05</v>
      </c>
      <c r="DC8" s="4">
        <v>0.05</v>
      </c>
      <c r="DD8" s="4">
        <v>0.05</v>
      </c>
    </row>
    <row r="9" spans="1:135" x14ac:dyDescent="0.4">
      <c r="A9">
        <v>11</v>
      </c>
      <c r="C9" s="20">
        <v>10000000</v>
      </c>
      <c r="D9" t="s">
        <v>32</v>
      </c>
      <c r="E9" s="6"/>
      <c r="F9" s="19">
        <v>7579.38</v>
      </c>
      <c r="J9" s="5"/>
      <c r="K9" s="3"/>
      <c r="L9" s="4"/>
      <c r="M9" s="6"/>
      <c r="N9" s="4"/>
      <c r="O9" s="6"/>
      <c r="P9" s="6"/>
      <c r="Q9" s="6" t="s">
        <v>71</v>
      </c>
      <c r="R9" s="1"/>
      <c r="T9" s="20">
        <v>552328.77</v>
      </c>
      <c r="AA9" s="4">
        <v>2.1000000000000001E-2</v>
      </c>
      <c r="AB9" s="21">
        <v>-7.571E-2</v>
      </c>
      <c r="AC9" s="4">
        <v>0.17499999999999999</v>
      </c>
      <c r="AD9" s="20">
        <v>552328.77</v>
      </c>
      <c r="AE9" s="17">
        <v>7579.38</v>
      </c>
      <c r="AF9" s="1">
        <v>46016.625</v>
      </c>
      <c r="AG9" s="18">
        <v>0.7</v>
      </c>
      <c r="AH9" s="18"/>
      <c r="AI9" t="b">
        <v>1</v>
      </c>
      <c r="AJ9" s="2">
        <v>1</v>
      </c>
      <c r="AK9" s="2">
        <v>1</v>
      </c>
      <c r="AL9" t="b">
        <v>0</v>
      </c>
      <c r="AM9" s="2">
        <v>0.1</v>
      </c>
      <c r="AN9" s="2">
        <v>1</v>
      </c>
      <c r="AO9" s="2">
        <v>1</v>
      </c>
      <c r="AP9" s="6"/>
      <c r="AQ9" s="3">
        <v>46078</v>
      </c>
      <c r="AR9" s="3">
        <v>46106</v>
      </c>
      <c r="AS9" s="3">
        <v>46139</v>
      </c>
      <c r="AT9" s="3">
        <v>46167</v>
      </c>
      <c r="AU9" s="3">
        <v>46198</v>
      </c>
      <c r="AV9" s="3">
        <v>46230</v>
      </c>
      <c r="AW9" s="3">
        <v>46259</v>
      </c>
      <c r="AX9" s="3">
        <v>46293</v>
      </c>
      <c r="AY9" s="3">
        <v>46321</v>
      </c>
      <c r="AZ9" s="3">
        <v>46351</v>
      </c>
      <c r="BA9" s="3">
        <v>46381</v>
      </c>
      <c r="BB9" s="3">
        <v>46412</v>
      </c>
      <c r="BC9" s="3">
        <v>46443</v>
      </c>
      <c r="BD9" s="3">
        <v>46471</v>
      </c>
      <c r="BE9" s="3">
        <v>46503</v>
      </c>
      <c r="BF9" s="3">
        <v>46532</v>
      </c>
      <c r="BG9" s="3">
        <v>46563</v>
      </c>
      <c r="BH9" s="3">
        <v>46594</v>
      </c>
      <c r="BI9" s="3">
        <v>46624</v>
      </c>
      <c r="BJ9" s="3">
        <v>46657</v>
      </c>
      <c r="BK9" s="3">
        <v>46685</v>
      </c>
      <c r="BL9" s="3">
        <v>46716</v>
      </c>
      <c r="BM9" s="3">
        <v>46748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14">
        <v>0.32</v>
      </c>
      <c r="CL9" s="14">
        <v>0.32</v>
      </c>
      <c r="CM9" s="14">
        <v>0.32</v>
      </c>
      <c r="CN9" s="14">
        <v>0.32</v>
      </c>
      <c r="CO9" s="14">
        <v>0.32</v>
      </c>
      <c r="CP9" s="14">
        <v>0.32</v>
      </c>
      <c r="CQ9" s="14">
        <v>0.32</v>
      </c>
      <c r="CR9" s="14">
        <v>0.32</v>
      </c>
      <c r="CS9" s="14">
        <v>0.32</v>
      </c>
      <c r="CT9" s="14">
        <v>0.32</v>
      </c>
      <c r="CU9" s="14">
        <v>0.32</v>
      </c>
      <c r="CV9" s="14">
        <v>0.1</v>
      </c>
      <c r="CW9" s="14">
        <v>0.1</v>
      </c>
      <c r="CX9" s="14">
        <v>0.1</v>
      </c>
      <c r="CY9" s="14">
        <v>0.1</v>
      </c>
      <c r="CZ9" s="14">
        <v>0.1</v>
      </c>
      <c r="DA9" s="14">
        <v>0.1</v>
      </c>
      <c r="DB9" s="14">
        <v>0.1</v>
      </c>
      <c r="DC9" s="14">
        <v>0.1</v>
      </c>
      <c r="DD9" s="14">
        <v>0.1</v>
      </c>
      <c r="DE9" s="14">
        <v>0.1</v>
      </c>
      <c r="DF9" s="14">
        <v>0.1</v>
      </c>
      <c r="DG9" s="14">
        <v>0.1</v>
      </c>
    </row>
    <row r="10" spans="1:135" x14ac:dyDescent="0.4">
      <c r="A10">
        <v>10</v>
      </c>
      <c r="C10" s="20">
        <v>10000000</v>
      </c>
      <c r="D10" t="s">
        <v>10</v>
      </c>
      <c r="E10" s="6"/>
      <c r="F10" s="19">
        <v>7235.46</v>
      </c>
      <c r="J10" s="5"/>
      <c r="K10" s="3"/>
      <c r="L10" s="4"/>
      <c r="M10" s="6"/>
      <c r="N10" s="4"/>
      <c r="O10" s="6"/>
      <c r="P10" s="6"/>
      <c r="Q10" s="6" t="s">
        <v>70</v>
      </c>
      <c r="R10" s="1"/>
      <c r="T10" s="20">
        <v>997830.13698630198</v>
      </c>
      <c r="AA10" s="4">
        <v>2.1000000000000001E-2</v>
      </c>
      <c r="AB10" s="21">
        <v>-6.5040000000000001E-2</v>
      </c>
      <c r="AC10" s="4">
        <v>0.16</v>
      </c>
      <c r="AD10" s="19">
        <v>997830.13698630198</v>
      </c>
      <c r="AE10" s="17">
        <v>7235.46</v>
      </c>
      <c r="AF10" s="1">
        <v>45975.625</v>
      </c>
      <c r="AG10" s="18">
        <v>0.75</v>
      </c>
      <c r="AH10" s="18"/>
      <c r="AI10" t="b">
        <v>1</v>
      </c>
      <c r="AJ10" s="2">
        <v>1</v>
      </c>
      <c r="AK10" s="2">
        <v>1</v>
      </c>
      <c r="AL10" s="2" t="b">
        <v>0</v>
      </c>
      <c r="AM10" s="2">
        <v>0.05</v>
      </c>
      <c r="AN10" s="2">
        <v>1</v>
      </c>
      <c r="AO10" s="2">
        <v>1</v>
      </c>
      <c r="AP10" s="6"/>
      <c r="AQ10" s="3">
        <v>46077</v>
      </c>
      <c r="AR10" s="3">
        <v>46097</v>
      </c>
      <c r="AS10" s="3">
        <v>46126</v>
      </c>
      <c r="AT10" s="3">
        <v>46156</v>
      </c>
      <c r="AU10" s="3">
        <v>46188</v>
      </c>
      <c r="AV10" s="3">
        <v>46217</v>
      </c>
      <c r="AW10" s="3">
        <v>46248</v>
      </c>
      <c r="AX10" s="3">
        <v>46279</v>
      </c>
      <c r="AY10" s="3">
        <v>46309</v>
      </c>
      <c r="AZ10" s="3">
        <v>46342</v>
      </c>
      <c r="BA10" s="3">
        <v>46370</v>
      </c>
      <c r="BB10" s="3">
        <v>46401</v>
      </c>
      <c r="BC10" s="3">
        <v>46433</v>
      </c>
      <c r="BD10" s="3">
        <v>46461</v>
      </c>
      <c r="BE10" s="3">
        <v>46491</v>
      </c>
      <c r="BF10" s="3">
        <v>46521</v>
      </c>
      <c r="BG10" s="3">
        <v>46552</v>
      </c>
      <c r="BH10" s="3">
        <v>46582</v>
      </c>
      <c r="BI10" s="3">
        <v>46615</v>
      </c>
      <c r="BJ10" s="3">
        <v>46644</v>
      </c>
      <c r="BK10" s="3">
        <v>46674</v>
      </c>
      <c r="BL10" s="3">
        <v>46706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0.35360000000000003</v>
      </c>
      <c r="CJ10" s="4">
        <v>0.35360000000000003</v>
      </c>
      <c r="CK10" s="4">
        <v>0.35360000000000003</v>
      </c>
      <c r="CL10" s="4">
        <v>0.35360000000000003</v>
      </c>
      <c r="CM10" s="4">
        <v>0.35360000000000003</v>
      </c>
      <c r="CN10" s="4">
        <v>0.35360000000000003</v>
      </c>
      <c r="CO10" s="4">
        <v>0.35360000000000003</v>
      </c>
      <c r="CP10" s="4">
        <v>0.35360000000000003</v>
      </c>
      <c r="CQ10" s="4">
        <v>0.35360000000000003</v>
      </c>
      <c r="CR10" s="4">
        <v>0.35360000000000003</v>
      </c>
      <c r="CS10" s="4">
        <v>0.05</v>
      </c>
      <c r="CT10" s="4">
        <v>0.05</v>
      </c>
      <c r="CU10" s="4">
        <v>0.05</v>
      </c>
      <c r="CV10" s="4">
        <v>0.05</v>
      </c>
      <c r="CW10" s="4">
        <v>0.05</v>
      </c>
      <c r="CX10" s="4">
        <v>0.05</v>
      </c>
      <c r="CY10" s="4">
        <v>0.05</v>
      </c>
      <c r="CZ10" s="4">
        <v>0.05</v>
      </c>
      <c r="DA10" s="4">
        <v>0.05</v>
      </c>
      <c r="DB10" s="4">
        <v>0.05</v>
      </c>
      <c r="DC10" s="4">
        <v>0.05</v>
      </c>
      <c r="DD10" s="4">
        <v>0.05</v>
      </c>
    </row>
    <row r="11" spans="1:135" x14ac:dyDescent="0.4">
      <c r="A11">
        <v>9</v>
      </c>
      <c r="C11" s="20">
        <v>10000000</v>
      </c>
      <c r="D11" t="s">
        <v>10</v>
      </c>
      <c r="E11" s="6"/>
      <c r="F11" s="19">
        <v>7248.9</v>
      </c>
      <c r="J11" s="5"/>
      <c r="K11" s="3"/>
      <c r="L11" s="4"/>
      <c r="M11" s="6"/>
      <c r="N11" s="4"/>
      <c r="O11" s="6"/>
      <c r="P11" s="6"/>
      <c r="Q11" s="6" t="s">
        <v>69</v>
      </c>
      <c r="R11" s="1"/>
      <c r="T11" s="20">
        <v>924904.11</v>
      </c>
      <c r="AA11" s="4">
        <v>2.1000000000000001E-2</v>
      </c>
      <c r="AB11" s="21">
        <v>-6.087E-2</v>
      </c>
      <c r="AC11" s="4">
        <v>0.16500000000000001</v>
      </c>
      <c r="AD11" s="19">
        <v>924904.11</v>
      </c>
      <c r="AE11" s="17">
        <v>7248.9</v>
      </c>
      <c r="AF11" s="7">
        <v>45964.625</v>
      </c>
      <c r="AG11" s="18">
        <v>0.75</v>
      </c>
      <c r="AH11" s="18"/>
      <c r="AI11" t="b">
        <v>1</v>
      </c>
      <c r="AJ11" s="2">
        <v>1</v>
      </c>
      <c r="AK11" s="2">
        <v>1</v>
      </c>
      <c r="AL11" t="b">
        <v>0</v>
      </c>
      <c r="AM11" s="2">
        <v>0.05</v>
      </c>
      <c r="AN11" s="2">
        <v>1</v>
      </c>
      <c r="AO11" s="2">
        <v>1</v>
      </c>
      <c r="AP11" s="6"/>
      <c r="AQ11" s="3">
        <v>46056</v>
      </c>
      <c r="AR11" s="3">
        <v>46084</v>
      </c>
      <c r="AS11" s="3">
        <v>46115</v>
      </c>
      <c r="AT11" s="3">
        <v>46148</v>
      </c>
      <c r="AU11" s="3">
        <v>46176</v>
      </c>
      <c r="AV11" s="3">
        <v>46206</v>
      </c>
      <c r="AW11" s="3">
        <v>46237</v>
      </c>
      <c r="AX11" s="3">
        <v>46268</v>
      </c>
      <c r="AY11" s="3">
        <v>46303</v>
      </c>
      <c r="AZ11" s="3">
        <v>46329</v>
      </c>
      <c r="BA11" s="3">
        <v>46359</v>
      </c>
      <c r="BB11" s="3">
        <v>46391</v>
      </c>
      <c r="BC11" s="3">
        <v>46421</v>
      </c>
      <c r="BD11" s="3">
        <v>46449</v>
      </c>
      <c r="BE11" s="3">
        <v>46483</v>
      </c>
      <c r="BF11" s="3">
        <v>46513</v>
      </c>
      <c r="BG11" s="3">
        <v>46541</v>
      </c>
      <c r="BH11" s="3">
        <v>46573</v>
      </c>
      <c r="BI11" s="3">
        <v>46602</v>
      </c>
      <c r="BJ11" s="3">
        <v>46633</v>
      </c>
      <c r="BK11" s="3">
        <v>46668</v>
      </c>
      <c r="BL11" s="3">
        <v>46694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0.36299999999999999</v>
      </c>
      <c r="CJ11" s="4">
        <v>0.36299999999999999</v>
      </c>
      <c r="CK11" s="4">
        <v>0.36299999999999999</v>
      </c>
      <c r="CL11" s="4">
        <v>0.36299999999999999</v>
      </c>
      <c r="CM11" s="4">
        <v>0.36299999999999999</v>
      </c>
      <c r="CN11" s="4">
        <v>0.36299999999999999</v>
      </c>
      <c r="CO11" s="4">
        <v>0.36299999999999999</v>
      </c>
      <c r="CP11" s="4">
        <v>0.36299999999999999</v>
      </c>
      <c r="CQ11" s="4">
        <v>0.36299999999999999</v>
      </c>
      <c r="CR11" s="4">
        <v>0.36299999999999999</v>
      </c>
      <c r="CS11" s="4">
        <v>0.05</v>
      </c>
      <c r="CT11" s="4">
        <v>0.05</v>
      </c>
      <c r="CU11" s="4">
        <v>0.05</v>
      </c>
      <c r="CV11" s="4">
        <v>0.05</v>
      </c>
      <c r="CW11" s="4">
        <v>0.05</v>
      </c>
      <c r="CX11" s="4">
        <v>0.05</v>
      </c>
      <c r="CY11" s="4">
        <v>0.05</v>
      </c>
      <c r="CZ11" s="4">
        <v>0.05</v>
      </c>
      <c r="DA11" s="4">
        <v>0.05</v>
      </c>
      <c r="DB11" s="4">
        <v>0.05</v>
      </c>
      <c r="DC11" s="4">
        <v>0.05</v>
      </c>
      <c r="DD11" s="4">
        <v>0.05</v>
      </c>
    </row>
    <row r="12" spans="1:135" x14ac:dyDescent="0.4">
      <c r="A12">
        <v>8</v>
      </c>
      <c r="C12" s="20">
        <v>10000000</v>
      </c>
      <c r="D12" t="s">
        <v>32</v>
      </c>
      <c r="E12" s="6"/>
      <c r="F12" s="19">
        <v>7550.41</v>
      </c>
      <c r="J12" s="5"/>
      <c r="K12" s="3"/>
      <c r="L12" s="4"/>
      <c r="M12" s="6"/>
      <c r="N12" s="4"/>
      <c r="O12" s="6"/>
      <c r="P12" s="6"/>
      <c r="Q12" s="6" t="s">
        <v>68</v>
      </c>
      <c r="R12" s="1"/>
      <c r="T12" s="20">
        <v>930000</v>
      </c>
      <c r="AA12" s="4">
        <v>2.1000000000000001E-2</v>
      </c>
      <c r="AB12" s="21">
        <v>-8.4970000000000004E-2</v>
      </c>
      <c r="AC12" s="4">
        <v>0.18</v>
      </c>
      <c r="AD12" s="19">
        <v>930000</v>
      </c>
      <c r="AE12" s="17">
        <v>7550.41</v>
      </c>
      <c r="AF12" s="7">
        <v>45960.625</v>
      </c>
      <c r="AG12" s="18">
        <v>0.7</v>
      </c>
      <c r="AH12" s="18"/>
      <c r="AI12" t="b">
        <v>1</v>
      </c>
      <c r="AJ12" s="2">
        <v>1</v>
      </c>
      <c r="AK12" s="2">
        <v>1</v>
      </c>
      <c r="AL12" t="b">
        <v>0</v>
      </c>
      <c r="AM12" s="2">
        <v>0.05</v>
      </c>
      <c r="AN12" s="2">
        <v>1</v>
      </c>
      <c r="AO12" s="2">
        <v>1</v>
      </c>
      <c r="AP12" s="6"/>
      <c r="AQ12" s="3">
        <v>46052</v>
      </c>
      <c r="AR12" s="3">
        <v>46080</v>
      </c>
      <c r="AS12" s="3">
        <v>46111</v>
      </c>
      <c r="AT12" s="3">
        <v>46142</v>
      </c>
      <c r="AU12" s="3">
        <v>46171</v>
      </c>
      <c r="AV12" s="3">
        <v>46203</v>
      </c>
      <c r="AW12" s="3">
        <v>46233</v>
      </c>
      <c r="AX12" s="3">
        <v>46265</v>
      </c>
      <c r="AY12" s="3">
        <v>46295</v>
      </c>
      <c r="AZ12" s="3">
        <v>46325</v>
      </c>
      <c r="BA12" s="3">
        <v>46356</v>
      </c>
      <c r="BB12" s="3">
        <v>46386</v>
      </c>
      <c r="BC12" s="3">
        <v>46416</v>
      </c>
      <c r="BD12" s="3">
        <v>46444</v>
      </c>
      <c r="BE12" s="3">
        <v>46476</v>
      </c>
      <c r="BF12" s="3">
        <v>46507</v>
      </c>
      <c r="BG12" s="3">
        <v>46538</v>
      </c>
      <c r="BH12" s="3">
        <v>46568</v>
      </c>
      <c r="BI12" s="3">
        <v>46598</v>
      </c>
      <c r="BJ12" s="3">
        <v>46629</v>
      </c>
      <c r="BK12" s="3">
        <v>46660</v>
      </c>
      <c r="BL12" s="3">
        <v>46689</v>
      </c>
      <c r="BM12" s="4">
        <v>1</v>
      </c>
      <c r="BN12" s="4">
        <v>0.995</v>
      </c>
      <c r="BO12" s="4">
        <v>0.99</v>
      </c>
      <c r="BP12" s="4">
        <v>0.98499999999999999</v>
      </c>
      <c r="BQ12" s="4">
        <v>0.98</v>
      </c>
      <c r="BR12" s="4">
        <v>0.97499999999999998</v>
      </c>
      <c r="BS12" s="4">
        <v>0.97</v>
      </c>
      <c r="BT12" s="4">
        <v>0.96499999999999997</v>
      </c>
      <c r="BU12" s="4">
        <v>0.96</v>
      </c>
      <c r="BV12" s="4">
        <v>0.95499999999999996</v>
      </c>
      <c r="BW12" s="4">
        <v>0.95</v>
      </c>
      <c r="BX12" s="4">
        <v>0.94499999999999995</v>
      </c>
      <c r="BY12" s="4">
        <v>0.94</v>
      </c>
      <c r="BZ12" s="4">
        <v>0.93500000000000005</v>
      </c>
      <c r="CA12" s="4">
        <v>0.92999999999999994</v>
      </c>
      <c r="CB12" s="4">
        <v>0.92500000000000004</v>
      </c>
      <c r="CC12" s="4">
        <v>0.92</v>
      </c>
      <c r="CD12" s="4">
        <v>0.91500000000000004</v>
      </c>
      <c r="CE12" s="4">
        <v>0.91</v>
      </c>
      <c r="CF12" s="4">
        <v>0.90500000000000003</v>
      </c>
      <c r="CG12" s="4">
        <v>0.9</v>
      </c>
      <c r="CH12" s="4">
        <v>0.89500000000000002</v>
      </c>
      <c r="CI12" s="4">
        <v>0.36499999999999999</v>
      </c>
      <c r="CJ12" s="4">
        <v>0.36499999999999999</v>
      </c>
      <c r="CK12" s="4">
        <v>0.36499999999999999</v>
      </c>
      <c r="CL12" s="4">
        <v>0.36499999999999999</v>
      </c>
      <c r="CM12" s="4">
        <v>0.36499999999999999</v>
      </c>
      <c r="CN12" s="4">
        <v>0.36499999999999999</v>
      </c>
      <c r="CO12" s="4">
        <v>0.36499999999999999</v>
      </c>
      <c r="CP12" s="4">
        <v>0.36499999999999999</v>
      </c>
      <c r="CQ12" s="4">
        <v>0.36499999999999999</v>
      </c>
      <c r="CR12" s="4">
        <v>0.36499999999999999</v>
      </c>
      <c r="CS12" s="4">
        <v>0.05</v>
      </c>
      <c r="CT12" s="4">
        <v>0.05</v>
      </c>
      <c r="CU12" s="4">
        <v>0.05</v>
      </c>
      <c r="CV12" s="4">
        <v>0.05</v>
      </c>
      <c r="CW12" s="4">
        <v>0.05</v>
      </c>
      <c r="CX12" s="4">
        <v>0.05</v>
      </c>
      <c r="CY12" s="4">
        <v>0.05</v>
      </c>
      <c r="CZ12" s="4">
        <v>0.05</v>
      </c>
      <c r="DA12" s="4">
        <v>0.05</v>
      </c>
      <c r="DB12" s="4">
        <v>0.05</v>
      </c>
      <c r="DC12" s="4">
        <v>0.05</v>
      </c>
      <c r="DD12" s="4">
        <v>0.05</v>
      </c>
    </row>
    <row r="13" spans="1:135" x14ac:dyDescent="0.4">
      <c r="A13">
        <v>7</v>
      </c>
      <c r="C13" s="6">
        <v>10000000</v>
      </c>
      <c r="D13" t="s">
        <v>32</v>
      </c>
      <c r="E13" s="6"/>
      <c r="F13" s="19">
        <v>7209.61</v>
      </c>
      <c r="J13" s="5"/>
      <c r="K13" s="3"/>
      <c r="L13" s="4"/>
      <c r="M13" s="6"/>
      <c r="N13" s="4"/>
      <c r="O13" s="6"/>
      <c r="P13" s="6"/>
      <c r="Q13" s="6" t="s">
        <v>57</v>
      </c>
      <c r="R13" s="3"/>
      <c r="T13" s="6">
        <v>751134.24657534249</v>
      </c>
      <c r="AA13" s="4">
        <v>2.1000000000000001E-2</v>
      </c>
      <c r="AB13" s="4">
        <v>-7.2499999999999995E-2</v>
      </c>
      <c r="AC13" s="4">
        <v>0.17</v>
      </c>
      <c r="AD13" s="8">
        <v>751134.25</v>
      </c>
      <c r="AE13" s="17">
        <v>7209.61</v>
      </c>
      <c r="AF13" s="7">
        <v>45953.625</v>
      </c>
      <c r="AG13" s="18">
        <v>0.7</v>
      </c>
      <c r="AH13" s="18"/>
      <c r="AI13" t="b">
        <v>1</v>
      </c>
      <c r="AJ13" s="2">
        <v>1</v>
      </c>
      <c r="AK13" s="2">
        <v>1</v>
      </c>
      <c r="AL13" t="b">
        <v>0</v>
      </c>
      <c r="AM13" s="2">
        <v>0.05</v>
      </c>
      <c r="AN13" s="2">
        <v>1</v>
      </c>
      <c r="AO13" s="2">
        <v>1</v>
      </c>
      <c r="AP13" s="6"/>
      <c r="AQ13" s="3">
        <v>46045</v>
      </c>
      <c r="AR13" s="3">
        <v>46077</v>
      </c>
      <c r="AS13" s="3">
        <v>46104</v>
      </c>
      <c r="AT13" s="3">
        <v>46135</v>
      </c>
      <c r="AU13" s="3">
        <v>46167</v>
      </c>
      <c r="AV13" s="3">
        <v>46196</v>
      </c>
      <c r="AW13" s="3">
        <v>46226</v>
      </c>
      <c r="AX13" s="3">
        <v>46258</v>
      </c>
      <c r="AY13" s="3">
        <v>46288</v>
      </c>
      <c r="AZ13" s="3">
        <v>46318</v>
      </c>
      <c r="BA13" s="3">
        <v>46349</v>
      </c>
      <c r="BB13" s="3">
        <v>46379</v>
      </c>
      <c r="BC13" s="3">
        <v>46412</v>
      </c>
      <c r="BD13" s="3">
        <v>46441</v>
      </c>
      <c r="BE13" s="3">
        <v>46469</v>
      </c>
      <c r="BF13" s="3">
        <v>46500</v>
      </c>
      <c r="BG13" s="3">
        <v>46531</v>
      </c>
      <c r="BH13" s="3">
        <v>46561</v>
      </c>
      <c r="BI13" s="3">
        <v>46591</v>
      </c>
      <c r="BJ13" s="3">
        <v>46622</v>
      </c>
      <c r="BK13" s="3">
        <v>46653</v>
      </c>
      <c r="BL13" s="3">
        <v>46685</v>
      </c>
      <c r="BM13" s="4">
        <v>1</v>
      </c>
      <c r="BN13" s="4">
        <v>0.995</v>
      </c>
      <c r="BO13" s="4">
        <v>0.99</v>
      </c>
      <c r="BP13" s="4">
        <v>0.98499999999999999</v>
      </c>
      <c r="BQ13" s="4">
        <v>0.98</v>
      </c>
      <c r="BR13" s="4">
        <v>0.97499999999999998</v>
      </c>
      <c r="BS13" s="4">
        <v>0.97</v>
      </c>
      <c r="BT13" s="4">
        <v>0.96499999999999997</v>
      </c>
      <c r="BU13" s="4">
        <v>0.96</v>
      </c>
      <c r="BV13" s="4">
        <v>0.95499999999999996</v>
      </c>
      <c r="BW13" s="4">
        <v>0.95</v>
      </c>
      <c r="BX13" s="4">
        <v>0.94499999999999995</v>
      </c>
      <c r="BY13" s="4">
        <v>0.94</v>
      </c>
      <c r="BZ13" s="4">
        <v>0.93500000000000005</v>
      </c>
      <c r="CA13" s="4">
        <v>0.92999999999999994</v>
      </c>
      <c r="CB13" s="4">
        <v>0.92500000000000004</v>
      </c>
      <c r="CC13" s="4">
        <v>0.92</v>
      </c>
      <c r="CD13" s="4">
        <v>0.91500000000000004</v>
      </c>
      <c r="CE13" s="4">
        <v>0.91</v>
      </c>
      <c r="CF13" s="4">
        <v>0.90500000000000003</v>
      </c>
      <c r="CG13" s="4">
        <v>0.9</v>
      </c>
      <c r="CH13" s="4">
        <v>0.89500000000000002</v>
      </c>
      <c r="CI13" s="4">
        <v>0.29480000000000001</v>
      </c>
      <c r="CJ13" s="4">
        <v>0.29480000000000001</v>
      </c>
      <c r="CK13" s="4">
        <v>0.29480000000000001</v>
      </c>
      <c r="CL13" s="4">
        <v>0.29480000000000001</v>
      </c>
      <c r="CM13" s="4">
        <v>0.29480000000000001</v>
      </c>
      <c r="CN13" s="4">
        <v>0.29480000000000001</v>
      </c>
      <c r="CO13" s="4">
        <v>0.29480000000000001</v>
      </c>
      <c r="CP13" s="4">
        <v>0.29480000000000001</v>
      </c>
      <c r="CQ13" s="4">
        <v>0.29480000000000001</v>
      </c>
      <c r="CR13" s="4">
        <v>0.29480000000000001</v>
      </c>
      <c r="CS13" s="4">
        <v>0.05</v>
      </c>
      <c r="CT13" s="4">
        <v>0.05</v>
      </c>
      <c r="CU13" s="4">
        <v>0.05</v>
      </c>
      <c r="CV13" s="4">
        <v>0.05</v>
      </c>
      <c r="CW13" s="4">
        <v>0.05</v>
      </c>
      <c r="CX13" s="4">
        <v>0.05</v>
      </c>
      <c r="CY13" s="4">
        <v>0.05</v>
      </c>
      <c r="CZ13" s="4">
        <v>0.05</v>
      </c>
      <c r="DA13" s="4">
        <v>0.05</v>
      </c>
      <c r="DB13" s="4">
        <v>0.05</v>
      </c>
      <c r="DC13" s="4">
        <v>0.05</v>
      </c>
      <c r="DD13" s="4">
        <v>0.05</v>
      </c>
    </row>
    <row r="14" spans="1:135" x14ac:dyDescent="0.4">
      <c r="A14">
        <v>6</v>
      </c>
      <c r="C14" s="6">
        <v>10000000</v>
      </c>
      <c r="D14" t="s">
        <v>32</v>
      </c>
      <c r="E14" s="6"/>
      <c r="F14" s="19">
        <v>7408.07</v>
      </c>
      <c r="J14" s="5"/>
      <c r="K14" s="3"/>
      <c r="L14" s="4"/>
      <c r="M14" s="6"/>
      <c r="N14" s="4"/>
      <c r="O14" s="6"/>
      <c r="P14" s="6"/>
      <c r="Q14" s="6" t="s">
        <v>57</v>
      </c>
      <c r="R14" s="3"/>
      <c r="T14" s="6">
        <v>1018709.5890410959</v>
      </c>
      <c r="AA14" s="4">
        <v>2.1000000000000001E-2</v>
      </c>
      <c r="AB14" s="4">
        <v>-7.6999999999999999E-2</v>
      </c>
      <c r="AC14" s="4">
        <v>0.17</v>
      </c>
      <c r="AD14" s="8">
        <v>1018709.59</v>
      </c>
      <c r="AE14" s="17">
        <v>7408.07</v>
      </c>
      <c r="AF14" s="7">
        <v>45923.625</v>
      </c>
      <c r="AG14" s="18">
        <v>0.7</v>
      </c>
      <c r="AH14" s="18"/>
      <c r="AI14" t="b">
        <v>1</v>
      </c>
      <c r="AJ14" s="2">
        <v>1</v>
      </c>
      <c r="AK14" s="2">
        <v>1</v>
      </c>
      <c r="AL14" t="b">
        <v>0</v>
      </c>
      <c r="AM14" s="2">
        <v>0.05</v>
      </c>
      <c r="AN14" s="2">
        <v>1</v>
      </c>
      <c r="AO14" s="2">
        <v>1</v>
      </c>
      <c r="AP14" s="6"/>
      <c r="AQ14" s="3">
        <v>46014</v>
      </c>
      <c r="AR14" s="3">
        <v>46045</v>
      </c>
      <c r="AS14" s="3">
        <v>46077</v>
      </c>
      <c r="AT14" s="3">
        <v>46104</v>
      </c>
      <c r="AU14" s="3">
        <v>46135</v>
      </c>
      <c r="AV14" s="3">
        <v>46167</v>
      </c>
      <c r="AW14" s="3">
        <v>46196</v>
      </c>
      <c r="AX14" s="3">
        <v>46226</v>
      </c>
      <c r="AY14" s="3">
        <v>46258</v>
      </c>
      <c r="AZ14" s="3">
        <v>46288</v>
      </c>
      <c r="BA14" s="3">
        <v>46318</v>
      </c>
      <c r="BB14" s="3">
        <v>46349</v>
      </c>
      <c r="BC14" s="3">
        <v>46379</v>
      </c>
      <c r="BD14" s="3">
        <v>46412</v>
      </c>
      <c r="BE14" s="3">
        <v>46441</v>
      </c>
      <c r="BF14" s="3">
        <v>46469</v>
      </c>
      <c r="BG14" s="3">
        <v>46500</v>
      </c>
      <c r="BH14" s="3">
        <v>46531</v>
      </c>
      <c r="BI14" s="3">
        <v>46561</v>
      </c>
      <c r="BJ14" s="3">
        <v>46591</v>
      </c>
      <c r="BK14" s="3">
        <v>46622</v>
      </c>
      <c r="BL14" s="3">
        <v>46653</v>
      </c>
      <c r="BM14" s="4">
        <v>1</v>
      </c>
      <c r="BN14" s="4">
        <v>0.995</v>
      </c>
      <c r="BO14" s="4">
        <v>0.99</v>
      </c>
      <c r="BP14" s="4">
        <v>0.98499999999999999</v>
      </c>
      <c r="BQ14" s="4">
        <v>0.98</v>
      </c>
      <c r="BR14" s="4">
        <v>0.97499999999999998</v>
      </c>
      <c r="BS14" s="4">
        <v>0.97</v>
      </c>
      <c r="BT14" s="4">
        <v>0.96499999999999997</v>
      </c>
      <c r="BU14" s="4">
        <v>0.96</v>
      </c>
      <c r="BV14" s="4">
        <v>0.95499999999999996</v>
      </c>
      <c r="BW14" s="4">
        <v>0.95</v>
      </c>
      <c r="BX14" s="4">
        <v>0.94499999999999995</v>
      </c>
      <c r="BY14" s="4">
        <v>0.94</v>
      </c>
      <c r="BZ14" s="4">
        <v>0.93500000000000005</v>
      </c>
      <c r="CA14" s="4">
        <v>0.92999999999999994</v>
      </c>
      <c r="CB14" s="4">
        <v>0.92500000000000004</v>
      </c>
      <c r="CC14" s="4">
        <v>0.92</v>
      </c>
      <c r="CD14" s="4">
        <v>0.91500000000000004</v>
      </c>
      <c r="CE14" s="4">
        <v>0.91</v>
      </c>
      <c r="CF14" s="4">
        <v>0.90500000000000003</v>
      </c>
      <c r="CG14" s="4">
        <v>0.9</v>
      </c>
      <c r="CH14" s="4">
        <v>0.89500000000000002</v>
      </c>
      <c r="CI14" s="4">
        <v>0.30230000000000001</v>
      </c>
      <c r="CJ14" s="4">
        <v>0.30230000000000001</v>
      </c>
      <c r="CK14" s="4">
        <v>0.30230000000000001</v>
      </c>
      <c r="CL14" s="4">
        <v>0.30230000000000001</v>
      </c>
      <c r="CM14" s="4">
        <v>0.30230000000000001</v>
      </c>
      <c r="CN14" s="4">
        <v>0.30230000000000001</v>
      </c>
      <c r="CO14" s="4">
        <v>0.30230000000000001</v>
      </c>
      <c r="CP14" s="4">
        <v>0.30230000000000001</v>
      </c>
      <c r="CQ14" s="4">
        <v>0.30230000000000001</v>
      </c>
      <c r="CR14" s="4">
        <v>0.30230000000000001</v>
      </c>
      <c r="CS14" s="4">
        <v>0.05</v>
      </c>
      <c r="CT14" s="4">
        <v>0.05</v>
      </c>
      <c r="CU14" s="4">
        <v>0.05</v>
      </c>
      <c r="CV14" s="4">
        <v>0.05</v>
      </c>
      <c r="CW14" s="4">
        <v>0.05</v>
      </c>
      <c r="CX14" s="4">
        <v>0.05</v>
      </c>
      <c r="CY14" s="4">
        <v>0.05</v>
      </c>
      <c r="CZ14" s="4">
        <v>0.05</v>
      </c>
      <c r="DA14" s="4">
        <v>0.05</v>
      </c>
      <c r="DB14" s="4">
        <v>0.05</v>
      </c>
      <c r="DC14" s="4">
        <v>0.05</v>
      </c>
      <c r="DD14" s="4">
        <v>0.05</v>
      </c>
    </row>
    <row r="15" spans="1:135" s="15" customFormat="1" x14ac:dyDescent="0.4">
      <c r="A15" s="15">
        <v>5</v>
      </c>
      <c r="C15" s="16">
        <v>10000000</v>
      </c>
      <c r="D15" s="15" t="s">
        <v>37</v>
      </c>
      <c r="E15" s="16"/>
      <c r="F15" s="26">
        <v>7253.81</v>
      </c>
      <c r="G15" s="30"/>
      <c r="H15" s="30"/>
      <c r="I15" s="30"/>
      <c r="J15" s="24"/>
      <c r="K15" s="25"/>
      <c r="L15" s="27"/>
      <c r="M15" s="16"/>
      <c r="N15" s="27"/>
      <c r="O15" s="16"/>
      <c r="P15" s="16"/>
      <c r="Q15" s="16" t="s">
        <v>65</v>
      </c>
      <c r="R15" s="25"/>
      <c r="T15" s="15">
        <f>86160*4</f>
        <v>344640</v>
      </c>
      <c r="AA15" s="27">
        <v>2.1000000000000001E-2</v>
      </c>
      <c r="AB15" s="27">
        <v>-4.8000000000000001E-2</v>
      </c>
      <c r="AC15" s="27">
        <v>0.14000000000000001</v>
      </c>
      <c r="AD15" s="15">
        <f>86160*4</f>
        <v>344640</v>
      </c>
      <c r="AE15" s="26">
        <v>7253.81</v>
      </c>
      <c r="AF15" s="28">
        <v>45890</v>
      </c>
      <c r="AG15" s="29">
        <v>0.75</v>
      </c>
      <c r="AH15" s="29"/>
      <c r="AI15" s="15" t="b">
        <v>1</v>
      </c>
      <c r="AJ15" s="29">
        <v>1</v>
      </c>
      <c r="AK15" s="29">
        <v>1</v>
      </c>
      <c r="AL15" s="15" t="b">
        <v>0</v>
      </c>
      <c r="AM15" s="29">
        <v>0</v>
      </c>
      <c r="AN15" s="29">
        <v>1</v>
      </c>
      <c r="AO15" s="29">
        <v>1</v>
      </c>
      <c r="AP15" s="16"/>
      <c r="AQ15" s="25">
        <v>45982</v>
      </c>
      <c r="AR15" s="25">
        <v>46013</v>
      </c>
      <c r="AS15" s="25">
        <v>46043</v>
      </c>
      <c r="AT15" s="25">
        <v>46077</v>
      </c>
      <c r="AU15" s="25">
        <v>46104</v>
      </c>
      <c r="AV15" s="25">
        <v>46133</v>
      </c>
      <c r="AW15" s="25">
        <v>46163</v>
      </c>
      <c r="AX15" s="25">
        <v>46195</v>
      </c>
      <c r="AY15" s="25">
        <v>46224</v>
      </c>
      <c r="AZ15" s="25">
        <v>46255</v>
      </c>
      <c r="BA15" s="25">
        <v>46286</v>
      </c>
      <c r="BB15" s="25">
        <v>46316</v>
      </c>
      <c r="BC15" s="25">
        <v>46349</v>
      </c>
      <c r="BD15" s="25">
        <v>46377</v>
      </c>
      <c r="BE15" s="25">
        <v>46408</v>
      </c>
      <c r="BF15" s="25">
        <v>46440</v>
      </c>
      <c r="BG15" s="25">
        <v>46468</v>
      </c>
      <c r="BH15" s="25">
        <v>46498</v>
      </c>
      <c r="BI15" s="25">
        <v>46528</v>
      </c>
      <c r="BJ15" s="25">
        <v>46559</v>
      </c>
      <c r="BK15" s="25">
        <v>46589</v>
      </c>
      <c r="BL15" s="25">
        <v>46622</v>
      </c>
      <c r="BM15" s="27">
        <v>1</v>
      </c>
      <c r="BN15" s="27">
        <v>0.995</v>
      </c>
      <c r="BO15" s="27">
        <v>0.99</v>
      </c>
      <c r="BP15" s="27">
        <v>0.98499999999999999</v>
      </c>
      <c r="BQ15" s="27">
        <v>0.98</v>
      </c>
      <c r="BR15" s="27">
        <v>0.97499999999999998</v>
      </c>
      <c r="BS15" s="27">
        <v>0.97</v>
      </c>
      <c r="BT15" s="27">
        <v>0.96499999999999997</v>
      </c>
      <c r="BU15" s="27">
        <v>0.96</v>
      </c>
      <c r="BV15" s="27">
        <v>0.95499999999999996</v>
      </c>
      <c r="BW15" s="27">
        <v>0.95</v>
      </c>
      <c r="BX15" s="27">
        <v>0.94499999999999995</v>
      </c>
      <c r="BY15" s="27">
        <v>0.94</v>
      </c>
      <c r="BZ15" s="27">
        <v>0.93500000000000005</v>
      </c>
      <c r="CA15" s="27">
        <v>0.92999999999999994</v>
      </c>
      <c r="CB15" s="27">
        <v>0.92500000000000004</v>
      </c>
      <c r="CC15" s="27">
        <v>0.92</v>
      </c>
      <c r="CD15" s="27">
        <v>0.91500000000000004</v>
      </c>
      <c r="CE15" s="27">
        <v>0.91</v>
      </c>
      <c r="CF15" s="27">
        <v>0.90500000000000003</v>
      </c>
      <c r="CG15" s="27">
        <v>0.9</v>
      </c>
      <c r="CH15" s="27">
        <v>0.89500000000000002</v>
      </c>
      <c r="CI15" s="25">
        <v>45922</v>
      </c>
      <c r="CJ15" s="25">
        <v>45951</v>
      </c>
      <c r="CK15" s="25">
        <v>45982</v>
      </c>
      <c r="CL15" s="25">
        <v>46013</v>
      </c>
      <c r="CM15" s="25">
        <v>46043</v>
      </c>
      <c r="CN15" s="25">
        <v>46077</v>
      </c>
      <c r="CO15" s="25">
        <v>46104</v>
      </c>
      <c r="CP15" s="25">
        <v>46133</v>
      </c>
      <c r="CQ15" s="25">
        <v>46163</v>
      </c>
      <c r="CR15" s="25">
        <v>46195</v>
      </c>
      <c r="CS15" s="25">
        <v>46224</v>
      </c>
      <c r="CT15" s="25">
        <v>46255</v>
      </c>
      <c r="CU15" s="25">
        <v>46286</v>
      </c>
      <c r="CV15" s="25">
        <v>46316</v>
      </c>
      <c r="CW15" s="25">
        <v>46349</v>
      </c>
      <c r="CX15" s="25">
        <v>46377</v>
      </c>
      <c r="CY15" s="25">
        <v>46408</v>
      </c>
      <c r="CZ15" s="25">
        <v>46440</v>
      </c>
      <c r="DA15" s="25">
        <v>46468</v>
      </c>
      <c r="DB15" s="25">
        <v>46498</v>
      </c>
      <c r="DC15" s="25">
        <v>46528</v>
      </c>
      <c r="DD15" s="25">
        <v>46559</v>
      </c>
      <c r="DE15" s="25">
        <v>46589</v>
      </c>
      <c r="DF15" s="25">
        <v>46622</v>
      </c>
      <c r="DG15" s="27">
        <v>8.6E-3</v>
      </c>
      <c r="DH15" s="27">
        <v>8.6E-3</v>
      </c>
      <c r="DI15" s="27">
        <v>8.6E-3</v>
      </c>
      <c r="DJ15" s="27">
        <v>8.6E-3</v>
      </c>
      <c r="DK15" s="27">
        <v>8.6E-3</v>
      </c>
      <c r="DL15" s="27">
        <v>8.6E-3</v>
      </c>
      <c r="DM15" s="27">
        <v>8.6E-3</v>
      </c>
      <c r="DN15" s="27">
        <v>8.6E-3</v>
      </c>
      <c r="DO15" s="27">
        <v>8.6E-3</v>
      </c>
      <c r="DP15" s="27">
        <v>8.6E-3</v>
      </c>
      <c r="DQ15" s="27">
        <v>8.6E-3</v>
      </c>
      <c r="DR15" s="27">
        <v>8.6E-3</v>
      </c>
      <c r="DS15" s="27">
        <v>8.6E-3</v>
      </c>
      <c r="DT15" s="27">
        <v>8.6E-3</v>
      </c>
      <c r="DU15" s="27">
        <v>8.6E-3</v>
      </c>
      <c r="DV15" s="27">
        <v>8.6E-3</v>
      </c>
      <c r="DW15" s="27">
        <v>8.6E-3</v>
      </c>
      <c r="DX15" s="27">
        <v>8.6E-3</v>
      </c>
      <c r="DY15" s="27">
        <v>8.6E-3</v>
      </c>
      <c r="DZ15" s="27">
        <v>8.6E-3</v>
      </c>
      <c r="EA15" s="27">
        <v>8.6E-3</v>
      </c>
      <c r="EB15" s="27">
        <v>8.6E-3</v>
      </c>
      <c r="EC15" s="27">
        <v>8.6E-3</v>
      </c>
      <c r="ED15" s="27">
        <v>8.6E-3</v>
      </c>
      <c r="EE15" s="15">
        <v>0.8</v>
      </c>
    </row>
    <row r="16" spans="1:135" s="15" customFormat="1" x14ac:dyDescent="0.4">
      <c r="A16" s="15">
        <v>4</v>
      </c>
      <c r="C16" s="16">
        <v>10000000</v>
      </c>
      <c r="D16" s="15" t="s">
        <v>43</v>
      </c>
      <c r="E16" s="16"/>
      <c r="F16" s="26">
        <v>6357.38</v>
      </c>
      <c r="G16" s="30"/>
      <c r="H16" s="30"/>
      <c r="I16" s="30"/>
      <c r="O16" s="16"/>
      <c r="P16" s="16"/>
      <c r="Q16" s="16" t="s">
        <v>64</v>
      </c>
      <c r="T16" s="15">
        <v>479268.49315068347</v>
      </c>
      <c r="AD16" s="15">
        <v>479268.49</v>
      </c>
      <c r="AE16" s="26">
        <v>6357.38</v>
      </c>
      <c r="AF16" s="28">
        <v>45875</v>
      </c>
    </row>
    <row r="17" spans="1:32" s="15" customFormat="1" x14ac:dyDescent="0.4">
      <c r="A17" s="15">
        <v>3</v>
      </c>
      <c r="C17" s="16">
        <v>10000000</v>
      </c>
      <c r="D17" s="15" t="s">
        <v>43</v>
      </c>
      <c r="E17" s="16"/>
      <c r="F17" s="26">
        <v>6312.47</v>
      </c>
      <c r="G17" s="30"/>
      <c r="H17" s="30"/>
      <c r="I17" s="30"/>
      <c r="O17" s="16"/>
      <c r="P17" s="16"/>
      <c r="Q17" s="16" t="s">
        <v>63</v>
      </c>
      <c r="T17" s="15">
        <v>479013.69863013766</v>
      </c>
      <c r="AD17" s="15">
        <v>479013.7</v>
      </c>
      <c r="AE17" s="26">
        <v>6312.47</v>
      </c>
      <c r="AF17" s="28">
        <v>45867</v>
      </c>
    </row>
    <row r="18" spans="1:32" s="15" customFormat="1" x14ac:dyDescent="0.4">
      <c r="A18" s="15">
        <v>2</v>
      </c>
      <c r="C18" s="16">
        <v>10000000</v>
      </c>
      <c r="D18" s="15" t="s">
        <v>37</v>
      </c>
      <c r="F18" s="26">
        <v>6706.61</v>
      </c>
      <c r="G18" s="30"/>
      <c r="H18" s="30"/>
      <c r="I18" s="30"/>
      <c r="Q18" s="15" t="s">
        <v>62</v>
      </c>
      <c r="T18" s="15">
        <v>329767.12328767165</v>
      </c>
      <c r="AD18" s="15">
        <v>329767.12</v>
      </c>
      <c r="AE18" s="26">
        <v>6706.61</v>
      </c>
      <c r="AF18" s="28">
        <v>45863</v>
      </c>
    </row>
    <row r="19" spans="1:32" s="15" customFormat="1" x14ac:dyDescent="0.4">
      <c r="A19" s="15">
        <v>1</v>
      </c>
      <c r="C19" s="16">
        <v>10000000</v>
      </c>
      <c r="D19" s="15" t="s">
        <v>37</v>
      </c>
      <c r="F19" s="26">
        <v>6535.26</v>
      </c>
      <c r="G19" s="30"/>
      <c r="H19" s="30"/>
      <c r="I19" s="30"/>
      <c r="Q19" s="15" t="s">
        <v>61</v>
      </c>
      <c r="T19" s="15">
        <v>334458.97031162347</v>
      </c>
      <c r="AD19" s="15">
        <v>334452.05</v>
      </c>
      <c r="AE19" s="26">
        <v>6535.26</v>
      </c>
      <c r="AF19" s="28">
        <v>45856</v>
      </c>
    </row>
    <row r="24" spans="1:32" x14ac:dyDescent="0.4">
      <c r="AB24" t="s">
        <v>55</v>
      </c>
      <c r="AC24" s="8">
        <f>SUM(AD15:AD19)</f>
        <v>1967141.36</v>
      </c>
    </row>
    <row r="25" spans="1:32" x14ac:dyDescent="0.4">
      <c r="AB25" t="s">
        <v>56</v>
      </c>
      <c r="AC25" s="23">
        <f>SUM(AD2:AD14)</f>
        <v>14086164.128904112</v>
      </c>
    </row>
    <row r="26" spans="1:32" x14ac:dyDescent="0.4">
      <c r="AB26" t="s">
        <v>45</v>
      </c>
      <c r="AC26" s="23">
        <f>SUM(AD1:AD27)</f>
        <v>16053305.488904111</v>
      </c>
    </row>
    <row r="31" spans="1:32" x14ac:dyDescent="0.4">
      <c r="E31" s="22"/>
      <c r="O31" s="22"/>
      <c r="P31" s="22"/>
      <c r="Q31" s="22"/>
      <c r="R31" s="22"/>
      <c r="S31" s="22"/>
      <c r="T31" s="22"/>
      <c r="U31" s="22"/>
      <c r="V31" s="22"/>
      <c r="W31" s="2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EB14-71B1-4186-B2AD-5B130BDE33F7}">
  <dimension ref="A1:L440"/>
  <sheetViews>
    <sheetView topLeftCell="A191" workbookViewId="0">
      <selection activeCell="S214" sqref="S214"/>
    </sheetView>
  </sheetViews>
  <sheetFormatPr defaultRowHeight="13.9" x14ac:dyDescent="0.4"/>
  <cols>
    <col min="1" max="1" width="11.59765625" bestFit="1" customWidth="1"/>
    <col min="6" max="6" width="14.3984375" customWidth="1"/>
    <col min="11" max="11" width="11.59765625" bestFit="1" customWidth="1"/>
  </cols>
  <sheetData>
    <row r="1" spans="1:12" x14ac:dyDescent="0.4">
      <c r="A1" t="str">
        <f>[1]!EM_HQ_N("000016.SH,000300.SH,000905.SH,000852.SH","CLOSE","2025-07-18","N","Period=1,AdjustFlag=1,Type=1,CalendarType=1,Market=ALL,DealType=1,Layout1=0,Layout2=0,Order=0,DateType=0")</f>
        <v>历史行情</v>
      </c>
      <c r="L1" s="22" t="s">
        <v>58</v>
      </c>
    </row>
    <row r="2" spans="1:12" x14ac:dyDescent="0.4">
      <c r="B2" t="s">
        <v>41</v>
      </c>
      <c r="C2" t="s">
        <v>31</v>
      </c>
      <c r="D2" t="s">
        <v>10</v>
      </c>
      <c r="E2" t="s">
        <v>32</v>
      </c>
    </row>
    <row r="3" spans="1:12" x14ac:dyDescent="0.4">
      <c r="B3" t="s">
        <v>155</v>
      </c>
      <c r="C3" t="s">
        <v>23</v>
      </c>
      <c r="D3" t="s">
        <v>29</v>
      </c>
      <c r="E3" t="s">
        <v>30</v>
      </c>
      <c r="F3" t="s">
        <v>60</v>
      </c>
      <c r="G3" t="s">
        <v>59</v>
      </c>
    </row>
    <row r="4" spans="1:12" x14ac:dyDescent="0.4">
      <c r="B4" t="s">
        <v>156</v>
      </c>
      <c r="C4" t="s">
        <v>156</v>
      </c>
      <c r="D4" t="s">
        <v>156</v>
      </c>
      <c r="E4" t="s">
        <v>156</v>
      </c>
      <c r="G4" t="s">
        <v>41</v>
      </c>
      <c r="H4" t="s">
        <v>31</v>
      </c>
      <c r="I4" t="s">
        <v>10</v>
      </c>
      <c r="J4" t="s">
        <v>32</v>
      </c>
    </row>
    <row r="5" spans="1:12" x14ac:dyDescent="0.4">
      <c r="A5" s="12">
        <v>45856</v>
      </c>
      <c r="B5">
        <v>2764.5160000000001</v>
      </c>
      <c r="C5">
        <v>4058.5486000000001</v>
      </c>
      <c r="D5">
        <v>6099.6103999999996</v>
      </c>
      <c r="E5">
        <v>6552.0740999999998</v>
      </c>
      <c r="G5">
        <v>0</v>
      </c>
      <c r="H5">
        <v>0</v>
      </c>
      <c r="I5">
        <v>0</v>
      </c>
      <c r="J5">
        <v>10514.503843034729</v>
      </c>
      <c r="L5" s="22">
        <v>10514.503843034729</v>
      </c>
    </row>
    <row r="6" spans="1:12" x14ac:dyDescent="0.4">
      <c r="A6" s="12">
        <v>45859</v>
      </c>
      <c r="B6">
        <v>2772.2384999999999</v>
      </c>
      <c r="C6">
        <v>4085.6071999999999</v>
      </c>
      <c r="D6">
        <v>6161.3086000000003</v>
      </c>
      <c r="E6">
        <v>6612.2588999999998</v>
      </c>
      <c r="G6">
        <v>0</v>
      </c>
      <c r="H6">
        <v>0</v>
      </c>
      <c r="I6">
        <v>0</v>
      </c>
      <c r="J6">
        <v>50363.243581909483</v>
      </c>
      <c r="L6" s="22">
        <v>50363.243581909483</v>
      </c>
    </row>
    <row r="7" spans="1:12" x14ac:dyDescent="0.4">
      <c r="A7" s="12">
        <v>45860</v>
      </c>
      <c r="B7">
        <v>2792.1822999999999</v>
      </c>
      <c r="C7">
        <v>4118.9582</v>
      </c>
      <c r="D7">
        <v>6213.4071999999996</v>
      </c>
      <c r="E7">
        <v>6637.1035000000002</v>
      </c>
      <c r="G7">
        <v>0</v>
      </c>
      <c r="H7">
        <v>0</v>
      </c>
      <c r="I7">
        <v>0</v>
      </c>
      <c r="J7">
        <v>68300.469938986353</v>
      </c>
      <c r="L7" s="22">
        <v>68300.469938986353</v>
      </c>
    </row>
    <row r="8" spans="1:12" x14ac:dyDescent="0.4">
      <c r="A8" s="12">
        <v>45861</v>
      </c>
      <c r="B8">
        <v>2801.2002000000002</v>
      </c>
      <c r="C8">
        <v>4119.7685000000001</v>
      </c>
      <c r="D8">
        <v>6196.7577000000001</v>
      </c>
      <c r="E8">
        <v>6607.22</v>
      </c>
      <c r="G8">
        <v>0</v>
      </c>
      <c r="H8">
        <v>0</v>
      </c>
      <c r="I8">
        <v>0</v>
      </c>
      <c r="J8">
        <v>57068.686015685162</v>
      </c>
      <c r="L8" s="22">
        <v>57068.686015685162</v>
      </c>
    </row>
    <row r="9" spans="1:12" x14ac:dyDescent="0.4">
      <c r="A9" s="12">
        <v>45862</v>
      </c>
      <c r="B9">
        <v>2812.4427999999998</v>
      </c>
      <c r="C9">
        <v>4149.0367999999999</v>
      </c>
      <c r="D9">
        <v>6293.5983999999999</v>
      </c>
      <c r="E9">
        <v>6701.12</v>
      </c>
      <c r="G9">
        <v>0</v>
      </c>
      <c r="H9">
        <v>0</v>
      </c>
      <c r="I9">
        <v>0</v>
      </c>
      <c r="J9">
        <v>108276.02989139341</v>
      </c>
      <c r="L9" s="22">
        <v>108276.02989139341</v>
      </c>
    </row>
    <row r="10" spans="1:12" x14ac:dyDescent="0.4">
      <c r="A10" s="12">
        <v>45863</v>
      </c>
      <c r="B10">
        <v>2795.5127000000002</v>
      </c>
      <c r="C10">
        <v>4127.1634000000004</v>
      </c>
      <c r="D10">
        <v>6299.5907999999999</v>
      </c>
      <c r="E10">
        <v>6706.6098000000002</v>
      </c>
      <c r="G10">
        <v>0</v>
      </c>
      <c r="H10">
        <v>0</v>
      </c>
      <c r="I10">
        <v>0</v>
      </c>
      <c r="J10">
        <v>115011.33012369348</v>
      </c>
      <c r="L10" s="22">
        <v>115011.33012369348</v>
      </c>
    </row>
    <row r="11" spans="1:12" x14ac:dyDescent="0.4">
      <c r="A11" s="12">
        <v>45866</v>
      </c>
      <c r="B11">
        <v>2802.7674000000002</v>
      </c>
      <c r="C11">
        <v>4135.8242</v>
      </c>
      <c r="D11">
        <v>6323.4197999999997</v>
      </c>
      <c r="E11">
        <v>6729.9790000000003</v>
      </c>
      <c r="G11">
        <v>0</v>
      </c>
      <c r="H11">
        <v>0</v>
      </c>
      <c r="I11">
        <v>0</v>
      </c>
      <c r="J11">
        <v>148096.6936752685</v>
      </c>
      <c r="L11" s="22">
        <v>148096.6936752685</v>
      </c>
    </row>
    <row r="12" spans="1:12" x14ac:dyDescent="0.4">
      <c r="A12" s="12">
        <v>45867</v>
      </c>
      <c r="B12">
        <v>2808.5916999999999</v>
      </c>
      <c r="C12">
        <v>4152.0246999999999</v>
      </c>
      <c r="D12">
        <v>6356.1327000000001</v>
      </c>
      <c r="E12">
        <v>6773.8842999999997</v>
      </c>
      <c r="G12">
        <v>0</v>
      </c>
      <c r="H12">
        <v>0</v>
      </c>
      <c r="I12">
        <v>43458.519250279161</v>
      </c>
      <c r="J12">
        <v>198768.35256054995</v>
      </c>
      <c r="L12" s="22">
        <v>242226.87181082909</v>
      </c>
    </row>
    <row r="13" spans="1:12" x14ac:dyDescent="0.4">
      <c r="A13" s="12">
        <v>45868</v>
      </c>
      <c r="B13">
        <v>2819.3508000000002</v>
      </c>
      <c r="C13">
        <v>4151.2379000000001</v>
      </c>
      <c r="D13">
        <v>6314.6872999999996</v>
      </c>
      <c r="E13">
        <v>6718.4818999999998</v>
      </c>
      <c r="G13">
        <v>0</v>
      </c>
      <c r="H13">
        <v>0</v>
      </c>
      <c r="I13">
        <v>7792.9121983106288</v>
      </c>
      <c r="J13">
        <v>154811.32635284646</v>
      </c>
      <c r="L13" s="22">
        <v>162604.23855115709</v>
      </c>
    </row>
    <row r="14" spans="1:12" x14ac:dyDescent="0.4">
      <c r="A14" s="12">
        <v>45869</v>
      </c>
      <c r="B14">
        <v>2775.9935</v>
      </c>
      <c r="C14">
        <v>4075.5911999999998</v>
      </c>
      <c r="D14">
        <v>6226.3432000000003</v>
      </c>
      <c r="E14">
        <v>6661.1862000000001</v>
      </c>
      <c r="G14">
        <v>0</v>
      </c>
      <c r="H14">
        <v>0</v>
      </c>
      <c r="I14">
        <v>-84127.257770309181</v>
      </c>
      <c r="J14">
        <v>103739.48804705311</v>
      </c>
      <c r="L14" s="22">
        <v>19612.230276743925</v>
      </c>
    </row>
    <row r="15" spans="1:12" x14ac:dyDescent="0.4">
      <c r="A15" s="12">
        <v>45870</v>
      </c>
      <c r="B15">
        <v>2754.1302000000001</v>
      </c>
      <c r="C15">
        <v>4054.9286000000002</v>
      </c>
      <c r="D15">
        <v>6213.2013999999999</v>
      </c>
      <c r="E15">
        <v>6670.4719999999998</v>
      </c>
      <c r="G15">
        <v>0</v>
      </c>
      <c r="H15">
        <v>0</v>
      </c>
      <c r="I15">
        <v>-94039.447321071537</v>
      </c>
      <c r="J15">
        <v>123482.33613290304</v>
      </c>
      <c r="L15" s="22">
        <v>29442.888811831508</v>
      </c>
    </row>
    <row r="16" spans="1:12" x14ac:dyDescent="0.4">
      <c r="A16" s="12">
        <v>45873</v>
      </c>
      <c r="B16">
        <v>2769.3933999999999</v>
      </c>
      <c r="C16">
        <v>4070.7022999999999</v>
      </c>
      <c r="D16">
        <v>6261.7313000000004</v>
      </c>
      <c r="E16">
        <v>6739.6935999999996</v>
      </c>
      <c r="G16">
        <v>0</v>
      </c>
      <c r="H16">
        <v>0</v>
      </c>
      <c r="I16">
        <v>-31952.566691821892</v>
      </c>
      <c r="J16">
        <v>202540.64069200429</v>
      </c>
      <c r="L16" s="22">
        <v>170588.07400018239</v>
      </c>
    </row>
    <row r="17" spans="1:12" x14ac:dyDescent="0.4">
      <c r="A17" s="12">
        <v>45874</v>
      </c>
      <c r="B17">
        <v>2790.7287000000001</v>
      </c>
      <c r="C17">
        <v>4103.45</v>
      </c>
      <c r="D17">
        <v>6303.2358999999997</v>
      </c>
      <c r="E17">
        <v>6787.4805999999999</v>
      </c>
      <c r="G17">
        <v>0</v>
      </c>
      <c r="H17">
        <v>0</v>
      </c>
      <c r="I17">
        <v>18459.944915358737</v>
      </c>
      <c r="J17">
        <v>253762.83065160413</v>
      </c>
      <c r="L17" s="22">
        <v>272222.7755669629</v>
      </c>
    </row>
    <row r="18" spans="1:12" x14ac:dyDescent="0.4">
      <c r="A18" s="12">
        <v>45875</v>
      </c>
      <c r="B18">
        <v>2797.4234000000001</v>
      </c>
      <c r="C18">
        <v>4113.4852000000001</v>
      </c>
      <c r="D18">
        <v>6357.3769000000002</v>
      </c>
      <c r="E18">
        <v>6861.3091000000004</v>
      </c>
      <c r="G18">
        <v>0</v>
      </c>
      <c r="H18">
        <v>0</v>
      </c>
      <c r="I18">
        <v>77579.606432968707</v>
      </c>
      <c r="J18">
        <v>319060.92377103848</v>
      </c>
      <c r="L18" s="22">
        <v>396640.53020400717</v>
      </c>
    </row>
    <row r="19" spans="1:12" x14ac:dyDescent="0.4">
      <c r="A19" s="12">
        <v>45876</v>
      </c>
      <c r="B19">
        <v>2798.3110999999999</v>
      </c>
      <c r="C19">
        <v>4114.6660000000002</v>
      </c>
      <c r="D19">
        <v>6337.5424999999996</v>
      </c>
      <c r="E19">
        <v>6862.1496999999999</v>
      </c>
      <c r="G19">
        <v>0</v>
      </c>
      <c r="H19">
        <v>0</v>
      </c>
      <c r="I19">
        <v>49092.172226786315</v>
      </c>
      <c r="J19">
        <v>327506.58394992666</v>
      </c>
      <c r="L19" s="22">
        <v>376598.75617671304</v>
      </c>
    </row>
    <row r="20" spans="1:12" x14ac:dyDescent="0.4">
      <c r="A20" s="12">
        <v>45877</v>
      </c>
      <c r="B20">
        <v>2789.1743999999999</v>
      </c>
      <c r="C20">
        <v>4104.9669000000004</v>
      </c>
      <c r="D20">
        <v>6323.4998999999998</v>
      </c>
      <c r="E20">
        <v>6838.1298999999999</v>
      </c>
      <c r="G20">
        <v>0</v>
      </c>
      <c r="H20">
        <v>0</v>
      </c>
      <c r="I20">
        <v>31549.599464054892</v>
      </c>
      <c r="J20">
        <v>318317.65114538535</v>
      </c>
      <c r="L20" s="22">
        <v>349867.25060944026</v>
      </c>
    </row>
    <row r="21" spans="1:12" x14ac:dyDescent="0.4">
      <c r="A21" s="12">
        <v>45880</v>
      </c>
      <c r="B21">
        <v>2789.8959</v>
      </c>
      <c r="C21">
        <v>4122.5105999999996</v>
      </c>
      <c r="D21">
        <v>6391.7595000000001</v>
      </c>
      <c r="E21">
        <v>6943.9366</v>
      </c>
      <c r="G21">
        <v>0</v>
      </c>
      <c r="H21">
        <v>0</v>
      </c>
      <c r="I21">
        <v>176264.27064495889</v>
      </c>
      <c r="J21">
        <v>393704.55318385951</v>
      </c>
      <c r="L21" s="22">
        <v>569968.82382881839</v>
      </c>
    </row>
    <row r="22" spans="1:12" x14ac:dyDescent="0.4">
      <c r="A22" s="12">
        <v>45881</v>
      </c>
      <c r="B22">
        <v>2807.0124000000001</v>
      </c>
      <c r="C22">
        <v>4143.8252000000002</v>
      </c>
      <c r="D22">
        <v>6418.1594999999998</v>
      </c>
      <c r="E22">
        <v>6963.6109999999999</v>
      </c>
      <c r="G22">
        <v>0</v>
      </c>
      <c r="H22">
        <v>0</v>
      </c>
      <c r="I22">
        <v>234334.73932315345</v>
      </c>
      <c r="J22">
        <v>411324.51233486814</v>
      </c>
      <c r="L22" s="22">
        <v>645659.25165802159</v>
      </c>
    </row>
    <row r="23" spans="1:12" x14ac:dyDescent="0.4">
      <c r="A23" s="12">
        <v>45882</v>
      </c>
      <c r="B23">
        <v>2812.9803999999999</v>
      </c>
      <c r="C23">
        <v>4176.5775999999996</v>
      </c>
      <c r="D23">
        <v>6508.0977999999996</v>
      </c>
      <c r="E23">
        <v>7064.3338999999996</v>
      </c>
      <c r="G23">
        <v>0</v>
      </c>
      <c r="H23">
        <v>0</v>
      </c>
      <c r="I23">
        <v>386992.21326251572</v>
      </c>
      <c r="J23">
        <v>463697.0079944866</v>
      </c>
      <c r="L23" s="22">
        <v>850689.22125700233</v>
      </c>
    </row>
    <row r="24" spans="1:12" x14ac:dyDescent="0.4">
      <c r="A24" s="12">
        <v>45883</v>
      </c>
      <c r="B24">
        <v>2829.4703</v>
      </c>
      <c r="C24">
        <v>4173.3131000000003</v>
      </c>
      <c r="D24">
        <v>6429.8462</v>
      </c>
      <c r="E24">
        <v>6976.4875000000002</v>
      </c>
      <c r="G24">
        <v>0</v>
      </c>
      <c r="H24">
        <v>0</v>
      </c>
      <c r="I24">
        <v>276075.1490453044</v>
      </c>
      <c r="J24">
        <v>431412.58070304035</v>
      </c>
      <c r="L24" s="22">
        <v>707487.72974834475</v>
      </c>
    </row>
    <row r="25" spans="1:12" x14ac:dyDescent="0.4">
      <c r="A25" s="12">
        <v>45884</v>
      </c>
      <c r="B25">
        <v>2832.8759</v>
      </c>
      <c r="C25">
        <v>4202.3532999999998</v>
      </c>
      <c r="D25">
        <v>6568.57</v>
      </c>
      <c r="E25">
        <v>7117.5009</v>
      </c>
      <c r="G25">
        <v>0</v>
      </c>
      <c r="H25">
        <v>0</v>
      </c>
      <c r="I25">
        <v>486894.29907080799</v>
      </c>
      <c r="J25">
        <v>494159.15080460563</v>
      </c>
      <c r="L25" s="22">
        <v>981053.44987541367</v>
      </c>
    </row>
    <row r="26" spans="1:12" x14ac:dyDescent="0.4">
      <c r="A26" s="12">
        <v>45887</v>
      </c>
      <c r="B26">
        <v>2838.8726000000001</v>
      </c>
      <c r="C26">
        <v>4239.4125000000004</v>
      </c>
      <c r="D26">
        <v>6668.1725999999999</v>
      </c>
      <c r="E26">
        <v>7237.6018000000004</v>
      </c>
      <c r="G26">
        <v>0</v>
      </c>
      <c r="H26">
        <v>0</v>
      </c>
      <c r="I26">
        <v>602892.66471533966</v>
      </c>
      <c r="J26">
        <v>531252.57815389417</v>
      </c>
      <c r="L26" s="22">
        <v>1134145.2428692337</v>
      </c>
    </row>
    <row r="27" spans="1:12" x14ac:dyDescent="0.4">
      <c r="A27" s="12">
        <v>45888</v>
      </c>
      <c r="B27">
        <v>2812.4225000000001</v>
      </c>
      <c r="C27">
        <v>4223.3741</v>
      </c>
      <c r="D27">
        <v>6655.3104999999996</v>
      </c>
      <c r="E27">
        <v>7242.8494000000001</v>
      </c>
      <c r="G27">
        <v>0</v>
      </c>
      <c r="H27">
        <v>0</v>
      </c>
      <c r="I27">
        <v>599407.47575237136</v>
      </c>
      <c r="J27">
        <v>536872.77408955479</v>
      </c>
      <c r="L27" s="22">
        <v>1136280.2498419262</v>
      </c>
    </row>
    <row r="28" spans="1:12" x14ac:dyDescent="0.4">
      <c r="A28" s="12">
        <v>45889</v>
      </c>
      <c r="B28">
        <v>2846.9906999999998</v>
      </c>
      <c r="C28">
        <v>4271.3958000000002</v>
      </c>
      <c r="D28">
        <v>6728.0691999999999</v>
      </c>
      <c r="E28">
        <v>7305.4612999999999</v>
      </c>
      <c r="G28">
        <v>0</v>
      </c>
      <c r="H28">
        <v>0</v>
      </c>
      <c r="I28">
        <v>669933.23488459317</v>
      </c>
      <c r="J28">
        <v>552564.40284877084</v>
      </c>
      <c r="L28" s="22">
        <v>1222497.637733364</v>
      </c>
    </row>
    <row r="29" spans="1:12" x14ac:dyDescent="0.4">
      <c r="A29" s="12">
        <v>45890</v>
      </c>
      <c r="B29">
        <v>2862.1763999999998</v>
      </c>
      <c r="C29">
        <v>4288.0707000000002</v>
      </c>
      <c r="D29">
        <v>6704.1656999999996</v>
      </c>
      <c r="E29">
        <v>7253.3428999999996</v>
      </c>
      <c r="G29">
        <v>0</v>
      </c>
      <c r="H29">
        <v>0</v>
      </c>
      <c r="I29">
        <v>659192.24343953491</v>
      </c>
      <c r="J29">
        <v>488893.99807196489</v>
      </c>
      <c r="L29" s="22">
        <v>1148086.2415114997</v>
      </c>
    </row>
    <row r="30" spans="1:12" x14ac:dyDescent="0.4">
      <c r="A30" s="12">
        <v>45891</v>
      </c>
      <c r="B30">
        <v>2928.6134999999999</v>
      </c>
      <c r="C30">
        <v>4377.9976999999999</v>
      </c>
      <c r="D30">
        <v>6822.8468999999996</v>
      </c>
      <c r="E30">
        <v>7362.9395999999997</v>
      </c>
      <c r="G30">
        <v>0</v>
      </c>
      <c r="H30">
        <v>0</v>
      </c>
      <c r="I30">
        <v>745758.51169462607</v>
      </c>
      <c r="J30">
        <v>576795.35794883478</v>
      </c>
      <c r="L30" s="22">
        <v>1322553.8696434607</v>
      </c>
    </row>
    <row r="31" spans="1:12" x14ac:dyDescent="0.4">
      <c r="A31" s="12">
        <v>45894</v>
      </c>
      <c r="B31">
        <v>2989.8548999999998</v>
      </c>
      <c r="C31">
        <v>4469.2217000000001</v>
      </c>
      <c r="D31">
        <v>6951.8954999999996</v>
      </c>
      <c r="E31">
        <v>7477.7280000000001</v>
      </c>
      <c r="G31">
        <v>0</v>
      </c>
      <c r="H31">
        <v>0</v>
      </c>
      <c r="I31">
        <v>806769.23445537803</v>
      </c>
      <c r="J31">
        <v>647309.13446638547</v>
      </c>
      <c r="L31" s="22">
        <v>1454078.3689217637</v>
      </c>
    </row>
    <row r="32" spans="1:12" x14ac:dyDescent="0.4">
      <c r="A32" s="12">
        <v>45895</v>
      </c>
      <c r="B32">
        <v>2969.7761999999998</v>
      </c>
      <c r="C32">
        <v>4452.5905000000002</v>
      </c>
      <c r="D32">
        <v>6964.0653000000002</v>
      </c>
      <c r="E32">
        <v>7476.4672</v>
      </c>
      <c r="G32">
        <v>0</v>
      </c>
      <c r="H32">
        <v>0</v>
      </c>
      <c r="I32">
        <v>815714.06711163884</v>
      </c>
      <c r="J32">
        <v>653188.9847403809</v>
      </c>
      <c r="L32" s="22">
        <v>1468903.0518520197</v>
      </c>
    </row>
    <row r="33" spans="1:12" x14ac:dyDescent="0.4">
      <c r="A33" s="12">
        <v>45896</v>
      </c>
      <c r="B33">
        <v>2918.3789000000002</v>
      </c>
      <c r="C33">
        <v>4386.1265999999996</v>
      </c>
      <c r="D33">
        <v>6862.5623999999998</v>
      </c>
      <c r="E33">
        <v>7336.5036</v>
      </c>
      <c r="G33">
        <v>0</v>
      </c>
      <c r="H33">
        <v>0</v>
      </c>
      <c r="I33">
        <v>784228.6455558259</v>
      </c>
      <c r="J33">
        <v>582361.416126795</v>
      </c>
      <c r="L33" s="22">
        <v>1366590.0616826208</v>
      </c>
    </row>
    <row r="34" spans="1:12" x14ac:dyDescent="0.4">
      <c r="A34" s="12">
        <v>45897</v>
      </c>
      <c r="B34">
        <v>2960.7266</v>
      </c>
      <c r="C34">
        <v>4463.7820000000002</v>
      </c>
      <c r="D34">
        <v>7011.1602000000003</v>
      </c>
      <c r="E34">
        <v>7447.1100999999999</v>
      </c>
      <c r="G34">
        <v>0</v>
      </c>
      <c r="H34">
        <v>0</v>
      </c>
      <c r="I34">
        <v>837696.17660317651</v>
      </c>
      <c r="J34">
        <v>652162.60554236046</v>
      </c>
      <c r="L34" s="22">
        <v>1489858.782145537</v>
      </c>
    </row>
    <row r="35" spans="1:12" x14ac:dyDescent="0.4">
      <c r="A35" s="12">
        <v>45898</v>
      </c>
      <c r="B35">
        <v>2976.4731999999999</v>
      </c>
      <c r="C35">
        <v>4496.7591000000002</v>
      </c>
      <c r="D35">
        <v>7043.9416000000001</v>
      </c>
      <c r="E35">
        <v>7438.6767</v>
      </c>
      <c r="G35">
        <v>0</v>
      </c>
      <c r="H35">
        <v>0</v>
      </c>
      <c r="I35">
        <v>848875.97463034838</v>
      </c>
      <c r="J35">
        <v>654610.37713987299</v>
      </c>
      <c r="L35" s="22">
        <v>1503486.3517702215</v>
      </c>
    </row>
    <row r="36" spans="1:12" x14ac:dyDescent="0.4">
      <c r="A36" s="12">
        <v>45901</v>
      </c>
      <c r="B36">
        <v>2981.2024000000001</v>
      </c>
      <c r="C36">
        <v>4523.7111000000004</v>
      </c>
      <c r="D36">
        <v>7110.2882</v>
      </c>
      <c r="E36">
        <v>7501.1482999999998</v>
      </c>
      <c r="G36">
        <v>0</v>
      </c>
      <c r="H36">
        <v>0</v>
      </c>
      <c r="I36">
        <v>863335.61492657941</v>
      </c>
      <c r="J36">
        <v>689119.36754106579</v>
      </c>
      <c r="L36" s="22">
        <v>1552454.9824676451</v>
      </c>
    </row>
    <row r="37" spans="1:12" x14ac:dyDescent="0.4">
      <c r="A37" s="12">
        <v>45902</v>
      </c>
      <c r="B37">
        <v>2992.8809999999999</v>
      </c>
      <c r="C37">
        <v>4490.4528</v>
      </c>
      <c r="D37">
        <v>6961.6894000000002</v>
      </c>
      <c r="E37">
        <v>7313.8824000000004</v>
      </c>
      <c r="G37">
        <v>0</v>
      </c>
      <c r="H37">
        <v>0</v>
      </c>
      <c r="I37">
        <v>839589.17268226692</v>
      </c>
      <c r="J37">
        <v>597869.61427313986</v>
      </c>
      <c r="L37" s="22">
        <v>1437458.7869554067</v>
      </c>
    </row>
    <row r="38" spans="1:12" x14ac:dyDescent="0.4">
      <c r="A38" s="12">
        <v>45903</v>
      </c>
      <c r="B38">
        <v>2960.9933000000001</v>
      </c>
      <c r="C38">
        <v>4459.8296</v>
      </c>
      <c r="D38">
        <v>6868.4615000000003</v>
      </c>
      <c r="E38">
        <v>7206.8757999999998</v>
      </c>
      <c r="G38">
        <v>0</v>
      </c>
      <c r="H38">
        <v>0</v>
      </c>
      <c r="I38">
        <v>816180.11705707724</v>
      </c>
      <c r="J38">
        <v>527501.04156313394</v>
      </c>
      <c r="L38" s="22">
        <v>1343681.1586202113</v>
      </c>
    </row>
    <row r="39" spans="1:12" x14ac:dyDescent="0.4">
      <c r="A39" s="12">
        <v>45904</v>
      </c>
      <c r="B39">
        <v>2910.47</v>
      </c>
      <c r="C39">
        <v>4365.2084999999997</v>
      </c>
      <c r="D39">
        <v>6698.4474</v>
      </c>
      <c r="E39">
        <v>7041.1544000000004</v>
      </c>
      <c r="G39">
        <v>0</v>
      </c>
      <c r="H39">
        <v>0</v>
      </c>
      <c r="I39">
        <v>735478.85814083903</v>
      </c>
      <c r="J39">
        <v>373833.42397662986</v>
      </c>
      <c r="L39" s="22">
        <v>1109312.282117469</v>
      </c>
    </row>
    <row r="40" spans="1:12" x14ac:dyDescent="0.4">
      <c r="A40" s="12">
        <v>45905</v>
      </c>
      <c r="B40">
        <v>2942.2161999999998</v>
      </c>
      <c r="C40">
        <v>4460.3248999999996</v>
      </c>
      <c r="D40">
        <v>6913.9531999999999</v>
      </c>
      <c r="E40">
        <v>7245.6670000000004</v>
      </c>
      <c r="G40">
        <v>0</v>
      </c>
      <c r="H40">
        <v>0</v>
      </c>
      <c r="I40">
        <v>841638.26402656897</v>
      </c>
      <c r="J40">
        <v>574151.71845915983</v>
      </c>
      <c r="L40" s="22">
        <v>1415789.9824857288</v>
      </c>
    </row>
    <row r="41" spans="1:12" x14ac:dyDescent="0.4">
      <c r="A41" s="12">
        <v>45908</v>
      </c>
      <c r="B41">
        <v>2939.8823000000002</v>
      </c>
      <c r="C41">
        <v>4467.5733</v>
      </c>
      <c r="D41">
        <v>6992.1169</v>
      </c>
      <c r="E41">
        <v>7311.0343000000003</v>
      </c>
      <c r="G41">
        <v>0</v>
      </c>
      <c r="H41">
        <v>0</v>
      </c>
      <c r="I41">
        <v>864132.95755559218</v>
      </c>
      <c r="J41">
        <v>625847.79523536423</v>
      </c>
      <c r="L41" s="22">
        <v>1489980.7527909563</v>
      </c>
    </row>
    <row r="42" spans="1:12" x14ac:dyDescent="0.4">
      <c r="A42" s="12">
        <v>45909</v>
      </c>
      <c r="B42">
        <v>2928.6323000000002</v>
      </c>
      <c r="C42">
        <v>4436.2583999999997</v>
      </c>
      <c r="D42">
        <v>6928.9651000000003</v>
      </c>
      <c r="E42">
        <v>7226.0276999999996</v>
      </c>
      <c r="G42">
        <v>0</v>
      </c>
      <c r="H42">
        <v>0</v>
      </c>
      <c r="I42">
        <v>855358.385813687</v>
      </c>
      <c r="J42">
        <v>575715.04099365429</v>
      </c>
      <c r="L42" s="22">
        <v>1431073.4268073412</v>
      </c>
    </row>
    <row r="43" spans="1:12" x14ac:dyDescent="0.4">
      <c r="A43" s="12">
        <v>45910</v>
      </c>
      <c r="B43">
        <v>2939.5911000000001</v>
      </c>
      <c r="C43">
        <v>4445.3648999999996</v>
      </c>
      <c r="D43">
        <v>6932.1091999999999</v>
      </c>
      <c r="E43">
        <v>7230.1678000000002</v>
      </c>
      <c r="G43">
        <v>0</v>
      </c>
      <c r="H43">
        <v>0</v>
      </c>
      <c r="I43">
        <v>860794.30238093482</v>
      </c>
      <c r="J43">
        <v>586804.21731286845</v>
      </c>
      <c r="L43" s="22">
        <v>1447598.519693803</v>
      </c>
    </row>
    <row r="44" spans="1:12" x14ac:dyDescent="0.4">
      <c r="A44" s="12">
        <v>45911</v>
      </c>
      <c r="B44">
        <v>2983.0828999999999</v>
      </c>
      <c r="C44">
        <v>4548.0344999999998</v>
      </c>
      <c r="D44">
        <v>7122.7051000000001</v>
      </c>
      <c r="E44">
        <v>7399.8854000000001</v>
      </c>
      <c r="G44">
        <v>0</v>
      </c>
      <c r="H44">
        <v>0</v>
      </c>
      <c r="I44">
        <v>890766.71070011752</v>
      </c>
      <c r="J44">
        <v>694528.41844326747</v>
      </c>
      <c r="L44" s="22">
        <v>1585295.1291433848</v>
      </c>
    </row>
    <row r="45" spans="1:12" x14ac:dyDescent="0.4">
      <c r="A45" s="12">
        <v>45912</v>
      </c>
      <c r="B45">
        <v>2968.5396999999998</v>
      </c>
      <c r="C45">
        <v>4521.9979999999996</v>
      </c>
      <c r="D45">
        <v>7147.7488999999996</v>
      </c>
      <c r="E45">
        <v>7422.8843999999999</v>
      </c>
      <c r="G45">
        <v>0</v>
      </c>
      <c r="H45">
        <v>0</v>
      </c>
      <c r="I45">
        <v>895290.6869275372</v>
      </c>
      <c r="J45">
        <v>711225.26142125635</v>
      </c>
      <c r="L45" s="22">
        <v>1606515.9483487934</v>
      </c>
    </row>
    <row r="46" spans="1:12" x14ac:dyDescent="0.4">
      <c r="A46" s="12">
        <v>45915</v>
      </c>
      <c r="B46">
        <v>2962.6154000000001</v>
      </c>
      <c r="C46">
        <v>4533.0556999999999</v>
      </c>
      <c r="D46">
        <v>7137.3626999999997</v>
      </c>
      <c r="E46">
        <v>7415.5711000000001</v>
      </c>
      <c r="G46">
        <v>0</v>
      </c>
      <c r="H46">
        <v>0</v>
      </c>
      <c r="I46">
        <v>897463.15018468373</v>
      </c>
      <c r="J46">
        <v>714227.34437319695</v>
      </c>
      <c r="L46" s="22">
        <v>1611690.4945578808</v>
      </c>
    </row>
    <row r="47" spans="1:12" x14ac:dyDescent="0.4">
      <c r="A47" s="12">
        <v>45916</v>
      </c>
      <c r="B47">
        <v>2947.8222000000001</v>
      </c>
      <c r="C47">
        <v>4523.3366999999998</v>
      </c>
      <c r="D47">
        <v>7190.9928</v>
      </c>
      <c r="E47">
        <v>7483.6282000000001</v>
      </c>
      <c r="G47">
        <v>0</v>
      </c>
      <c r="H47">
        <v>0</v>
      </c>
      <c r="I47">
        <v>902534.60522557143</v>
      </c>
      <c r="J47">
        <v>746952.75963612285</v>
      </c>
      <c r="L47" s="22">
        <v>1649487.3648616944</v>
      </c>
    </row>
    <row r="48" spans="1:12" x14ac:dyDescent="0.4">
      <c r="A48" s="12">
        <v>45917</v>
      </c>
      <c r="B48">
        <v>2952.7777999999998</v>
      </c>
      <c r="C48">
        <v>4551.0230000000001</v>
      </c>
      <c r="D48">
        <v>7260.0352999999996</v>
      </c>
      <c r="E48">
        <v>7554.8125</v>
      </c>
      <c r="G48">
        <v>0</v>
      </c>
      <c r="H48">
        <v>0</v>
      </c>
      <c r="I48">
        <v>906738.49372486537</v>
      </c>
      <c r="J48">
        <v>774937.64302042359</v>
      </c>
      <c r="L48" s="22">
        <v>1681676.136745289</v>
      </c>
    </row>
    <row r="49" spans="1:12" x14ac:dyDescent="0.4">
      <c r="A49" s="12">
        <v>45918</v>
      </c>
      <c r="B49">
        <v>2912.8256000000001</v>
      </c>
      <c r="C49">
        <v>4498.1090000000004</v>
      </c>
      <c r="D49">
        <v>7199.8828000000003</v>
      </c>
      <c r="E49">
        <v>7476.402</v>
      </c>
      <c r="G49">
        <v>0</v>
      </c>
      <c r="H49">
        <v>0</v>
      </c>
      <c r="I49">
        <v>907612.27776377171</v>
      </c>
      <c r="J49">
        <v>755682.64648207091</v>
      </c>
      <c r="L49" s="22">
        <v>1663294.9242458425</v>
      </c>
    </row>
    <row r="50" spans="1:12" x14ac:dyDescent="0.4">
      <c r="A50" s="12">
        <v>45919</v>
      </c>
      <c r="B50">
        <v>2909.7442000000001</v>
      </c>
      <c r="C50">
        <v>4501.9195</v>
      </c>
      <c r="D50">
        <v>7170.3487999999998</v>
      </c>
      <c r="E50">
        <v>7438.1886999999997</v>
      </c>
      <c r="G50">
        <v>0</v>
      </c>
      <c r="H50">
        <v>0</v>
      </c>
      <c r="I50">
        <v>909135.3134773639</v>
      </c>
      <c r="J50">
        <v>747449.67664257356</v>
      </c>
      <c r="L50" s="22">
        <v>1656584.9901199373</v>
      </c>
    </row>
    <row r="51" spans="1:12" x14ac:dyDescent="0.4">
      <c r="A51" s="12">
        <v>45922</v>
      </c>
      <c r="B51">
        <v>2922.1795000000002</v>
      </c>
      <c r="C51">
        <v>4522.6080000000002</v>
      </c>
      <c r="D51">
        <v>7225.1280999999999</v>
      </c>
      <c r="E51">
        <v>7489.4784</v>
      </c>
      <c r="G51">
        <v>0</v>
      </c>
      <c r="H51">
        <v>0</v>
      </c>
      <c r="I51">
        <v>912655.90219981514</v>
      </c>
      <c r="J51">
        <v>771137.85017370235</v>
      </c>
      <c r="L51" s="22">
        <v>1683793.7523735177</v>
      </c>
    </row>
    <row r="52" spans="1:12" x14ac:dyDescent="0.4">
      <c r="A52" s="12">
        <v>45923</v>
      </c>
      <c r="B52">
        <v>2919.5147999999999</v>
      </c>
      <c r="C52">
        <v>4519.7781000000004</v>
      </c>
      <c r="D52">
        <v>7180.7137000000002</v>
      </c>
      <c r="E52">
        <v>7408.0690999999997</v>
      </c>
      <c r="G52">
        <v>0</v>
      </c>
      <c r="H52">
        <v>0</v>
      </c>
      <c r="I52">
        <v>914021.92855173</v>
      </c>
      <c r="J52">
        <v>747279.22437076236</v>
      </c>
      <c r="L52" s="22">
        <v>1661301.1529224925</v>
      </c>
    </row>
    <row r="53" spans="1:12" x14ac:dyDescent="0.4">
      <c r="A53" s="12">
        <v>45924</v>
      </c>
      <c r="B53">
        <v>2939.5077999999999</v>
      </c>
      <c r="C53">
        <v>4566.0708000000004</v>
      </c>
      <c r="D53">
        <v>7323.7093000000004</v>
      </c>
      <c r="E53">
        <v>7534.2223000000004</v>
      </c>
      <c r="G53">
        <v>0</v>
      </c>
      <c r="H53">
        <v>0</v>
      </c>
      <c r="I53">
        <v>917743.44368912955</v>
      </c>
      <c r="J53">
        <v>946590.94994472782</v>
      </c>
      <c r="L53" s="22">
        <v>1864334.3936338574</v>
      </c>
    </row>
    <row r="54" spans="1:12" x14ac:dyDescent="0.4">
      <c r="A54" s="12">
        <v>45925</v>
      </c>
      <c r="B54">
        <v>2952.7352000000001</v>
      </c>
      <c r="C54">
        <v>4593.4875000000002</v>
      </c>
      <c r="D54">
        <v>7341.3238000000001</v>
      </c>
      <c r="E54">
        <v>7506.5123999999996</v>
      </c>
      <c r="G54">
        <v>0</v>
      </c>
      <c r="H54">
        <v>0</v>
      </c>
      <c r="I54">
        <v>919745.98486760422</v>
      </c>
      <c r="J54">
        <v>922415.94919233466</v>
      </c>
      <c r="L54" s="22">
        <v>1842161.9340599389</v>
      </c>
    </row>
    <row r="55" spans="1:12" x14ac:dyDescent="0.4">
      <c r="A55" s="12">
        <v>45926</v>
      </c>
      <c r="B55">
        <v>2941.0183999999999</v>
      </c>
      <c r="C55">
        <v>4550.0487000000003</v>
      </c>
      <c r="D55">
        <v>7240.9114</v>
      </c>
      <c r="E55">
        <v>7397.5893999999998</v>
      </c>
      <c r="G55">
        <v>0</v>
      </c>
      <c r="H55">
        <v>0</v>
      </c>
      <c r="I55">
        <v>921154.49554018327</v>
      </c>
      <c r="J55">
        <v>772606.67201996921</v>
      </c>
      <c r="L55" s="22">
        <v>1693761.1675601522</v>
      </c>
    </row>
    <row r="56" spans="1:12" x14ac:dyDescent="0.4">
      <c r="A56" s="12">
        <v>45929</v>
      </c>
      <c r="B56">
        <v>2973.0417000000002</v>
      </c>
      <c r="C56">
        <v>4620.0528000000004</v>
      </c>
      <c r="D56">
        <v>7350.5599000000002</v>
      </c>
      <c r="E56">
        <v>7497.8307999999997</v>
      </c>
      <c r="G56">
        <v>0</v>
      </c>
      <c r="H56">
        <v>0</v>
      </c>
      <c r="I56">
        <v>923550.65856250026</v>
      </c>
      <c r="J56">
        <v>937159.43391479575</v>
      </c>
      <c r="L56" s="22">
        <v>1860710.0924772962</v>
      </c>
    </row>
    <row r="57" spans="1:12" x14ac:dyDescent="0.4">
      <c r="A57" s="12">
        <v>45930</v>
      </c>
      <c r="B57">
        <v>2988.9386</v>
      </c>
      <c r="C57">
        <v>4640.6935000000003</v>
      </c>
      <c r="D57">
        <v>7412.3684000000003</v>
      </c>
      <c r="E57">
        <v>7574.9630999999999</v>
      </c>
      <c r="G57">
        <v>0</v>
      </c>
      <c r="H57">
        <v>0</v>
      </c>
      <c r="I57">
        <v>925488.84246554086</v>
      </c>
      <c r="J57">
        <v>1049731.10679392</v>
      </c>
      <c r="L57" s="22">
        <v>1975219.9492594607</v>
      </c>
    </row>
    <row r="58" spans="1:12" x14ac:dyDescent="0.4">
      <c r="A58" s="12">
        <v>45939</v>
      </c>
      <c r="B58">
        <v>3020.5963999999999</v>
      </c>
      <c r="C58">
        <v>4709.482</v>
      </c>
      <c r="D58">
        <v>7548.9225999999999</v>
      </c>
      <c r="E58">
        <v>7648.0523000000003</v>
      </c>
      <c r="G58">
        <v>0</v>
      </c>
      <c r="H58">
        <v>0</v>
      </c>
      <c r="I58">
        <v>927366.38040005486</v>
      </c>
      <c r="J58">
        <v>1144039.4417780768</v>
      </c>
      <c r="L58" s="22">
        <v>2071405.8221781319</v>
      </c>
    </row>
    <row r="59" spans="1:12" x14ac:dyDescent="0.4">
      <c r="A59" s="12">
        <v>45940</v>
      </c>
      <c r="B59">
        <v>2974.8535000000002</v>
      </c>
      <c r="C59">
        <v>4616.8341</v>
      </c>
      <c r="D59">
        <v>7398.2241000000004</v>
      </c>
      <c r="E59">
        <v>7533.8200999999999</v>
      </c>
      <c r="G59">
        <v>0</v>
      </c>
      <c r="H59">
        <v>0</v>
      </c>
      <c r="I59">
        <v>929151.93255970278</v>
      </c>
      <c r="J59">
        <v>1024716.0274278163</v>
      </c>
      <c r="L59" s="22">
        <v>1953867.9599875191</v>
      </c>
    </row>
    <row r="60" spans="1:12" x14ac:dyDescent="0.4">
      <c r="A60" s="12">
        <v>45943</v>
      </c>
      <c r="B60">
        <v>2967.2060000000001</v>
      </c>
      <c r="C60">
        <v>4593.9785000000002</v>
      </c>
      <c r="D60">
        <v>7376.5636000000004</v>
      </c>
      <c r="E60">
        <v>7519.7636000000002</v>
      </c>
      <c r="G60">
        <v>0</v>
      </c>
      <c r="H60">
        <v>0</v>
      </c>
      <c r="I60">
        <v>930973.1765475031</v>
      </c>
      <c r="J60">
        <v>826321.80016918748</v>
      </c>
      <c r="L60" s="22">
        <v>1757294.9767166905</v>
      </c>
    </row>
    <row r="61" spans="1:12" x14ac:dyDescent="0.4">
      <c r="A61" s="12">
        <v>45944</v>
      </c>
      <c r="B61">
        <v>2961.1010000000001</v>
      </c>
      <c r="C61">
        <v>4539.0644000000002</v>
      </c>
      <c r="D61">
        <v>7194.8509000000004</v>
      </c>
      <c r="E61">
        <v>7373.1522000000004</v>
      </c>
      <c r="G61">
        <v>0</v>
      </c>
      <c r="H61">
        <v>0</v>
      </c>
      <c r="I61">
        <v>932592.02152881725</v>
      </c>
      <c r="J61">
        <v>818097.55792998895</v>
      </c>
      <c r="L61" s="22">
        <v>1750689.5794588062</v>
      </c>
    </row>
    <row r="62" spans="1:12" x14ac:dyDescent="0.4">
      <c r="A62" s="12">
        <v>45945</v>
      </c>
      <c r="B62">
        <v>3001.3489</v>
      </c>
      <c r="C62">
        <v>4606.2879000000003</v>
      </c>
      <c r="D62">
        <v>7294.0014000000001</v>
      </c>
      <c r="E62">
        <v>7483.4489999999996</v>
      </c>
      <c r="G62">
        <v>0</v>
      </c>
      <c r="H62">
        <v>0</v>
      </c>
      <c r="I62">
        <v>934597.12674248265</v>
      </c>
      <c r="J62">
        <v>998365.92489508865</v>
      </c>
      <c r="L62" s="22">
        <v>1932963.0516375713</v>
      </c>
    </row>
    <row r="63" spans="1:12" x14ac:dyDescent="0.4">
      <c r="A63" s="12">
        <v>45946</v>
      </c>
      <c r="B63">
        <v>3019.1966000000002</v>
      </c>
      <c r="C63">
        <v>4618.4218000000001</v>
      </c>
      <c r="D63">
        <v>7231.5335999999998</v>
      </c>
      <c r="E63">
        <v>7401.8374999999996</v>
      </c>
      <c r="G63">
        <v>0</v>
      </c>
      <c r="H63">
        <v>0</v>
      </c>
      <c r="I63">
        <v>936394.3156415429</v>
      </c>
      <c r="J63">
        <v>892814.18908460229</v>
      </c>
      <c r="L63" s="22">
        <v>1829208.5047261452</v>
      </c>
    </row>
    <row r="64" spans="1:12" x14ac:dyDescent="0.4">
      <c r="A64" s="12">
        <v>45947</v>
      </c>
      <c r="B64">
        <v>2967.7748000000001</v>
      </c>
      <c r="C64">
        <v>4514.2344999999996</v>
      </c>
      <c r="D64">
        <v>7016.0661</v>
      </c>
      <c r="E64">
        <v>7185.4781000000003</v>
      </c>
      <c r="G64">
        <v>0</v>
      </c>
      <c r="H64">
        <v>0</v>
      </c>
      <c r="I64">
        <v>937548.99780926271</v>
      </c>
      <c r="J64">
        <v>506789.22663590469</v>
      </c>
      <c r="L64" s="22">
        <v>1444338.2244451672</v>
      </c>
    </row>
    <row r="65" spans="1:12" x14ac:dyDescent="0.4">
      <c r="A65" s="12">
        <v>45950</v>
      </c>
      <c r="B65">
        <v>2974.8647999999998</v>
      </c>
      <c r="C65">
        <v>4538.2200999999995</v>
      </c>
      <c r="D65">
        <v>7069.6412</v>
      </c>
      <c r="E65">
        <v>7239.1845000000003</v>
      </c>
      <c r="G65">
        <v>0</v>
      </c>
      <c r="H65">
        <v>0</v>
      </c>
      <c r="I65">
        <v>939845.78663351329</v>
      </c>
      <c r="J65">
        <v>633425.49730763887</v>
      </c>
      <c r="L65" s="22">
        <v>1573271.2839411523</v>
      </c>
    </row>
    <row r="66" spans="1:12" x14ac:dyDescent="0.4">
      <c r="A66" s="12">
        <v>45951</v>
      </c>
      <c r="B66">
        <v>3007.2633999999998</v>
      </c>
      <c r="C66">
        <v>4607.8715000000002</v>
      </c>
      <c r="D66">
        <v>7185.6239999999998</v>
      </c>
      <c r="E66">
        <v>7344.0468000000001</v>
      </c>
      <c r="G66">
        <v>0</v>
      </c>
      <c r="H66">
        <v>0</v>
      </c>
      <c r="I66">
        <v>941884.48784667684</v>
      </c>
      <c r="J66">
        <v>841186.60057920963</v>
      </c>
      <c r="L66" s="22">
        <v>1783071.0884258868</v>
      </c>
    </row>
    <row r="67" spans="1:12" x14ac:dyDescent="0.4">
      <c r="A67" s="12">
        <v>45952</v>
      </c>
      <c r="B67">
        <v>3010.0951</v>
      </c>
      <c r="C67">
        <v>4592.57</v>
      </c>
      <c r="D67">
        <v>7128.4776000000002</v>
      </c>
      <c r="E67">
        <v>7312.21</v>
      </c>
      <c r="G67">
        <v>0</v>
      </c>
      <c r="H67">
        <v>0</v>
      </c>
      <c r="I67">
        <v>943691.44089144247</v>
      </c>
      <c r="J67">
        <v>794690.65643850609</v>
      </c>
      <c r="L67" s="22">
        <v>1738382.0973299486</v>
      </c>
    </row>
    <row r="68" spans="1:12" x14ac:dyDescent="0.4">
      <c r="A68" s="12">
        <v>45953</v>
      </c>
      <c r="B68">
        <v>3026.9043999999999</v>
      </c>
      <c r="C68">
        <v>4606.3446999999996</v>
      </c>
      <c r="D68">
        <v>7142.9535999999998</v>
      </c>
      <c r="E68">
        <v>7308.0991999999997</v>
      </c>
      <c r="G68">
        <v>0</v>
      </c>
      <c r="H68">
        <v>0</v>
      </c>
      <c r="I68">
        <v>945530.45264722768</v>
      </c>
      <c r="J68">
        <v>908620.15320328809</v>
      </c>
      <c r="L68" s="22">
        <v>1854150.6058505159</v>
      </c>
    </row>
    <row r="69" spans="1:12" x14ac:dyDescent="0.4">
      <c r="A69" s="12">
        <v>45954</v>
      </c>
      <c r="B69">
        <v>3045.8161</v>
      </c>
      <c r="C69">
        <v>4660.6835000000001</v>
      </c>
      <c r="D69">
        <v>7258.5343000000003</v>
      </c>
      <c r="E69">
        <v>7419.2352000000001</v>
      </c>
      <c r="G69">
        <v>0</v>
      </c>
      <c r="H69">
        <v>0</v>
      </c>
      <c r="I69">
        <v>947361.78854941251</v>
      </c>
      <c r="J69">
        <v>1230452.9230455789</v>
      </c>
      <c r="L69" s="22">
        <v>2177814.7115949914</v>
      </c>
    </row>
    <row r="70" spans="1:12" x14ac:dyDescent="0.4">
      <c r="A70" s="12">
        <v>45957</v>
      </c>
      <c r="B70">
        <v>3069.5293000000001</v>
      </c>
      <c r="C70">
        <v>4716.0186000000003</v>
      </c>
      <c r="D70">
        <v>7379.3941000000004</v>
      </c>
      <c r="E70">
        <v>7495.3831</v>
      </c>
      <c r="G70">
        <v>0</v>
      </c>
      <c r="H70">
        <v>0</v>
      </c>
      <c r="I70">
        <v>949178.96997992601</v>
      </c>
      <c r="J70">
        <v>1421627.5741857477</v>
      </c>
      <c r="L70" s="22">
        <v>2370806.5441656737</v>
      </c>
    </row>
    <row r="71" spans="1:12" x14ac:dyDescent="0.4">
      <c r="A71" s="12">
        <v>45958</v>
      </c>
      <c r="B71">
        <v>3050.4162000000001</v>
      </c>
      <c r="C71">
        <v>4691.973</v>
      </c>
      <c r="D71">
        <v>7341.0303999999996</v>
      </c>
      <c r="E71">
        <v>7479.2209999999995</v>
      </c>
      <c r="G71">
        <v>0</v>
      </c>
      <c r="H71">
        <v>0</v>
      </c>
      <c r="I71">
        <v>950998.98992484086</v>
      </c>
      <c r="J71">
        <v>1406626.099591983</v>
      </c>
      <c r="L71" s="22">
        <v>2357625.0895168236</v>
      </c>
    </row>
    <row r="72" spans="1:12" x14ac:dyDescent="0.4">
      <c r="A72" s="12">
        <v>45959</v>
      </c>
      <c r="B72">
        <v>3063.0210000000002</v>
      </c>
      <c r="C72">
        <v>4747.8378000000002</v>
      </c>
      <c r="D72">
        <v>7480.9665999999997</v>
      </c>
      <c r="E72">
        <v>7569.1170000000002</v>
      </c>
      <c r="G72">
        <v>0</v>
      </c>
      <c r="H72">
        <v>0</v>
      </c>
      <c r="I72">
        <v>952822.06075164722</v>
      </c>
      <c r="J72">
        <v>1601683.5905407667</v>
      </c>
      <c r="L72" s="22">
        <v>2554505.6512924139</v>
      </c>
    </row>
    <row r="73" spans="1:12" x14ac:dyDescent="0.4">
      <c r="A73" s="12">
        <v>45960</v>
      </c>
      <c r="B73">
        <v>3046.6107999999999</v>
      </c>
      <c r="C73">
        <v>4709.9110000000001</v>
      </c>
      <c r="D73">
        <v>7385.7109</v>
      </c>
      <c r="E73">
        <v>7485.0847999999996</v>
      </c>
      <c r="G73">
        <v>0</v>
      </c>
      <c r="H73">
        <v>0</v>
      </c>
      <c r="I73">
        <v>953731.04195167683</v>
      </c>
      <c r="J73">
        <v>1368784.2901252494</v>
      </c>
      <c r="L73" s="22">
        <v>2322515.3320769263</v>
      </c>
    </row>
    <row r="74" spans="1:12" x14ac:dyDescent="0.4">
      <c r="A74" s="12">
        <v>45961</v>
      </c>
      <c r="B74">
        <v>3011.5547000000001</v>
      </c>
      <c r="C74">
        <v>4640.6675999999998</v>
      </c>
      <c r="D74">
        <v>7331.0030999999999</v>
      </c>
      <c r="E74">
        <v>7506.6746000000003</v>
      </c>
      <c r="G74">
        <v>0</v>
      </c>
      <c r="H74">
        <v>0</v>
      </c>
      <c r="I74">
        <v>954639.07684497209</v>
      </c>
      <c r="J74">
        <v>1471150.8090693508</v>
      </c>
      <c r="L74" s="22">
        <v>2425789.8859143225</v>
      </c>
    </row>
    <row r="75" spans="1:12" x14ac:dyDescent="0.4">
      <c r="A75" s="12">
        <v>45964</v>
      </c>
      <c r="B75">
        <v>3016.3507</v>
      </c>
      <c r="C75">
        <v>4653.4027999999998</v>
      </c>
      <c r="D75">
        <v>7333.6013000000003</v>
      </c>
      <c r="E75">
        <v>7538.1178</v>
      </c>
      <c r="G75">
        <v>0</v>
      </c>
      <c r="H75">
        <v>0</v>
      </c>
      <c r="I75">
        <v>1073885.7715613479</v>
      </c>
      <c r="J75">
        <v>1602242.7965354095</v>
      </c>
      <c r="L75" s="22">
        <v>2676128.5680967574</v>
      </c>
    </row>
    <row r="76" spans="1:12" x14ac:dyDescent="0.4">
      <c r="A76" s="12">
        <v>45965</v>
      </c>
      <c r="B76">
        <v>3012.9690999999998</v>
      </c>
      <c r="C76">
        <v>4618.6989999999996</v>
      </c>
      <c r="D76">
        <v>7210.8253000000004</v>
      </c>
      <c r="E76">
        <v>7435.7308000000003</v>
      </c>
      <c r="G76">
        <v>0</v>
      </c>
      <c r="H76">
        <v>0</v>
      </c>
      <c r="I76">
        <v>907493.18934003904</v>
      </c>
      <c r="J76">
        <v>1278498.9412082885</v>
      </c>
      <c r="L76" s="22">
        <v>2185992.1305483277</v>
      </c>
    </row>
    <row r="77" spans="1:12" x14ac:dyDescent="0.4">
      <c r="A77" s="12">
        <v>45966</v>
      </c>
      <c r="B77">
        <v>3007.97</v>
      </c>
      <c r="C77">
        <v>4627.2569999999996</v>
      </c>
      <c r="D77">
        <v>7229.3410000000003</v>
      </c>
      <c r="E77">
        <v>7464.8631999999998</v>
      </c>
      <c r="G77">
        <v>0</v>
      </c>
      <c r="H77">
        <v>0</v>
      </c>
      <c r="I77">
        <v>944192.38995982567</v>
      </c>
      <c r="J77">
        <v>1413433.7899804586</v>
      </c>
      <c r="L77" s="22">
        <v>2357626.1799402842</v>
      </c>
    </row>
    <row r="78" spans="1:12" x14ac:dyDescent="0.4">
      <c r="A78" s="12">
        <v>45967</v>
      </c>
      <c r="B78">
        <v>3044.7415999999998</v>
      </c>
      <c r="C78">
        <v>4693.4031999999997</v>
      </c>
      <c r="D78">
        <v>7345.723</v>
      </c>
      <c r="E78">
        <v>7551.8298999999997</v>
      </c>
      <c r="G78">
        <v>0</v>
      </c>
      <c r="H78">
        <v>0</v>
      </c>
      <c r="I78">
        <v>1116605.7965144913</v>
      </c>
      <c r="J78">
        <v>1728846.3990989858</v>
      </c>
      <c r="L78" s="22">
        <v>2845452.1956134774</v>
      </c>
    </row>
    <row r="79" spans="1:12" x14ac:dyDescent="0.4">
      <c r="A79" s="12">
        <v>45968</v>
      </c>
      <c r="B79">
        <v>3038.3454999999999</v>
      </c>
      <c r="C79">
        <v>4678.7943999999998</v>
      </c>
      <c r="D79">
        <v>7327.9107999999997</v>
      </c>
      <c r="E79">
        <v>7541.8779999999997</v>
      </c>
      <c r="G79">
        <v>0</v>
      </c>
      <c r="H79">
        <v>0</v>
      </c>
      <c r="I79">
        <v>1101005.3295358981</v>
      </c>
      <c r="J79">
        <v>1726270.0447344766</v>
      </c>
      <c r="L79" s="22">
        <v>2827275.3742703749</v>
      </c>
    </row>
    <row r="80" spans="1:12" x14ac:dyDescent="0.4">
      <c r="A80" s="12">
        <v>45971</v>
      </c>
      <c r="B80">
        <v>3053.857</v>
      </c>
      <c r="C80">
        <v>4695.0506999999998</v>
      </c>
      <c r="D80">
        <v>7343.8017</v>
      </c>
      <c r="E80">
        <v>7563.2534999999998</v>
      </c>
      <c r="G80">
        <v>0</v>
      </c>
      <c r="H80">
        <v>0</v>
      </c>
      <c r="I80">
        <v>1130252.5981540047</v>
      </c>
      <c r="J80">
        <v>1819071.821780588</v>
      </c>
      <c r="L80" s="22">
        <v>2949324.4199345931</v>
      </c>
    </row>
    <row r="81" spans="1:12" x14ac:dyDescent="0.4">
      <c r="A81" s="12">
        <v>45972</v>
      </c>
      <c r="B81">
        <v>3034.6329000000001</v>
      </c>
      <c r="C81">
        <v>4652.1655000000001</v>
      </c>
      <c r="D81">
        <v>7291.6084000000001</v>
      </c>
      <c r="E81">
        <v>7540.7910000000002</v>
      </c>
      <c r="G81">
        <v>0</v>
      </c>
      <c r="H81">
        <v>0</v>
      </c>
      <c r="I81">
        <v>1067517.683970771</v>
      </c>
      <c r="J81">
        <v>1779555.2321875528</v>
      </c>
      <c r="L81" s="22">
        <v>2847072.9161583241</v>
      </c>
    </row>
    <row r="82" spans="1:12" x14ac:dyDescent="0.4">
      <c r="A82" s="12">
        <v>45973</v>
      </c>
      <c r="B82">
        <v>3044.3011000000001</v>
      </c>
      <c r="C82">
        <v>4645.9079000000002</v>
      </c>
      <c r="D82">
        <v>7243.2483000000002</v>
      </c>
      <c r="E82">
        <v>7486.3765999999996</v>
      </c>
      <c r="G82">
        <v>0</v>
      </c>
      <c r="H82">
        <v>0</v>
      </c>
      <c r="I82">
        <v>1006177.5377370341</v>
      </c>
      <c r="J82">
        <v>1634890.2454070095</v>
      </c>
      <c r="L82" s="22">
        <v>2641067.7831440433</v>
      </c>
    </row>
    <row r="83" spans="1:12" x14ac:dyDescent="0.4">
      <c r="A83" s="12">
        <v>45974</v>
      </c>
      <c r="B83">
        <v>3073.6655999999998</v>
      </c>
      <c r="C83">
        <v>4702.0738000000001</v>
      </c>
      <c r="D83">
        <v>7355.2911000000004</v>
      </c>
      <c r="E83">
        <v>7590.5762999999997</v>
      </c>
      <c r="G83">
        <v>0</v>
      </c>
      <c r="H83">
        <v>0</v>
      </c>
      <c r="I83">
        <v>1169880.6916616689</v>
      </c>
      <c r="J83">
        <v>1519804.2183784046</v>
      </c>
      <c r="L83" s="22">
        <v>2689684.9100400731</v>
      </c>
    </row>
    <row r="84" spans="1:12" x14ac:dyDescent="0.4">
      <c r="A84" s="12">
        <v>45975</v>
      </c>
      <c r="B84">
        <v>3038.4254999999998</v>
      </c>
      <c r="C84">
        <v>4628.1397999999999</v>
      </c>
      <c r="D84">
        <v>7235.4616999999998</v>
      </c>
      <c r="E84">
        <v>7502.7566999999999</v>
      </c>
      <c r="G84">
        <v>0</v>
      </c>
      <c r="H84">
        <v>0</v>
      </c>
      <c r="I84">
        <v>1011024.6779613377</v>
      </c>
      <c r="J84">
        <v>1747548.2684586979</v>
      </c>
      <c r="L84" s="22">
        <v>2758572.9464200353</v>
      </c>
    </row>
    <row r="85" spans="1:12" x14ac:dyDescent="0.4">
      <c r="A85" s="12">
        <v>45978</v>
      </c>
      <c r="B85">
        <v>3012.0713999999998</v>
      </c>
      <c r="C85">
        <v>4598.0524999999998</v>
      </c>
      <c r="D85">
        <v>7235.3512000000001</v>
      </c>
      <c r="E85">
        <v>7523.0757999999996</v>
      </c>
      <c r="G85">
        <v>0</v>
      </c>
      <c r="H85">
        <v>0</v>
      </c>
      <c r="I85">
        <v>1027158.2204262496</v>
      </c>
      <c r="J85">
        <v>1840381.1894902214</v>
      </c>
      <c r="L85" s="22">
        <v>2867539.4099164712</v>
      </c>
    </row>
    <row r="86" spans="1:12" x14ac:dyDescent="0.4">
      <c r="A86" s="12">
        <v>45979</v>
      </c>
      <c r="B86">
        <v>3003.0174999999999</v>
      </c>
      <c r="C86">
        <v>4568.1927999999998</v>
      </c>
      <c r="D86">
        <v>7151.0176000000001</v>
      </c>
      <c r="E86">
        <v>7448.1007</v>
      </c>
      <c r="G86">
        <v>0</v>
      </c>
      <c r="H86">
        <v>0</v>
      </c>
      <c r="I86">
        <v>773117.35477169754</v>
      </c>
      <c r="J86">
        <v>1626624.9594421131</v>
      </c>
      <c r="L86" s="22">
        <v>2399742.3142138105</v>
      </c>
    </row>
    <row r="87" spans="1:12" x14ac:dyDescent="0.4">
      <c r="A87" s="12">
        <v>45980</v>
      </c>
      <c r="B87">
        <v>3020.3487</v>
      </c>
      <c r="C87">
        <v>4588.2921999999999</v>
      </c>
      <c r="D87">
        <v>7122.7465000000002</v>
      </c>
      <c r="E87">
        <v>7387.2084000000004</v>
      </c>
      <c r="G87">
        <v>0</v>
      </c>
      <c r="H87">
        <v>0</v>
      </c>
      <c r="I87">
        <v>693713.35844966338</v>
      </c>
      <c r="J87">
        <v>1437594.2613233053</v>
      </c>
      <c r="L87" s="22">
        <v>2131307.6197729688</v>
      </c>
    </row>
    <row r="88" spans="1:12" x14ac:dyDescent="0.4">
      <c r="A88" s="12">
        <v>45981</v>
      </c>
      <c r="B88">
        <v>3008.2903999999999</v>
      </c>
      <c r="C88">
        <v>4564.9483</v>
      </c>
      <c r="D88">
        <v>7061.9497000000001</v>
      </c>
      <c r="E88">
        <v>7340.4117999999999</v>
      </c>
      <c r="G88">
        <v>0</v>
      </c>
      <c r="H88">
        <v>0</v>
      </c>
      <c r="I88">
        <v>495807.44501185138</v>
      </c>
      <c r="J88">
        <v>1285751.0372018516</v>
      </c>
      <c r="L88" s="22">
        <v>1781558.482213703</v>
      </c>
    </row>
    <row r="89" spans="1:12" x14ac:dyDescent="0.4">
      <c r="A89" s="12">
        <v>45982</v>
      </c>
      <c r="B89">
        <v>2955.8541</v>
      </c>
      <c r="C89">
        <v>4453.6076000000003</v>
      </c>
      <c r="D89">
        <v>6817.4102999999996</v>
      </c>
      <c r="E89">
        <v>7067.7030000000004</v>
      </c>
      <c r="G89">
        <v>0</v>
      </c>
      <c r="H89">
        <v>0</v>
      </c>
      <c r="I89">
        <v>-445809.437296747</v>
      </c>
      <c r="J89">
        <v>-59302.91194640426</v>
      </c>
      <c r="L89" s="22">
        <v>-505112.34924315132</v>
      </c>
    </row>
    <row r="90" spans="1:12" x14ac:dyDescent="0.4">
      <c r="A90" s="12">
        <v>45985</v>
      </c>
      <c r="B90">
        <v>2950.5619999999999</v>
      </c>
      <c r="C90">
        <v>4448.0478000000003</v>
      </c>
      <c r="D90">
        <v>6868.9664000000002</v>
      </c>
      <c r="E90">
        <v>7156.4084999999995</v>
      </c>
      <c r="G90">
        <v>0</v>
      </c>
      <c r="H90">
        <v>0</v>
      </c>
      <c r="I90">
        <v>-219362.88590398256</v>
      </c>
      <c r="J90">
        <v>472140.85408595076</v>
      </c>
      <c r="L90" s="22">
        <v>252777.96818196803</v>
      </c>
    </row>
    <row r="91" spans="1:12" x14ac:dyDescent="0.4">
      <c r="A91" s="12">
        <v>45986</v>
      </c>
      <c r="B91">
        <v>2968.2022999999999</v>
      </c>
      <c r="C91">
        <v>4490.4047</v>
      </c>
      <c r="D91">
        <v>6954.6034</v>
      </c>
      <c r="E91">
        <v>7249.9471000000003</v>
      </c>
      <c r="G91">
        <v>0</v>
      </c>
      <c r="H91">
        <v>0</v>
      </c>
      <c r="I91">
        <v>138053.44492789009</v>
      </c>
      <c r="J91">
        <v>980290.94648938824</v>
      </c>
      <c r="L91" s="22">
        <v>1118344.3914172782</v>
      </c>
    </row>
    <row r="92" spans="1:12" x14ac:dyDescent="0.4">
      <c r="A92" s="12">
        <v>45987</v>
      </c>
      <c r="B92">
        <v>2971.7984999999999</v>
      </c>
      <c r="C92">
        <v>4517.6255000000001</v>
      </c>
      <c r="D92">
        <v>6965.0452999999998</v>
      </c>
      <c r="E92">
        <v>7248.4489000000003</v>
      </c>
      <c r="G92">
        <v>0</v>
      </c>
      <c r="H92">
        <v>0</v>
      </c>
      <c r="I92">
        <v>194001.05477223714</v>
      </c>
      <c r="J92">
        <v>1006624.0057912769</v>
      </c>
      <c r="L92" s="22">
        <v>1200625.0605635142</v>
      </c>
    </row>
    <row r="93" spans="1:12" x14ac:dyDescent="0.4">
      <c r="A93" s="12">
        <v>45988</v>
      </c>
      <c r="B93">
        <v>2972.2651000000001</v>
      </c>
      <c r="C93">
        <v>4515.4026999999996</v>
      </c>
      <c r="D93">
        <v>6951.2843999999996</v>
      </c>
      <c r="E93">
        <v>7257.4539999999997</v>
      </c>
      <c r="G93">
        <v>0</v>
      </c>
      <c r="H93">
        <v>0</v>
      </c>
      <c r="I93">
        <v>155165.3084439105</v>
      </c>
      <c r="J93">
        <v>1083309.4850288627</v>
      </c>
      <c r="L93" s="22">
        <v>1238474.7934727734</v>
      </c>
    </row>
    <row r="94" spans="1:12" x14ac:dyDescent="0.4">
      <c r="A94" s="12">
        <v>45989</v>
      </c>
      <c r="B94">
        <v>2969.6170999999999</v>
      </c>
      <c r="C94">
        <v>4526.6616000000004</v>
      </c>
      <c r="D94">
        <v>7031.5505000000003</v>
      </c>
      <c r="E94">
        <v>7334.2097000000003</v>
      </c>
      <c r="G94">
        <v>0</v>
      </c>
      <c r="H94">
        <v>0</v>
      </c>
      <c r="I94">
        <v>479879.07964136661</v>
      </c>
      <c r="J94">
        <v>1461538.4325607875</v>
      </c>
      <c r="L94" s="22">
        <v>1941417.5122021544</v>
      </c>
    </row>
    <row r="95" spans="1:12" x14ac:dyDescent="0.4">
      <c r="A95" s="12">
        <v>45992</v>
      </c>
      <c r="B95">
        <v>2993.6761000000001</v>
      </c>
      <c r="C95">
        <v>4576.4856</v>
      </c>
      <c r="D95">
        <v>7101.8323</v>
      </c>
      <c r="E95">
        <v>7386.6810999999998</v>
      </c>
      <c r="G95">
        <v>0</v>
      </c>
      <c r="H95">
        <v>0</v>
      </c>
      <c r="I95">
        <v>753060.60820542043</v>
      </c>
      <c r="J95">
        <v>1708000.7474051989</v>
      </c>
      <c r="L95" s="22">
        <v>2461061.3556106193</v>
      </c>
    </row>
    <row r="96" spans="1:12" x14ac:dyDescent="0.4">
      <c r="A96" s="12">
        <v>45993</v>
      </c>
      <c r="B96">
        <v>2978.4670999999998</v>
      </c>
      <c r="C96">
        <v>4554.3347000000003</v>
      </c>
      <c r="D96">
        <v>7040.3008</v>
      </c>
      <c r="E96">
        <v>7313.1779999999999</v>
      </c>
      <c r="G96">
        <v>0</v>
      </c>
      <c r="H96">
        <v>0</v>
      </c>
      <c r="I96">
        <v>545163.05496096518</v>
      </c>
      <c r="J96">
        <v>1439718.4281803588</v>
      </c>
      <c r="L96" s="22">
        <v>1984881.4831413243</v>
      </c>
    </row>
    <row r="97" spans="1:12" x14ac:dyDescent="0.4">
      <c r="A97" s="12">
        <v>45994</v>
      </c>
      <c r="B97">
        <v>2963.0763000000002</v>
      </c>
      <c r="C97">
        <v>4531.0486000000001</v>
      </c>
      <c r="D97">
        <v>6996.3552</v>
      </c>
      <c r="E97">
        <v>7248.2740000000003</v>
      </c>
      <c r="G97">
        <v>0</v>
      </c>
      <c r="H97">
        <v>0</v>
      </c>
      <c r="I97">
        <v>393786.26775170222</v>
      </c>
      <c r="J97">
        <v>1177049.8733999729</v>
      </c>
      <c r="L97" s="22">
        <v>1570836.141151675</v>
      </c>
    </row>
    <row r="98" spans="1:12" x14ac:dyDescent="0.4">
      <c r="A98" s="12">
        <v>45995</v>
      </c>
      <c r="B98">
        <v>2974.3371000000002</v>
      </c>
      <c r="C98">
        <v>4546.5663999999997</v>
      </c>
      <c r="D98">
        <v>7012.8060999999998</v>
      </c>
      <c r="E98">
        <v>7248.6572999999999</v>
      </c>
      <c r="G98">
        <v>0</v>
      </c>
      <c r="H98">
        <v>0</v>
      </c>
      <c r="I98">
        <v>473473.91898182023</v>
      </c>
      <c r="J98">
        <v>1213947.7136140778</v>
      </c>
      <c r="L98" s="22">
        <v>1687421.6325958981</v>
      </c>
    </row>
    <row r="99" spans="1:12" x14ac:dyDescent="0.4">
      <c r="A99" s="12">
        <v>45996</v>
      </c>
      <c r="B99">
        <v>3002.0086999999999</v>
      </c>
      <c r="C99">
        <v>4584.5367999999999</v>
      </c>
      <c r="D99">
        <v>7097.8388999999997</v>
      </c>
      <c r="E99">
        <v>7342.4924000000001</v>
      </c>
      <c r="G99">
        <v>0</v>
      </c>
      <c r="H99">
        <v>0</v>
      </c>
      <c r="I99">
        <v>807150.96847384423</v>
      </c>
      <c r="J99">
        <v>1669643.3115295675</v>
      </c>
      <c r="L99" s="22">
        <v>2476794.2800034112</v>
      </c>
    </row>
    <row r="100" spans="1:12" x14ac:dyDescent="0.4">
      <c r="A100" s="12">
        <v>45999</v>
      </c>
      <c r="B100">
        <v>3019.3620000000001</v>
      </c>
      <c r="C100">
        <v>4621.7545</v>
      </c>
      <c r="D100">
        <v>7172.3671000000004</v>
      </c>
      <c r="E100">
        <v>7423.0461999999998</v>
      </c>
      <c r="G100">
        <v>0</v>
      </c>
      <c r="H100">
        <v>0</v>
      </c>
      <c r="I100">
        <v>1084127.4530682224</v>
      </c>
      <c r="J100">
        <v>2015258.2895185258</v>
      </c>
      <c r="L100" s="22">
        <v>3099385.7425867482</v>
      </c>
    </row>
    <row r="101" spans="1:12" x14ac:dyDescent="0.4">
      <c r="A101" s="12">
        <v>46000</v>
      </c>
      <c r="B101">
        <v>2997.9603000000002</v>
      </c>
      <c r="C101">
        <v>4598.2232000000004</v>
      </c>
      <c r="D101">
        <v>7121.3256000000001</v>
      </c>
      <c r="E101">
        <v>7380.5834999999997</v>
      </c>
      <c r="G101">
        <v>0</v>
      </c>
      <c r="H101">
        <v>0</v>
      </c>
      <c r="I101">
        <v>926096.57788379397</v>
      </c>
      <c r="J101">
        <v>1893726.5759638562</v>
      </c>
      <c r="L101" s="22">
        <v>2819823.1538476506</v>
      </c>
    </row>
    <row r="102" spans="1:12" x14ac:dyDescent="0.4">
      <c r="A102" s="12">
        <v>46001</v>
      </c>
      <c r="B102">
        <v>2988.6374999999998</v>
      </c>
      <c r="C102">
        <v>4591.8272999999999</v>
      </c>
      <c r="D102">
        <v>7155.9943999999996</v>
      </c>
      <c r="E102">
        <v>7408.2440999999999</v>
      </c>
      <c r="G102">
        <v>0</v>
      </c>
      <c r="H102">
        <v>0</v>
      </c>
      <c r="I102">
        <v>1064882.8373535061</v>
      </c>
      <c r="J102">
        <v>2033578.3790484648</v>
      </c>
      <c r="L102" s="22">
        <v>3098461.2164019714</v>
      </c>
    </row>
    <row r="103" spans="1:12" x14ac:dyDescent="0.4">
      <c r="A103" s="12">
        <v>46002</v>
      </c>
      <c r="B103">
        <v>2977.0319</v>
      </c>
      <c r="C103">
        <v>4552.1848</v>
      </c>
      <c r="D103">
        <v>7082.8932000000004</v>
      </c>
      <c r="E103">
        <v>7311.9952000000003</v>
      </c>
      <c r="G103">
        <v>0</v>
      </c>
      <c r="H103">
        <v>0</v>
      </c>
      <c r="I103">
        <v>822603.33546873194</v>
      </c>
      <c r="J103">
        <v>1685606.3670132267</v>
      </c>
      <c r="L103" s="22">
        <v>2508209.7024819585</v>
      </c>
    </row>
    <row r="104" spans="1:12" x14ac:dyDescent="0.4">
      <c r="A104" s="12">
        <v>46003</v>
      </c>
      <c r="B104">
        <v>2994.6446000000001</v>
      </c>
      <c r="C104">
        <v>4580.95</v>
      </c>
      <c r="D104">
        <v>7169.7910000000002</v>
      </c>
      <c r="E104">
        <v>7370.9416000000001</v>
      </c>
      <c r="G104">
        <v>0</v>
      </c>
      <c r="H104">
        <v>0</v>
      </c>
      <c r="I104">
        <v>1148790.9694508298</v>
      </c>
      <c r="J104">
        <v>1967329.5312900553</v>
      </c>
      <c r="L104" s="22">
        <v>3116120.5007408853</v>
      </c>
    </row>
    <row r="105" spans="1:12" x14ac:dyDescent="0.4">
      <c r="A105" s="12">
        <v>46006</v>
      </c>
      <c r="B105">
        <v>2987.0684000000001</v>
      </c>
      <c r="C105">
        <v>4552.0595999999996</v>
      </c>
      <c r="D105">
        <v>7113.9620000000004</v>
      </c>
      <c r="E105">
        <v>7309.0775000000003</v>
      </c>
      <c r="G105">
        <v>0</v>
      </c>
      <c r="H105">
        <v>0</v>
      </c>
      <c r="I105">
        <v>971854.31487694976</v>
      </c>
      <c r="J105">
        <v>1748198.8034679224</v>
      </c>
      <c r="L105" s="22">
        <v>2720053.1183448718</v>
      </c>
    </row>
    <row r="106" spans="1:12" x14ac:dyDescent="0.4">
      <c r="A106" s="12">
        <v>46007</v>
      </c>
      <c r="B106">
        <v>2954.7872000000002</v>
      </c>
      <c r="C106">
        <v>4497.5545000000002</v>
      </c>
      <c r="D106">
        <v>7001.3188</v>
      </c>
      <c r="E106">
        <v>7181.62</v>
      </c>
      <c r="G106">
        <v>0</v>
      </c>
      <c r="H106">
        <v>0</v>
      </c>
      <c r="I106">
        <v>561247.26626791561</v>
      </c>
      <c r="J106">
        <v>1159344.2646457411</v>
      </c>
      <c r="L106" s="22">
        <v>1720591.5309136568</v>
      </c>
    </row>
    <row r="107" spans="1:12" x14ac:dyDescent="0.4">
      <c r="A107" s="12">
        <v>46008</v>
      </c>
      <c r="B107">
        <v>2991.6777000000002</v>
      </c>
      <c r="C107">
        <v>4579.875</v>
      </c>
      <c r="D107">
        <v>7137.8338999999996</v>
      </c>
      <c r="E107">
        <v>7288.7384000000002</v>
      </c>
      <c r="G107">
        <v>0</v>
      </c>
      <c r="H107">
        <v>0</v>
      </c>
      <c r="I107">
        <v>1094253.8908901443</v>
      </c>
      <c r="J107">
        <v>1732986.9459635783</v>
      </c>
      <c r="L107" s="22">
        <v>2827240.8368537226</v>
      </c>
    </row>
    <row r="108" spans="1:12" x14ac:dyDescent="0.4">
      <c r="A108" s="12">
        <v>46009</v>
      </c>
      <c r="B108">
        <v>2998.5169999999998</v>
      </c>
      <c r="C108">
        <v>4552.7925999999998</v>
      </c>
      <c r="D108">
        <v>7100.8359</v>
      </c>
      <c r="E108">
        <v>7272.4023999999999</v>
      </c>
      <c r="G108">
        <v>0</v>
      </c>
      <c r="H108">
        <v>0</v>
      </c>
      <c r="I108">
        <v>979284.39620427694</v>
      </c>
      <c r="J108">
        <v>1693887.0225503268</v>
      </c>
      <c r="L108" s="22">
        <v>2673171.4187546037</v>
      </c>
    </row>
    <row r="109" spans="1:12" x14ac:dyDescent="0.4">
      <c r="A109" s="12">
        <v>46010</v>
      </c>
      <c r="B109">
        <v>3004.3400999999999</v>
      </c>
      <c r="C109">
        <v>4568.1781000000001</v>
      </c>
      <c r="D109">
        <v>7169.5510999999997</v>
      </c>
      <c r="E109">
        <v>7329.8056999999999</v>
      </c>
      <c r="G109">
        <v>0</v>
      </c>
      <c r="H109">
        <v>0</v>
      </c>
      <c r="I109">
        <v>1243177.7494949142</v>
      </c>
      <c r="J109">
        <v>1995367.3477268927</v>
      </c>
      <c r="L109" s="22">
        <v>3238545.0972218071</v>
      </c>
    </row>
    <row r="110" spans="1:12" x14ac:dyDescent="0.4">
      <c r="A110" s="12">
        <v>46013</v>
      </c>
      <c r="B110">
        <v>3020.2285000000002</v>
      </c>
      <c r="C110">
        <v>4611.6234999999997</v>
      </c>
      <c r="D110">
        <v>7255.6607000000004</v>
      </c>
      <c r="E110">
        <v>7408.3487999999998</v>
      </c>
      <c r="G110">
        <v>0</v>
      </c>
      <c r="H110">
        <v>0</v>
      </c>
      <c r="I110">
        <v>1543734.967576554</v>
      </c>
      <c r="J110">
        <v>2358360.4742696858</v>
      </c>
      <c r="L110" s="22">
        <v>3902095.4418462403</v>
      </c>
    </row>
    <row r="111" spans="1:12" x14ac:dyDescent="0.4">
      <c r="A111" s="12">
        <v>46014</v>
      </c>
      <c r="B111">
        <v>3027.5194999999999</v>
      </c>
      <c r="C111">
        <v>4620.7340999999997</v>
      </c>
      <c r="D111">
        <v>7256.7864</v>
      </c>
      <c r="E111">
        <v>7392.4204</v>
      </c>
      <c r="G111">
        <v>0</v>
      </c>
      <c r="H111">
        <v>0</v>
      </c>
      <c r="I111">
        <v>1567603.5070551019</v>
      </c>
      <c r="J111">
        <v>2286565.8010148327</v>
      </c>
      <c r="L111" s="22">
        <v>3854169.3080699351</v>
      </c>
    </row>
    <row r="112" spans="1:12" x14ac:dyDescent="0.4">
      <c r="A112" s="12">
        <v>46015</v>
      </c>
      <c r="B112">
        <v>3025.1839</v>
      </c>
      <c r="C112">
        <v>4634.0586000000003</v>
      </c>
      <c r="D112">
        <v>7352.0396000000001</v>
      </c>
      <c r="E112">
        <v>7506.3814000000002</v>
      </c>
      <c r="G112">
        <v>0</v>
      </c>
      <c r="H112">
        <v>0</v>
      </c>
      <c r="I112">
        <v>1860579.9178994726</v>
      </c>
      <c r="J112">
        <v>2686019.8323306791</v>
      </c>
      <c r="L112" s="22">
        <v>4546599.7502301512</v>
      </c>
    </row>
    <row r="113" spans="1:12" x14ac:dyDescent="0.4">
      <c r="A113" s="12">
        <v>46016</v>
      </c>
      <c r="B113">
        <v>3032.8413999999998</v>
      </c>
      <c r="C113">
        <v>4642.5357000000004</v>
      </c>
      <c r="D113">
        <v>7410.7119000000002</v>
      </c>
      <c r="E113">
        <v>7579.3791000000001</v>
      </c>
      <c r="G113">
        <v>0</v>
      </c>
      <c r="H113">
        <v>0</v>
      </c>
      <c r="I113">
        <v>2027709.1068556365</v>
      </c>
      <c r="J113">
        <v>2908266.4590771352</v>
      </c>
      <c r="L113" s="22">
        <v>4935975.5659327712</v>
      </c>
    </row>
    <row r="114" spans="1:12" x14ac:dyDescent="0.4">
      <c r="A114" s="12">
        <v>46017</v>
      </c>
      <c r="B114">
        <v>3045.4036000000001</v>
      </c>
      <c r="C114">
        <v>4657.24</v>
      </c>
      <c r="D114">
        <v>7458.8386</v>
      </c>
      <c r="E114">
        <v>7605.5299000000005</v>
      </c>
      <c r="G114">
        <v>0</v>
      </c>
      <c r="H114">
        <v>0</v>
      </c>
      <c r="I114">
        <v>2155726.9663421973</v>
      </c>
      <c r="J114">
        <v>3034831.4573756051</v>
      </c>
      <c r="L114" s="22">
        <v>5190558.4237178015</v>
      </c>
    </row>
    <row r="115" spans="1:12" x14ac:dyDescent="0.4">
      <c r="A115" s="12">
        <v>46020</v>
      </c>
      <c r="B115">
        <v>3034.6347000000001</v>
      </c>
      <c r="C115">
        <v>4639.3720999999996</v>
      </c>
      <c r="D115">
        <v>7430.6147000000001</v>
      </c>
      <c r="E115">
        <v>7594.1575000000003</v>
      </c>
      <c r="G115">
        <v>0</v>
      </c>
      <c r="H115">
        <v>0</v>
      </c>
      <c r="I115">
        <v>2114884.9235213301</v>
      </c>
      <c r="J115">
        <v>3035622.0218479387</v>
      </c>
      <c r="L115" s="22">
        <v>5150506.9453692678</v>
      </c>
    </row>
    <row r="116" spans="1:12" x14ac:dyDescent="0.4">
      <c r="A116" s="12">
        <v>46021</v>
      </c>
      <c r="B116">
        <v>3036.5522999999998</v>
      </c>
      <c r="C116">
        <v>4651.2817999999997</v>
      </c>
      <c r="D116">
        <v>7458.9359999999997</v>
      </c>
      <c r="E116">
        <v>7597.299</v>
      </c>
      <c r="G116">
        <v>0</v>
      </c>
      <c r="H116">
        <v>0</v>
      </c>
      <c r="I116">
        <v>2196914.6662244713</v>
      </c>
      <c r="J116">
        <v>3084576.9356663311</v>
      </c>
      <c r="L116" s="22">
        <v>5281491.6018908015</v>
      </c>
    </row>
    <row r="117" spans="1:12" x14ac:dyDescent="0.4">
      <c r="A117" s="12">
        <v>46022</v>
      </c>
      <c r="B117">
        <v>3031.1257999999998</v>
      </c>
      <c r="C117">
        <v>4629.9395000000004</v>
      </c>
      <c r="D117">
        <v>7465.5742</v>
      </c>
      <c r="E117">
        <v>7595.2844999999998</v>
      </c>
      <c r="G117">
        <v>0</v>
      </c>
      <c r="H117">
        <v>0</v>
      </c>
      <c r="I117">
        <v>2231405.8832955281</v>
      </c>
      <c r="J117">
        <v>3128669.1345850392</v>
      </c>
      <c r="L117" s="22">
        <v>5360075.0178805664</v>
      </c>
    </row>
    <row r="118" spans="1:12" x14ac:dyDescent="0.4">
      <c r="A118" s="12">
        <v>46027</v>
      </c>
      <c r="B118">
        <v>3099.7462</v>
      </c>
      <c r="C118">
        <v>4717.7457000000004</v>
      </c>
      <c r="D118">
        <v>7651.1980999999996</v>
      </c>
      <c r="E118">
        <v>7753.88</v>
      </c>
      <c r="G118">
        <v>0</v>
      </c>
      <c r="H118">
        <v>0</v>
      </c>
      <c r="I118">
        <v>2546332.7052188637</v>
      </c>
      <c r="J118">
        <v>3939396.4526152182</v>
      </c>
      <c r="L118" s="22">
        <v>6485729.1578340791</v>
      </c>
    </row>
    <row r="119" spans="1:12" x14ac:dyDescent="0.4">
      <c r="A119" s="12">
        <v>46028</v>
      </c>
      <c r="B119">
        <v>3158.7631999999999</v>
      </c>
      <c r="C119">
        <v>4790.6938</v>
      </c>
      <c r="D119">
        <v>7814.1355999999996</v>
      </c>
      <c r="E119">
        <v>7864.9034000000001</v>
      </c>
      <c r="G119">
        <v>0</v>
      </c>
      <c r="H119">
        <v>0</v>
      </c>
      <c r="I119">
        <v>2704922.7668110225</v>
      </c>
      <c r="J119">
        <v>4380504.2018227717</v>
      </c>
      <c r="L119" s="22">
        <v>7085426.9686337924</v>
      </c>
    </row>
    <row r="120" spans="1:12" x14ac:dyDescent="0.4">
      <c r="A120" s="12">
        <v>46029</v>
      </c>
      <c r="B120">
        <v>3145.1197000000002</v>
      </c>
      <c r="C120">
        <v>4776.6657999999998</v>
      </c>
      <c r="D120">
        <v>7875.0821999999998</v>
      </c>
      <c r="E120">
        <v>7906.4197000000004</v>
      </c>
      <c r="G120">
        <v>0</v>
      </c>
      <c r="H120">
        <v>0</v>
      </c>
      <c r="I120">
        <v>2748495.4322090792</v>
      </c>
      <c r="J120">
        <v>4543049.3114291858</v>
      </c>
      <c r="L120" s="22">
        <v>7291544.7436382631</v>
      </c>
    </row>
    <row r="121" spans="1:12" x14ac:dyDescent="0.4">
      <c r="A121" s="12">
        <v>46030</v>
      </c>
      <c r="B121">
        <v>3122.0626999999999</v>
      </c>
      <c r="C121">
        <v>4737.6535999999996</v>
      </c>
      <c r="D121">
        <v>7894.5447000000004</v>
      </c>
      <c r="E121">
        <v>7971.5887000000002</v>
      </c>
      <c r="G121">
        <v>0</v>
      </c>
      <c r="H121">
        <v>0</v>
      </c>
      <c r="I121">
        <v>2766142.2885965663</v>
      </c>
      <c r="J121">
        <v>4746320.0476731351</v>
      </c>
      <c r="L121" s="22">
        <v>7512462.3362697</v>
      </c>
    </row>
    <row r="122" spans="1:12" x14ac:dyDescent="0.4">
      <c r="A122" s="12">
        <v>46031</v>
      </c>
      <c r="B122">
        <v>3134.3245000000002</v>
      </c>
      <c r="C122">
        <v>4758.9220999999998</v>
      </c>
      <c r="D122">
        <v>8056.6858000000002</v>
      </c>
      <c r="E122">
        <v>8129.1831000000002</v>
      </c>
      <c r="G122">
        <v>0</v>
      </c>
      <c r="H122">
        <v>0</v>
      </c>
      <c r="I122">
        <v>2815166.7629707311</v>
      </c>
      <c r="J122">
        <v>5216928.5267395172</v>
      </c>
      <c r="L122" s="22">
        <v>8032095.289710247</v>
      </c>
    </row>
    <row r="123" spans="1:12" x14ac:dyDescent="0.4">
      <c r="A123" s="12">
        <v>46034</v>
      </c>
      <c r="B123">
        <v>3143.7370999999998</v>
      </c>
      <c r="C123">
        <v>4789.9155000000001</v>
      </c>
      <c r="D123">
        <v>8249.1275000000005</v>
      </c>
      <c r="E123">
        <v>8357.0107000000007</v>
      </c>
      <c r="G123">
        <v>0</v>
      </c>
      <c r="H123">
        <v>0</v>
      </c>
      <c r="I123">
        <v>2836094.7344624395</v>
      </c>
      <c r="J123">
        <v>6078586.9037067648</v>
      </c>
      <c r="L123" s="22">
        <v>8914681.638169203</v>
      </c>
    </row>
    <row r="124" spans="1:12" x14ac:dyDescent="0.4">
      <c r="A124" s="12">
        <v>46035</v>
      </c>
      <c r="B124">
        <v>3132.9328</v>
      </c>
      <c r="C124">
        <v>4761.0324000000001</v>
      </c>
      <c r="D124">
        <v>8143.28</v>
      </c>
      <c r="E124">
        <v>8203.1327000000001</v>
      </c>
      <c r="G124">
        <v>0</v>
      </c>
      <c r="H124">
        <v>0</v>
      </c>
      <c r="I124">
        <v>2833530.9097987493</v>
      </c>
      <c r="J124">
        <v>5529124.1406635251</v>
      </c>
      <c r="K124" s="22"/>
      <c r="L124" s="22">
        <v>8362655.0504622711</v>
      </c>
    </row>
    <row r="125" spans="1:12" x14ac:dyDescent="0.4">
      <c r="A125" s="12">
        <v>46036</v>
      </c>
      <c r="B125">
        <v>3112.0745000000002</v>
      </c>
      <c r="C125">
        <v>4741.9305999999997</v>
      </c>
      <c r="D125">
        <v>8227.6970000000001</v>
      </c>
      <c r="E125">
        <v>8257.1715999999997</v>
      </c>
      <c r="G125">
        <v>0</v>
      </c>
      <c r="H125">
        <v>0</v>
      </c>
      <c r="I125">
        <v>2841135.0203006868</v>
      </c>
      <c r="J125">
        <v>5824977.8113404866</v>
      </c>
      <c r="K125" s="22"/>
      <c r="L125" s="22">
        <v>8666112.831641173</v>
      </c>
    </row>
    <row r="126" spans="1:12" x14ac:dyDescent="0.4">
      <c r="A126" s="12">
        <v>46037</v>
      </c>
      <c r="B126">
        <v>3105.5751</v>
      </c>
      <c r="C126">
        <v>4751.4292999999998</v>
      </c>
      <c r="D126">
        <v>8223.2682999999997</v>
      </c>
      <c r="E126">
        <v>8240.7751000000007</v>
      </c>
      <c r="G126">
        <v>0</v>
      </c>
      <c r="H126">
        <v>0</v>
      </c>
      <c r="I126">
        <v>2843796.8365584798</v>
      </c>
      <c r="J126">
        <v>5804071.3552090656</v>
      </c>
      <c r="K126" s="22"/>
      <c r="L126" s="22">
        <v>8647868.1917675436</v>
      </c>
    </row>
    <row r="127" spans="1:12" x14ac:dyDescent="0.4">
      <c r="A127" s="12">
        <v>46038</v>
      </c>
      <c r="B127">
        <v>3079.7631000000001</v>
      </c>
      <c r="C127">
        <v>4731.8728000000001</v>
      </c>
      <c r="D127">
        <v>8232.6740000000009</v>
      </c>
      <c r="E127">
        <v>8232.7293000000009</v>
      </c>
      <c r="G127">
        <v>0</v>
      </c>
      <c r="H127">
        <v>0</v>
      </c>
      <c r="I127">
        <v>2846713.8375762971</v>
      </c>
      <c r="J127">
        <v>5819425.6120101828</v>
      </c>
      <c r="K127" s="22"/>
      <c r="L127" s="22">
        <v>8666139.449586479</v>
      </c>
    </row>
    <row r="128" spans="1:12" x14ac:dyDescent="0.4">
      <c r="A128" s="12">
        <v>46041</v>
      </c>
      <c r="B128">
        <v>3075.9357</v>
      </c>
      <c r="C128">
        <v>4734.4556000000002</v>
      </c>
      <c r="D128">
        <v>8287.9470000000001</v>
      </c>
      <c r="E128">
        <v>8265.6461999999992</v>
      </c>
      <c r="G128">
        <v>0</v>
      </c>
      <c r="H128">
        <v>0</v>
      </c>
      <c r="I128">
        <v>2850087.9938613325</v>
      </c>
      <c r="J128">
        <v>6009785.1680128574</v>
      </c>
      <c r="K128" s="22"/>
      <c r="L128" s="22">
        <v>8859873.1618741881</v>
      </c>
    </row>
    <row r="129" spans="1:12" x14ac:dyDescent="0.4">
      <c r="A129" s="12">
        <v>46042</v>
      </c>
      <c r="B129">
        <v>3070.6460000000002</v>
      </c>
      <c r="C129">
        <v>4718.8782000000001</v>
      </c>
      <c r="D129">
        <v>8247.8048999999992</v>
      </c>
      <c r="E129">
        <v>8182.7521999999999</v>
      </c>
      <c r="G129">
        <v>0</v>
      </c>
      <c r="H129">
        <v>0</v>
      </c>
      <c r="I129">
        <v>2851881.2335546063</v>
      </c>
      <c r="J129">
        <v>5696580.2382181156</v>
      </c>
      <c r="K129" s="22"/>
      <c r="L129" s="22">
        <v>8548461.471772721</v>
      </c>
    </row>
    <row r="130" spans="1:12" x14ac:dyDescent="0.4">
      <c r="A130" s="12">
        <v>46043</v>
      </c>
      <c r="B130">
        <v>3067.1752999999999</v>
      </c>
      <c r="C130">
        <v>4723.0691999999999</v>
      </c>
      <c r="D130">
        <v>8340.1133000000009</v>
      </c>
      <c r="E130">
        <v>8247.6797999999999</v>
      </c>
      <c r="G130">
        <v>0</v>
      </c>
      <c r="H130">
        <v>0</v>
      </c>
      <c r="I130">
        <v>2854828.6933844574</v>
      </c>
      <c r="J130">
        <v>6033428.5291604344</v>
      </c>
      <c r="K130" s="22"/>
      <c r="L130" s="22">
        <v>8888257.2225448899</v>
      </c>
    </row>
    <row r="131" spans="1:12" x14ac:dyDescent="0.4">
      <c r="A131" s="12">
        <v>46044</v>
      </c>
      <c r="B131">
        <v>3053.1277</v>
      </c>
      <c r="C131">
        <v>4723.7091</v>
      </c>
      <c r="D131">
        <v>8387.5949999999993</v>
      </c>
      <c r="E131">
        <v>8309.3456000000006</v>
      </c>
      <c r="G131">
        <v>0</v>
      </c>
      <c r="H131">
        <v>0</v>
      </c>
      <c r="I131">
        <v>2857005.0146874851</v>
      </c>
      <c r="J131">
        <v>6325701.9043257982</v>
      </c>
      <c r="K131" s="22"/>
      <c r="L131" s="22">
        <v>9182706.9190132823</v>
      </c>
    </row>
    <row r="132" spans="1:12" x14ac:dyDescent="0.4">
      <c r="A132" s="12">
        <v>46045</v>
      </c>
      <c r="B132">
        <v>3032.1930000000002</v>
      </c>
      <c r="C132">
        <v>4702.4966000000004</v>
      </c>
      <c r="D132">
        <v>8590.1659</v>
      </c>
      <c r="E132">
        <v>8470.7438000000002</v>
      </c>
      <c r="G132">
        <v>0</v>
      </c>
      <c r="H132">
        <v>0</v>
      </c>
      <c r="I132">
        <v>2859097.6252634497</v>
      </c>
      <c r="J132">
        <v>6900123.0297060814</v>
      </c>
      <c r="K132" s="22"/>
      <c r="L132" s="22">
        <v>9759220.6549695302</v>
      </c>
    </row>
    <row r="133" spans="1:12" x14ac:dyDescent="0.4">
      <c r="A133" s="12">
        <v>46048</v>
      </c>
      <c r="B133">
        <v>3049.5871000000002</v>
      </c>
      <c r="C133">
        <v>4706.9639999999999</v>
      </c>
      <c r="D133">
        <v>8506.6931999999997</v>
      </c>
      <c r="E133">
        <v>8365.4344999999994</v>
      </c>
      <c r="G133">
        <v>0</v>
      </c>
      <c r="H133">
        <v>0</v>
      </c>
      <c r="I133">
        <v>2860991.9496318125</v>
      </c>
      <c r="J133">
        <v>6614302.9328714786</v>
      </c>
      <c r="K133" s="22"/>
      <c r="L133" s="22">
        <v>9475294.8825032897</v>
      </c>
    </row>
    <row r="134" spans="1:12" x14ac:dyDescent="0.4">
      <c r="A134" s="12">
        <v>46049</v>
      </c>
      <c r="B134">
        <v>3052.3932</v>
      </c>
      <c r="C134">
        <v>4705.6917999999996</v>
      </c>
      <c r="D134">
        <v>8548.9321</v>
      </c>
      <c r="E134">
        <v>8382.1532999999999</v>
      </c>
      <c r="G134">
        <v>0</v>
      </c>
      <c r="H134">
        <v>0</v>
      </c>
      <c r="I134">
        <v>2862907.7120269691</v>
      </c>
      <c r="J134">
        <v>6906504.0238405094</v>
      </c>
      <c r="K134" s="22"/>
      <c r="L134" s="22">
        <v>9769411.735867478</v>
      </c>
    </row>
    <row r="135" spans="1:12" x14ac:dyDescent="0.4">
      <c r="A135" s="12">
        <v>46050</v>
      </c>
      <c r="B135">
        <v>3060.5569999999998</v>
      </c>
      <c r="C135">
        <v>4717.9913999999999</v>
      </c>
      <c r="D135">
        <v>8601.1643999999997</v>
      </c>
      <c r="E135">
        <v>8399.7937999999995</v>
      </c>
      <c r="G135">
        <v>0</v>
      </c>
      <c r="H135">
        <v>0</v>
      </c>
      <c r="I135">
        <v>2864812.0627161888</v>
      </c>
      <c r="J135">
        <v>7047423.6428404609</v>
      </c>
      <c r="K135" s="22"/>
      <c r="L135">
        <v>9912235.7055566497</v>
      </c>
    </row>
    <row r="136" spans="1:12" x14ac:dyDescent="0.4">
      <c r="A136" s="12">
        <v>46051</v>
      </c>
      <c r="B136">
        <v>3110.9135000000001</v>
      </c>
      <c r="C136">
        <v>4753.8697000000002</v>
      </c>
      <c r="D136">
        <v>8517.8428999999996</v>
      </c>
      <c r="E136">
        <v>8332.2067000000006</v>
      </c>
      <c r="G136">
        <v>0</v>
      </c>
      <c r="H136">
        <v>0</v>
      </c>
      <c r="I136">
        <v>2866712.1764588915</v>
      </c>
      <c r="J136">
        <v>6768151.4602693673</v>
      </c>
      <c r="K136" s="22"/>
      <c r="L136">
        <v>9634863.6367282588</v>
      </c>
    </row>
    <row r="137" spans="1:12" x14ac:dyDescent="0.4">
      <c r="A137" s="12">
        <v>46052</v>
      </c>
      <c r="B137">
        <v>3066.4962999999998</v>
      </c>
      <c r="C137">
        <v>4706.3401000000003</v>
      </c>
      <c r="D137">
        <v>8370.5203000000001</v>
      </c>
      <c r="E137">
        <v>8254.8603000000003</v>
      </c>
      <c r="G137">
        <v>0</v>
      </c>
      <c r="H137">
        <v>0</v>
      </c>
      <c r="I137">
        <v>2868607.5920774071</v>
      </c>
      <c r="J137">
        <v>6403527.4893668508</v>
      </c>
      <c r="K137" s="22"/>
      <c r="L137">
        <v>9272135.0814442579</v>
      </c>
    </row>
    <row r="138" spans="1:12" x14ac:dyDescent="0.4">
      <c r="A138" s="12">
        <v>46055</v>
      </c>
      <c r="B138">
        <v>3003.1372999999999</v>
      </c>
      <c r="C138">
        <v>4605.9799000000003</v>
      </c>
      <c r="D138">
        <v>8037.0456000000004</v>
      </c>
      <c r="E138">
        <v>7975.4282999999996</v>
      </c>
      <c r="G138">
        <v>0</v>
      </c>
      <c r="H138">
        <v>0</v>
      </c>
      <c r="I138">
        <v>2870093.6140617738</v>
      </c>
      <c r="J138">
        <v>4519831.0815527113</v>
      </c>
      <c r="K138" s="22"/>
      <c r="L138">
        <v>7389924.6956144851</v>
      </c>
    </row>
    <row r="139" spans="1:12" x14ac:dyDescent="0.4">
      <c r="A139" s="12">
        <v>46056</v>
      </c>
      <c r="B139">
        <v>3034.5803000000001</v>
      </c>
      <c r="C139">
        <v>4660.1073999999999</v>
      </c>
      <c r="D139">
        <v>8286.7005000000008</v>
      </c>
      <c r="E139">
        <v>8209.1010000000006</v>
      </c>
      <c r="G139">
        <v>0</v>
      </c>
      <c r="H139">
        <v>0</v>
      </c>
      <c r="I139">
        <v>2872420.4254380474</v>
      </c>
      <c r="J139">
        <v>6253899.3872746322</v>
      </c>
      <c r="K139" s="22"/>
      <c r="L139">
        <v>9126319.8127126805</v>
      </c>
    </row>
    <row r="140" spans="1:12" x14ac:dyDescent="0.4">
      <c r="A140" s="12">
        <v>46057</v>
      </c>
      <c r="B140">
        <v>3069.2431999999999</v>
      </c>
      <c r="C140">
        <v>4698.6832000000004</v>
      </c>
      <c r="D140">
        <v>8299.0573999999997</v>
      </c>
      <c r="E140">
        <v>8207.1203000000005</v>
      </c>
      <c r="G140">
        <v>0</v>
      </c>
      <c r="H140">
        <v>0</v>
      </c>
      <c r="I140">
        <v>2873378.0939057805</v>
      </c>
      <c r="J140">
        <v>6303164.6438412014</v>
      </c>
      <c r="K140" s="22"/>
      <c r="L140">
        <v>9176542.7377469819</v>
      </c>
    </row>
    <row r="141" spans="1:12" x14ac:dyDescent="0.4">
      <c r="A141" s="12">
        <v>46058</v>
      </c>
      <c r="B141">
        <v>3059.0120000000002</v>
      </c>
      <c r="C141">
        <v>4670.4188000000004</v>
      </c>
      <c r="D141">
        <v>8146.1072999999997</v>
      </c>
      <c r="E141">
        <v>8068.0766999999996</v>
      </c>
      <c r="G141">
        <v>0</v>
      </c>
      <c r="H141">
        <v>0</v>
      </c>
      <c r="I141">
        <v>2874328.2591446638</v>
      </c>
      <c r="J141">
        <v>5411790.1013420392</v>
      </c>
      <c r="K141" s="22"/>
      <c r="L141">
        <v>8286118.360486703</v>
      </c>
    </row>
    <row r="142" spans="1:12" x14ac:dyDescent="0.4">
      <c r="A142" s="12">
        <v>46059</v>
      </c>
      <c r="B142">
        <v>3037.8602000000001</v>
      </c>
      <c r="C142">
        <v>4643.5959000000003</v>
      </c>
      <c r="D142">
        <v>8146.4128000000001</v>
      </c>
      <c r="E142">
        <v>8051.5742</v>
      </c>
      <c r="G142">
        <v>0</v>
      </c>
      <c r="H142">
        <v>0</v>
      </c>
      <c r="I142">
        <v>2875285.6079712654</v>
      </c>
      <c r="J142">
        <v>5391299.6211279407</v>
      </c>
      <c r="K142" s="22"/>
      <c r="L142">
        <v>8266585.2290992066</v>
      </c>
    </row>
    <row r="143" spans="1:12" x14ac:dyDescent="0.4">
      <c r="A143" s="12">
        <v>46062</v>
      </c>
      <c r="B143">
        <v>3081.7791000000002</v>
      </c>
      <c r="C143">
        <v>4719.0559000000003</v>
      </c>
      <c r="D143">
        <v>8311.2829000000002</v>
      </c>
      <c r="E143">
        <v>8233.7782999999999</v>
      </c>
      <c r="G143">
        <v>0</v>
      </c>
      <c r="H143">
        <v>0</v>
      </c>
      <c r="I143">
        <v>2876240.1583890026</v>
      </c>
      <c r="J143">
        <v>6847262.2198272217</v>
      </c>
      <c r="K143" s="22"/>
      <c r="L143">
        <v>9723502.3782162238</v>
      </c>
    </row>
    <row r="144" spans="1:12" x14ac:dyDescent="0.4">
      <c r="A144" s="12">
        <v>46063</v>
      </c>
      <c r="B144">
        <v>3087.4050000000002</v>
      </c>
      <c r="C144">
        <v>4724.2956000000004</v>
      </c>
      <c r="D144">
        <v>8306.4447999999993</v>
      </c>
      <c r="E144">
        <v>8250.3001000000004</v>
      </c>
      <c r="G144">
        <v>0</v>
      </c>
      <c r="H144">
        <v>0</v>
      </c>
      <c r="I144">
        <v>2877193.3243276034</v>
      </c>
      <c r="J144">
        <v>7031181.9293690603</v>
      </c>
      <c r="L144">
        <v>9908375.2536966633</v>
      </c>
    </row>
    <row r="145" spans="1:12" x14ac:dyDescent="0.4">
      <c r="A145" s="12">
        <v>46064</v>
      </c>
      <c r="B145">
        <v>3088.4571000000001</v>
      </c>
      <c r="C145">
        <v>4713.8185000000003</v>
      </c>
      <c r="D145">
        <v>8325.8107</v>
      </c>
      <c r="E145">
        <v>8239.5130000000008</v>
      </c>
      <c r="G145">
        <v>0</v>
      </c>
      <c r="H145">
        <v>0</v>
      </c>
      <c r="I145">
        <v>2883901.3010301753</v>
      </c>
      <c r="J145">
        <v>7021988.8016438885</v>
      </c>
      <c r="L145">
        <v>9905890.1026740633</v>
      </c>
    </row>
    <row r="146" spans="1:12" x14ac:dyDescent="0.4">
      <c r="A146" s="12">
        <v>46065</v>
      </c>
      <c r="B146">
        <v>3079.7273</v>
      </c>
      <c r="C146">
        <v>4719.5780000000004</v>
      </c>
      <c r="D146">
        <v>8423.5694999999996</v>
      </c>
      <c r="E146">
        <v>8314.8322000000007</v>
      </c>
      <c r="G146">
        <v>0</v>
      </c>
      <c r="H146">
        <v>0</v>
      </c>
      <c r="I146">
        <v>2879101.4285339955</v>
      </c>
      <c r="J146">
        <v>7247721.3844418544</v>
      </c>
      <c r="L146">
        <v>10126822.81297585</v>
      </c>
    </row>
    <row r="147" spans="1:12" x14ac:dyDescent="0.4">
      <c r="A147" s="12">
        <v>46066</v>
      </c>
      <c r="B147">
        <v>3034.3458999999998</v>
      </c>
      <c r="C147">
        <v>4660.4056</v>
      </c>
      <c r="D147">
        <v>8299.5849999999991</v>
      </c>
      <c r="E147">
        <v>8204.8294000000005</v>
      </c>
      <c r="G147">
        <v>0</v>
      </c>
      <c r="H147">
        <v>0</v>
      </c>
      <c r="I147">
        <v>2880055.7180012581</v>
      </c>
      <c r="J147">
        <v>6943435.8706244361</v>
      </c>
      <c r="L147">
        <v>9823491.5886256937</v>
      </c>
    </row>
    <row r="148" spans="1:12" x14ac:dyDescent="0.4">
      <c r="A148" s="12">
        <v>46077</v>
      </c>
      <c r="B148">
        <v>3041.3242</v>
      </c>
      <c r="C148">
        <v>4707.5439999999999</v>
      </c>
      <c r="D148">
        <v>8392.9097999999994</v>
      </c>
      <c r="E148">
        <v>8299.7705000000005</v>
      </c>
      <c r="G148">
        <v>0</v>
      </c>
      <c r="H148">
        <v>0</v>
      </c>
      <c r="I148">
        <v>2881016.4387671235</v>
      </c>
      <c r="J148">
        <v>7628110.6925855819</v>
      </c>
      <c r="L148">
        <v>10509127.131352706</v>
      </c>
    </row>
    <row r="149" spans="1:12" x14ac:dyDescent="0.4">
      <c r="A149" s="12">
        <v>46078</v>
      </c>
      <c r="B149">
        <v>3054.9247</v>
      </c>
      <c r="C149">
        <v>4735.8858</v>
      </c>
      <c r="D149">
        <v>8527.5593000000008</v>
      </c>
      <c r="E149">
        <v>8426.3313999999991</v>
      </c>
      <c r="G149">
        <v>0</v>
      </c>
      <c r="H149">
        <v>0</v>
      </c>
      <c r="I149">
        <v>2881016.4387671235</v>
      </c>
      <c r="J149">
        <v>8371225.6044650348</v>
      </c>
      <c r="L149">
        <v>11252242.043232158</v>
      </c>
    </row>
    <row r="150" spans="1:12" x14ac:dyDescent="0.4">
      <c r="A150" s="12">
        <v>46079</v>
      </c>
      <c r="B150">
        <v>3035.0707000000002</v>
      </c>
      <c r="C150">
        <v>4726.8738999999996</v>
      </c>
      <c r="D150">
        <v>8557.2160000000003</v>
      </c>
      <c r="E150">
        <v>8490.6172999999999</v>
      </c>
      <c r="G150">
        <v>0</v>
      </c>
      <c r="H150">
        <v>0</v>
      </c>
      <c r="I150">
        <v>2881016.4387671235</v>
      </c>
      <c r="J150">
        <v>8810131.8720134273</v>
      </c>
      <c r="L150">
        <v>11691148.310780551</v>
      </c>
    </row>
    <row r="151" spans="1:12" x14ac:dyDescent="0.4">
      <c r="A151" s="12">
        <v>46080</v>
      </c>
      <c r="B151">
        <v>3039.431</v>
      </c>
      <c r="C151">
        <v>4710.6468999999997</v>
      </c>
      <c r="D151">
        <v>8658.4503000000004</v>
      </c>
      <c r="E151">
        <v>8560.8433000000005</v>
      </c>
      <c r="G151">
        <v>0</v>
      </c>
      <c r="H151">
        <v>0</v>
      </c>
      <c r="I151">
        <v>2881016.4387671235</v>
      </c>
      <c r="J151">
        <v>9287704.2208610997</v>
      </c>
      <c r="L151">
        <v>12168720.659628224</v>
      </c>
    </row>
    <row r="152" spans="1:12" x14ac:dyDescent="0.4">
      <c r="A152" s="12">
        <v>46083</v>
      </c>
      <c r="B152">
        <v>3046.4666999999999</v>
      </c>
      <c r="C152">
        <v>4728.6688000000004</v>
      </c>
      <c r="D152">
        <v>8658.3335999999999</v>
      </c>
      <c r="E152">
        <v>8476.9650000000001</v>
      </c>
      <c r="G152">
        <v>0</v>
      </c>
      <c r="H152">
        <v>0</v>
      </c>
      <c r="I152">
        <v>2881016.4387671235</v>
      </c>
      <c r="J152">
        <v>8877979.0012584291</v>
      </c>
      <c r="L152">
        <v>11758995.440025553</v>
      </c>
    </row>
    <row r="153" spans="1:12" x14ac:dyDescent="0.4">
      <c r="A153" s="12">
        <v>46084</v>
      </c>
      <c r="B153">
        <v>3014.2701999999999</v>
      </c>
      <c r="C153">
        <v>4655.8962000000001</v>
      </c>
      <c r="D153">
        <v>8281.6139000000003</v>
      </c>
      <c r="E153">
        <v>8142.4538000000002</v>
      </c>
      <c r="G153">
        <v>0</v>
      </c>
      <c r="H153">
        <v>0</v>
      </c>
      <c r="I153">
        <v>2881016.4387671235</v>
      </c>
      <c r="J153">
        <v>6290566.1283254428</v>
      </c>
      <c r="L153">
        <v>9171582.5670925658</v>
      </c>
    </row>
    <row r="154" spans="1:12" x14ac:dyDescent="0.4">
      <c r="A154" s="12">
        <v>46085</v>
      </c>
      <c r="B154">
        <v>2974.2096999999999</v>
      </c>
      <c r="C154">
        <v>4602.6247000000003</v>
      </c>
      <c r="D154">
        <v>8248.9449999999997</v>
      </c>
      <c r="E154">
        <v>8094.5182999999997</v>
      </c>
      <c r="G154">
        <v>0</v>
      </c>
      <c r="H154">
        <v>0</v>
      </c>
      <c r="I154">
        <v>2881016.4387671235</v>
      </c>
      <c r="J154">
        <v>5892512.3131639361</v>
      </c>
      <c r="L154">
        <v>8773528.7519310601</v>
      </c>
    </row>
    <row r="155" spans="1:12" x14ac:dyDescent="0.4">
      <c r="A155" s="12">
        <v>46086</v>
      </c>
      <c r="B155">
        <v>2988.4504999999999</v>
      </c>
      <c r="C155">
        <v>4647.6921000000002</v>
      </c>
      <c r="D155">
        <v>8309.1713</v>
      </c>
      <c r="E155">
        <v>8171.1193999999996</v>
      </c>
      <c r="G155">
        <v>0</v>
      </c>
      <c r="H155">
        <v>0</v>
      </c>
      <c r="I155">
        <v>2881016.4387671235</v>
      </c>
      <c r="J155">
        <v>6759134.7698761234</v>
      </c>
      <c r="L155">
        <v>9640151.2086432464</v>
      </c>
    </row>
    <row r="156" spans="1:12" x14ac:dyDescent="0.4">
      <c r="A156" s="12">
        <v>46087</v>
      </c>
      <c r="B156">
        <v>2992.7021</v>
      </c>
      <c r="C156">
        <v>4660.4390000000003</v>
      </c>
      <c r="D156">
        <v>8360.3346999999994</v>
      </c>
      <c r="E156">
        <v>8248.8569000000007</v>
      </c>
      <c r="G156">
        <v>0</v>
      </c>
      <c r="H156">
        <v>0</v>
      </c>
      <c r="I156">
        <v>2881016.4387671235</v>
      </c>
      <c r="J156">
        <v>7552095.6236782726</v>
      </c>
      <c r="L156">
        <v>10433112.062445397</v>
      </c>
    </row>
    <row r="157" spans="1:12" x14ac:dyDescent="0.4">
      <c r="A157" s="12">
        <v>46090</v>
      </c>
      <c r="B157">
        <v>2962.9888000000001</v>
      </c>
      <c r="C157">
        <v>4615.4551000000001</v>
      </c>
      <c r="D157">
        <v>8279.4811000000009</v>
      </c>
      <c r="E157">
        <v>8203.8687000000009</v>
      </c>
      <c r="G157">
        <v>0</v>
      </c>
      <c r="H157">
        <v>0</v>
      </c>
      <c r="I157">
        <v>2881016.4387671235</v>
      </c>
      <c r="J157">
        <v>7249708.5395508464</v>
      </c>
      <c r="L157">
        <v>10130724.97831797</v>
      </c>
    </row>
    <row r="158" spans="1:12" x14ac:dyDescent="0.4">
      <c r="A158" s="12">
        <v>46091</v>
      </c>
      <c r="B158">
        <v>2981.8350999999998</v>
      </c>
      <c r="C158">
        <v>4674.7561999999998</v>
      </c>
      <c r="D158">
        <v>8410.3029999999999</v>
      </c>
      <c r="E158">
        <v>8350.0895999999993</v>
      </c>
      <c r="G158">
        <v>0</v>
      </c>
      <c r="H158">
        <v>0</v>
      </c>
      <c r="I158">
        <v>2881016.4387671235</v>
      </c>
      <c r="J158">
        <v>8518169.2369900718</v>
      </c>
      <c r="L158">
        <v>11399185.675757196</v>
      </c>
    </row>
    <row r="159" spans="1:12" x14ac:dyDescent="0.4">
      <c r="A159" s="12">
        <v>46092</v>
      </c>
      <c r="B159">
        <v>2985.3449000000001</v>
      </c>
      <c r="C159">
        <v>4704.4958999999999</v>
      </c>
      <c r="D159">
        <v>8403.3295999999991</v>
      </c>
      <c r="E159">
        <v>8363.5262000000002</v>
      </c>
      <c r="G159">
        <v>0</v>
      </c>
      <c r="H159">
        <v>0</v>
      </c>
      <c r="I159">
        <v>2881016.4387671235</v>
      </c>
      <c r="J159">
        <v>8696896.599977117</v>
      </c>
      <c r="L159">
        <v>11577913.038744241</v>
      </c>
    </row>
    <row r="160" spans="1:12" x14ac:dyDescent="0.4">
      <c r="A160" s="12">
        <v>46093</v>
      </c>
      <c r="B160">
        <v>2971.5612000000001</v>
      </c>
      <c r="C160">
        <v>4687.5600999999997</v>
      </c>
      <c r="D160">
        <v>8359.4721000000009</v>
      </c>
      <c r="E160">
        <v>8335.9078000000009</v>
      </c>
      <c r="G160">
        <v>0</v>
      </c>
      <c r="H160">
        <v>0</v>
      </c>
      <c r="I160">
        <v>2881016.4387671235</v>
      </c>
      <c r="J160">
        <v>8586465.3665449917</v>
      </c>
      <c r="L160">
        <v>11467481.805312116</v>
      </c>
    </row>
    <row r="161" spans="1:12" x14ac:dyDescent="0.4">
      <c r="A161" s="12">
        <v>46094</v>
      </c>
      <c r="B161">
        <v>2956.8467999999998</v>
      </c>
      <c r="C161">
        <v>4669.1400000000003</v>
      </c>
      <c r="D161">
        <v>8239.7980000000007</v>
      </c>
      <c r="E161">
        <v>8214.2926000000007</v>
      </c>
      <c r="G161">
        <v>0</v>
      </c>
      <c r="H161">
        <v>0</v>
      </c>
      <c r="I161">
        <v>2881016.4387671235</v>
      </c>
      <c r="J161">
        <v>7713408.7019818835</v>
      </c>
      <c r="L161">
        <v>10594425.140749007</v>
      </c>
    </row>
    <row r="162" spans="1:12" x14ac:dyDescent="0.4">
      <c r="A162" s="12">
        <v>46097</v>
      </c>
      <c r="B162">
        <v>2954.0884999999998</v>
      </c>
      <c r="C162">
        <v>4671.5591000000004</v>
      </c>
      <c r="D162">
        <v>8185.152</v>
      </c>
      <c r="E162">
        <v>8211.3516999999993</v>
      </c>
      <c r="G162">
        <v>0</v>
      </c>
      <c r="H162">
        <v>0</v>
      </c>
      <c r="I162">
        <v>2881016.4387671235</v>
      </c>
      <c r="J162">
        <v>7781116.8722209577</v>
      </c>
      <c r="L162">
        <v>10662133.310988082</v>
      </c>
    </row>
    <row r="163" spans="1:12" x14ac:dyDescent="0.4">
      <c r="A163" s="12">
        <v>46098</v>
      </c>
      <c r="B163">
        <v>2963.5779000000002</v>
      </c>
      <c r="C163">
        <v>4637.4391999999998</v>
      </c>
      <c r="D163">
        <v>8016.0262000000002</v>
      </c>
      <c r="E163">
        <v>8019.8568999999998</v>
      </c>
      <c r="G163">
        <v>0</v>
      </c>
      <c r="H163">
        <v>0</v>
      </c>
      <c r="I163">
        <v>2881016.4387671235</v>
      </c>
      <c r="J163">
        <v>5976964.0451227417</v>
      </c>
      <c r="L163">
        <v>8857980.4838898648</v>
      </c>
    </row>
    <row r="164" spans="1:12" x14ac:dyDescent="0.4">
      <c r="A164" s="12">
        <v>46099</v>
      </c>
      <c r="B164">
        <v>2961.4263999999998</v>
      </c>
      <c r="C164">
        <v>4658.3324000000002</v>
      </c>
      <c r="D164">
        <v>8096.4276</v>
      </c>
      <c r="E164">
        <v>8096.5947999999999</v>
      </c>
      <c r="G164">
        <v>0</v>
      </c>
      <c r="H164">
        <v>0</v>
      </c>
      <c r="I164">
        <v>2881016.4387671235</v>
      </c>
      <c r="J164">
        <v>6898910.78717665</v>
      </c>
      <c r="L164">
        <v>9779927.225943774</v>
      </c>
    </row>
    <row r="165" spans="1:12" x14ac:dyDescent="0.4">
      <c r="A165" s="12">
        <v>46100</v>
      </c>
      <c r="B165">
        <v>2916.2348000000002</v>
      </c>
      <c r="C165">
        <v>4583.2511000000004</v>
      </c>
      <c r="D165">
        <v>7877.09</v>
      </c>
      <c r="E165">
        <v>7909.2343000000001</v>
      </c>
      <c r="G165">
        <v>0</v>
      </c>
      <c r="H165">
        <v>0</v>
      </c>
      <c r="I165">
        <v>2881016.4387671235</v>
      </c>
      <c r="J165">
        <v>4854142.8164174594</v>
      </c>
      <c r="L165">
        <v>7735159.2551845834</v>
      </c>
    </row>
    <row r="166" spans="1:12" x14ac:dyDescent="0.4">
      <c r="A166" s="12">
        <v>46101</v>
      </c>
      <c r="B166">
        <v>2883.8643999999999</v>
      </c>
      <c r="C166">
        <v>4567.0178999999998</v>
      </c>
      <c r="D166">
        <v>7760.0365000000002</v>
      </c>
      <c r="E166">
        <v>7783.4345000000003</v>
      </c>
      <c r="G166">
        <v>0</v>
      </c>
      <c r="H166">
        <v>0</v>
      </c>
      <c r="I166">
        <v>2881016.4387671235</v>
      </c>
      <c r="J166">
        <v>3221516.4872032022</v>
      </c>
      <c r="L166">
        <v>6102532.9259703252</v>
      </c>
    </row>
    <row r="167" spans="1:12" x14ac:dyDescent="0.4">
      <c r="A167" s="12">
        <v>46104</v>
      </c>
      <c r="B167">
        <v>2792.3287999999998</v>
      </c>
      <c r="C167">
        <v>4417.9970999999996</v>
      </c>
      <c r="D167">
        <v>7440.7451000000001</v>
      </c>
      <c r="E167">
        <v>7409.1067999999996</v>
      </c>
      <c r="G167">
        <v>0</v>
      </c>
      <c r="H167">
        <v>0</v>
      </c>
      <c r="I167">
        <v>2881016.4387671235</v>
      </c>
      <c r="J167">
        <v>-3331722.2597240824</v>
      </c>
      <c r="L167">
        <v>-450705.82095695892</v>
      </c>
    </row>
    <row r="168" spans="1:12" x14ac:dyDescent="0.4">
      <c r="A168" s="12">
        <v>46105</v>
      </c>
      <c r="B168">
        <v>2830.8539999999998</v>
      </c>
      <c r="C168">
        <v>4474.7223999999997</v>
      </c>
      <c r="D168">
        <v>7597.3732</v>
      </c>
      <c r="E168">
        <v>7600.8568999999998</v>
      </c>
      <c r="G168">
        <v>0</v>
      </c>
      <c r="H168">
        <v>0</v>
      </c>
      <c r="I168">
        <v>2881016.4387671235</v>
      </c>
      <c r="J168">
        <v>450901.26971130539</v>
      </c>
      <c r="L168">
        <v>3331917.7084784289</v>
      </c>
    </row>
    <row r="169" spans="1:12" x14ac:dyDescent="0.4">
      <c r="A169" s="12">
        <v>46106</v>
      </c>
      <c r="B169">
        <v>2859.5345000000002</v>
      </c>
      <c r="C169">
        <v>4537.4656000000004</v>
      </c>
      <c r="D169">
        <v>7767.6653999999999</v>
      </c>
      <c r="E169">
        <v>7751.1809000000003</v>
      </c>
      <c r="G169">
        <v>0</v>
      </c>
      <c r="H169">
        <v>0</v>
      </c>
      <c r="I169">
        <v>2881016.4387671235</v>
      </c>
      <c r="J169">
        <v>3093099.2974024392</v>
      </c>
      <c r="L169">
        <v>5974115.7361695627</v>
      </c>
    </row>
    <row r="170" spans="1:12" x14ac:dyDescent="0.4">
      <c r="A170" s="12">
        <v>46107</v>
      </c>
      <c r="B170">
        <v>2824.6743999999999</v>
      </c>
      <c r="C170">
        <v>4477.5343000000003</v>
      </c>
      <c r="D170">
        <v>7642.1301999999996</v>
      </c>
      <c r="E170">
        <v>7639.3761999999997</v>
      </c>
      <c r="G170">
        <v>0</v>
      </c>
      <c r="H170">
        <v>0</v>
      </c>
      <c r="I170">
        <v>2881016.4387671235</v>
      </c>
      <c r="J170">
        <v>1384251.8666875623</v>
      </c>
      <c r="L170">
        <v>4265268.3054546863</v>
      </c>
    </row>
    <row r="171" spans="1:12" x14ac:dyDescent="0.4">
      <c r="A171" s="12">
        <v>46108</v>
      </c>
      <c r="B171">
        <v>2837.3063999999999</v>
      </c>
      <c r="C171">
        <v>4502.5698000000002</v>
      </c>
      <c r="D171">
        <v>7737.6144000000004</v>
      </c>
      <c r="E171">
        <v>7746.3131000000003</v>
      </c>
      <c r="G171">
        <v>0</v>
      </c>
      <c r="H171">
        <v>0</v>
      </c>
      <c r="I171">
        <v>2881016.4387671235</v>
      </c>
      <c r="J171">
        <v>1777808.0008400325</v>
      </c>
      <c r="L171">
        <v>4658824.4396071564</v>
      </c>
    </row>
    <row r="172" spans="1:12" x14ac:dyDescent="0.4">
      <c r="A172" s="12">
        <v>46111</v>
      </c>
      <c r="B172">
        <v>2833.2053999999998</v>
      </c>
      <c r="C172">
        <v>4491.95</v>
      </c>
      <c r="D172">
        <v>7753.7233999999999</v>
      </c>
      <c r="E172">
        <v>7767.9300999999996</v>
      </c>
      <c r="G172">
        <v>0</v>
      </c>
      <c r="H172">
        <v>0</v>
      </c>
      <c r="I172">
        <v>2881016.4387671235</v>
      </c>
      <c r="J172">
        <v>2166387.7855065963</v>
      </c>
      <c r="L172">
        <v>5047404.2242737198</v>
      </c>
    </row>
    <row r="173" spans="1:12" x14ac:dyDescent="0.4">
      <c r="A173" s="12">
        <v>46112</v>
      </c>
      <c r="B173">
        <v>2826.1248999999998</v>
      </c>
      <c r="C173">
        <v>4450.0492999999997</v>
      </c>
      <c r="D173">
        <v>7617.3262000000004</v>
      </c>
      <c r="E173">
        <v>7619.8503000000001</v>
      </c>
      <c r="G173">
        <v>0</v>
      </c>
      <c r="H173">
        <v>0</v>
      </c>
      <c r="I173">
        <v>2881016.4387671235</v>
      </c>
      <c r="J173">
        <v>-345878.44833207596</v>
      </c>
      <c r="L173">
        <v>2535137.9904350475</v>
      </c>
    </row>
    <row r="174" spans="1:12" x14ac:dyDescent="0.4">
      <c r="A174" s="12">
        <v>46113</v>
      </c>
      <c r="B174">
        <v>2878.7943</v>
      </c>
      <c r="C174">
        <v>4526.0667999999996</v>
      </c>
      <c r="D174">
        <v>7750.0924000000005</v>
      </c>
      <c r="E174">
        <v>7764.1525000000001</v>
      </c>
      <c r="G174">
        <v>0</v>
      </c>
      <c r="H174">
        <v>0</v>
      </c>
      <c r="I174">
        <v>2881016.4387671235</v>
      </c>
      <c r="J174">
        <v>2305123.736287781</v>
      </c>
      <c r="L174">
        <v>5186140.1750549041</v>
      </c>
    </row>
    <row r="175" spans="1:12" x14ac:dyDescent="0.4">
      <c r="A175" s="12">
        <v>46114</v>
      </c>
      <c r="B175">
        <v>2853.4529000000002</v>
      </c>
      <c r="C175">
        <v>4478.9141</v>
      </c>
      <c r="D175">
        <v>7605.2932000000001</v>
      </c>
      <c r="E175">
        <v>7623.4168</v>
      </c>
      <c r="G175">
        <v>0</v>
      </c>
      <c r="H175">
        <v>0</v>
      </c>
      <c r="I175">
        <v>2881016.4387671235</v>
      </c>
      <c r="J175">
        <v>-85644.679107892327</v>
      </c>
      <c r="L175">
        <v>2795371.7596592312</v>
      </c>
    </row>
    <row r="176" spans="1:12" x14ac:dyDescent="0.4">
      <c r="A176" s="12">
        <v>46115</v>
      </c>
      <c r="B176">
        <v>2830.5967000000001</v>
      </c>
      <c r="C176">
        <v>4440.7888999999996</v>
      </c>
      <c r="D176">
        <v>7534.9380000000001</v>
      </c>
      <c r="E176">
        <v>7536.5999000000002</v>
      </c>
      <c r="G176">
        <v>0</v>
      </c>
      <c r="H176">
        <v>0</v>
      </c>
      <c r="I176">
        <v>2881016.4387671235</v>
      </c>
      <c r="J176">
        <v>-1014103.6447572559</v>
      </c>
      <c r="L176">
        <v>1866912.7940098676</v>
      </c>
    </row>
    <row r="177" spans="1:12" x14ac:dyDescent="0.4">
      <c r="A177" s="12">
        <v>46119</v>
      </c>
      <c r="B177">
        <v>2830.5227</v>
      </c>
      <c r="C177">
        <v>4440.6162000000004</v>
      </c>
      <c r="D177">
        <v>7571.1106</v>
      </c>
      <c r="E177">
        <v>7606.0165999999999</v>
      </c>
      <c r="G177">
        <v>0</v>
      </c>
      <c r="H177">
        <v>0</v>
      </c>
      <c r="I177">
        <v>2881016.4387671235</v>
      </c>
      <c r="J177">
        <v>-213381.26230490115</v>
      </c>
      <c r="L177">
        <v>2667635.1764622224</v>
      </c>
    </row>
    <row r="178" spans="1:12" x14ac:dyDescent="0.4">
      <c r="A178" s="12">
        <v>46120</v>
      </c>
      <c r="B178">
        <v>2907.0657999999999</v>
      </c>
      <c r="C178">
        <v>4595.5559999999996</v>
      </c>
      <c r="D178">
        <v>7945.1526999999996</v>
      </c>
      <c r="E178">
        <v>7955.7683999999999</v>
      </c>
      <c r="G178">
        <v>0</v>
      </c>
      <c r="H178">
        <v>0</v>
      </c>
      <c r="I178">
        <v>2881016.4387671235</v>
      </c>
      <c r="J178">
        <v>5728462.2545099445</v>
      </c>
      <c r="L178">
        <v>8609478.6932770684</v>
      </c>
    </row>
    <row r="179" spans="1:12" x14ac:dyDescent="0.4">
      <c r="A179" s="12">
        <v>46121</v>
      </c>
      <c r="B179">
        <v>2884.76</v>
      </c>
      <c r="C179">
        <v>4566.2236999999996</v>
      </c>
      <c r="D179">
        <v>7898.6328999999996</v>
      </c>
      <c r="E179">
        <v>7921.4465</v>
      </c>
      <c r="G179">
        <v>0</v>
      </c>
      <c r="H179">
        <v>0</v>
      </c>
      <c r="I179">
        <v>2881016.4387671235</v>
      </c>
      <c r="J179">
        <v>5310056.0387669299</v>
      </c>
      <c r="L179">
        <v>8191072.4775340538</v>
      </c>
    </row>
    <row r="180" spans="1:12" x14ac:dyDescent="0.4">
      <c r="A180" s="12">
        <v>46122</v>
      </c>
      <c r="B180">
        <v>2899.5794999999998</v>
      </c>
      <c r="C180">
        <v>4636.5654999999997</v>
      </c>
      <c r="D180">
        <v>7969.3645999999999</v>
      </c>
      <c r="E180">
        <v>7998.232</v>
      </c>
      <c r="G180">
        <v>0</v>
      </c>
      <c r="H180">
        <v>0</v>
      </c>
      <c r="I180">
        <v>2881016.4387671235</v>
      </c>
      <c r="J180">
        <v>6514613.5273368452</v>
      </c>
      <c r="L180">
        <v>9395629.9661039691</v>
      </c>
    </row>
    <row r="181" spans="1:12" x14ac:dyDescent="0.4">
      <c r="A181" s="12">
        <v>46125</v>
      </c>
      <c r="B181">
        <v>2899.4701</v>
      </c>
      <c r="C181">
        <v>4646.1545999999998</v>
      </c>
      <c r="D181">
        <v>7967.6970000000001</v>
      </c>
      <c r="E181">
        <v>8025.5724</v>
      </c>
      <c r="G181">
        <v>0</v>
      </c>
      <c r="H181">
        <v>0</v>
      </c>
      <c r="I181">
        <v>2881016.4387671235</v>
      </c>
      <c r="J181">
        <v>6995590.8550924882</v>
      </c>
      <c r="L181">
        <v>9876607.2938596122</v>
      </c>
    </row>
    <row r="182" spans="1:12" x14ac:dyDescent="0.4">
      <c r="A182" s="12">
        <v>46126</v>
      </c>
      <c r="B182">
        <v>2924.1833999999999</v>
      </c>
      <c r="C182">
        <v>4701.2837</v>
      </c>
      <c r="D182">
        <v>8088.5686999999998</v>
      </c>
      <c r="E182">
        <v>8144.7622000000001</v>
      </c>
      <c r="G182">
        <v>0</v>
      </c>
      <c r="H182">
        <v>0</v>
      </c>
      <c r="I182">
        <v>2881016.4387671235</v>
      </c>
      <c r="J182">
        <v>8579915.2288015299</v>
      </c>
      <c r="L182">
        <v>11460931.667568654</v>
      </c>
    </row>
    <row r="183" spans="1:12" x14ac:dyDescent="0.4">
      <c r="A183" s="12">
        <v>46127</v>
      </c>
      <c r="B183">
        <v>2934.2159000000001</v>
      </c>
      <c r="C183">
        <v>4685.2464</v>
      </c>
      <c r="D183">
        <v>8044.0772999999999</v>
      </c>
      <c r="E183">
        <v>8106.1646000000001</v>
      </c>
      <c r="G183">
        <v>0</v>
      </c>
      <c r="H183">
        <v>0</v>
      </c>
      <c r="I183">
        <v>2881016.4387671235</v>
      </c>
      <c r="J183">
        <v>8245156.7588600935</v>
      </c>
      <c r="L183">
        <v>11126173.197627217</v>
      </c>
    </row>
    <row r="184" spans="1:12" x14ac:dyDescent="0.4">
      <c r="A184" s="12">
        <v>46128</v>
      </c>
      <c r="B184">
        <v>2939.7645000000002</v>
      </c>
      <c r="C184">
        <v>4736.6076999999996</v>
      </c>
      <c r="D184">
        <v>8180.0815000000002</v>
      </c>
      <c r="E184">
        <v>8232.9833999999992</v>
      </c>
      <c r="G184">
        <v>0</v>
      </c>
      <c r="H184">
        <v>0</v>
      </c>
      <c r="I184">
        <v>2881016.4387671235</v>
      </c>
      <c r="J184">
        <v>9747706.0410365239</v>
      </c>
      <c r="L184">
        <v>12628722.479803648</v>
      </c>
    </row>
    <row r="185" spans="1:12" x14ac:dyDescent="0.4">
      <c r="A185" s="12">
        <v>46129</v>
      </c>
      <c r="B185">
        <v>2910.8732</v>
      </c>
      <c r="C185">
        <v>4728.6715999999997</v>
      </c>
      <c r="D185">
        <v>8214.1939000000002</v>
      </c>
      <c r="E185">
        <v>8307.4361000000008</v>
      </c>
      <c r="G185">
        <v>0</v>
      </c>
      <c r="H185">
        <v>0</v>
      </c>
      <c r="I185">
        <v>2881016.4387671235</v>
      </c>
      <c r="J185">
        <v>10543591.388670918</v>
      </c>
      <c r="L185">
        <v>13424607.827438042</v>
      </c>
    </row>
    <row r="186" spans="1:12" x14ac:dyDescent="0.4">
      <c r="A186" s="12">
        <v>46132</v>
      </c>
      <c r="B186">
        <v>2933.6534000000001</v>
      </c>
      <c r="C186">
        <v>4757.4418999999998</v>
      </c>
      <c r="D186">
        <v>8290.0223999999998</v>
      </c>
      <c r="E186">
        <v>8357.8138999999992</v>
      </c>
      <c r="G186">
        <v>0</v>
      </c>
      <c r="H186">
        <v>0</v>
      </c>
      <c r="I186">
        <v>2881016.4387671235</v>
      </c>
      <c r="J186">
        <v>11059231.800802264</v>
      </c>
      <c r="L186">
        <v>13940248.239569388</v>
      </c>
    </row>
    <row r="187" spans="1:12" x14ac:dyDescent="0.4">
      <c r="A187" s="12">
        <v>46133</v>
      </c>
      <c r="B187">
        <v>2932.0720999999999</v>
      </c>
      <c r="C187">
        <v>4767.9970000000003</v>
      </c>
      <c r="D187">
        <v>8270.3266000000003</v>
      </c>
      <c r="E187">
        <v>8351.1560000000009</v>
      </c>
      <c r="G187">
        <v>0</v>
      </c>
      <c r="H187">
        <v>0</v>
      </c>
      <c r="I187">
        <v>2881016.4387671235</v>
      </c>
      <c r="J187">
        <v>11130263.042429879</v>
      </c>
      <c r="L187">
        <v>14011279.481197003</v>
      </c>
    </row>
    <row r="188" spans="1:12" x14ac:dyDescent="0.4">
      <c r="A188" s="12">
        <v>46134</v>
      </c>
      <c r="B188">
        <v>2930.5752000000002</v>
      </c>
      <c r="C188">
        <v>4799.6270000000004</v>
      </c>
      <c r="D188">
        <v>8376.1808000000001</v>
      </c>
      <c r="E188">
        <v>8481.2397000000001</v>
      </c>
      <c r="G188">
        <v>0</v>
      </c>
      <c r="H188">
        <v>0</v>
      </c>
      <c r="I188">
        <v>2881016.4387671235</v>
      </c>
      <c r="J188">
        <v>12034974.307057209</v>
      </c>
      <c r="L188">
        <v>14915990.745824333</v>
      </c>
    </row>
    <row r="189" spans="1:12" x14ac:dyDescent="0.4">
      <c r="A189" s="12">
        <v>46135</v>
      </c>
      <c r="B189">
        <v>2927.9306999999999</v>
      </c>
      <c r="C189">
        <v>4786.3272999999999</v>
      </c>
      <c r="D189">
        <v>8295.2070000000003</v>
      </c>
      <c r="E189">
        <v>8362.7402000000002</v>
      </c>
      <c r="G189">
        <v>0</v>
      </c>
      <c r="H189">
        <v>0</v>
      </c>
      <c r="I189">
        <v>2881016.4387671235</v>
      </c>
      <c r="J189">
        <v>11472055.549828863</v>
      </c>
      <c r="L189">
        <v>14353071.988595987</v>
      </c>
    </row>
    <row r="190" spans="1:12" x14ac:dyDescent="0.4">
      <c r="A190" s="12">
        <v>46136</v>
      </c>
      <c r="B190">
        <v>2945.0425</v>
      </c>
      <c r="C190">
        <v>4769.3688000000002</v>
      </c>
      <c r="D190">
        <v>8247.8758999999991</v>
      </c>
      <c r="E190">
        <v>8304.1412</v>
      </c>
      <c r="G190">
        <v>0</v>
      </c>
      <c r="H190">
        <v>0</v>
      </c>
      <c r="I190">
        <v>2881016.4387671235</v>
      </c>
      <c r="J190">
        <v>11175392.117543779</v>
      </c>
      <c r="L190">
        <v>14056408.556310903</v>
      </c>
    </row>
    <row r="191" spans="1:12" x14ac:dyDescent="0.4">
      <c r="A191" s="12">
        <v>46139</v>
      </c>
      <c r="B191">
        <v>2939.0529000000001</v>
      </c>
      <c r="C191">
        <v>4770.9468999999999</v>
      </c>
      <c r="D191">
        <v>8299.0486000000001</v>
      </c>
      <c r="E191">
        <v>8338.7263000000003</v>
      </c>
      <c r="G191">
        <v>0</v>
      </c>
      <c r="H191">
        <v>0</v>
      </c>
      <c r="I191">
        <v>2881016.4387671235</v>
      </c>
      <c r="J191">
        <v>11663736.677396841</v>
      </c>
      <c r="L191">
        <v>14544753.116163965</v>
      </c>
    </row>
    <row r="192" spans="1:12" x14ac:dyDescent="0.4">
      <c r="A192" s="12">
        <v>46140</v>
      </c>
      <c r="B192">
        <v>2950.4212000000002</v>
      </c>
      <c r="C192">
        <v>4758.2083000000002</v>
      </c>
      <c r="D192">
        <v>8203.9614000000001</v>
      </c>
      <c r="E192">
        <v>8226.6918999999998</v>
      </c>
      <c r="G192">
        <v>0</v>
      </c>
      <c r="H192">
        <v>0</v>
      </c>
      <c r="I192">
        <v>2881016.4387671235</v>
      </c>
      <c r="J192">
        <v>10816525.663928511</v>
      </c>
      <c r="L192">
        <v>14987542.102695635</v>
      </c>
    </row>
    <row r="193" spans="1:12" x14ac:dyDescent="0.4">
      <c r="A193" s="12">
        <v>46141</v>
      </c>
      <c r="B193">
        <v>2967.5034000000001</v>
      </c>
      <c r="C193">
        <v>4810.3468000000003</v>
      </c>
      <c r="D193">
        <v>8342.4217000000008</v>
      </c>
      <c r="E193">
        <v>8343.0650999999998</v>
      </c>
      <c r="G193">
        <v>0</v>
      </c>
      <c r="H193">
        <v>0</v>
      </c>
      <c r="I193">
        <v>2881016.4387671235</v>
      </c>
      <c r="J193">
        <v>11906034.057655882</v>
      </c>
      <c r="L193">
        <v>16077050.496423006</v>
      </c>
    </row>
    <row r="194" spans="1:12" x14ac:dyDescent="0.4">
      <c r="A194" s="12">
        <v>46142</v>
      </c>
      <c r="B194">
        <v>2985.5048000000002</v>
      </c>
      <c r="C194">
        <v>4807.3068999999996</v>
      </c>
      <c r="D194">
        <v>8349.5080999999991</v>
      </c>
      <c r="E194">
        <v>8381.9465</v>
      </c>
      <c r="G194">
        <v>0</v>
      </c>
      <c r="H194">
        <v>0</v>
      </c>
      <c r="I194">
        <v>2881016.4387671235</v>
      </c>
      <c r="J194">
        <v>12271043.666993719</v>
      </c>
      <c r="L194">
        <v>16433617.480281316</v>
      </c>
    </row>
    <row r="195" spans="1:12" x14ac:dyDescent="0.4">
      <c r="A195" s="12">
        <v>46148</v>
      </c>
      <c r="B195">
        <v>3026.4434000000001</v>
      </c>
      <c r="C195">
        <v>4877.0932000000003</v>
      </c>
      <c r="D195">
        <v>8588.4398999999994</v>
      </c>
      <c r="E195">
        <v>8574.5557000000008</v>
      </c>
      <c r="G195">
        <v>0</v>
      </c>
      <c r="H195">
        <v>0</v>
      </c>
      <c r="I195">
        <v>2881016.4387671235</v>
      </c>
      <c r="J195">
        <v>12379597.070583692</v>
      </c>
      <c r="L195">
        <v>16743621.436340587</v>
      </c>
    </row>
    <row r="196" spans="1:12" x14ac:dyDescent="0.4">
      <c r="A196" s="12">
        <v>46149</v>
      </c>
      <c r="B196">
        <v>3029.1939000000002</v>
      </c>
      <c r="C196">
        <v>4900.5097999999998</v>
      </c>
      <c r="D196">
        <v>8696.7988999999998</v>
      </c>
      <c r="E196">
        <v>8714.51</v>
      </c>
      <c r="G196">
        <v>0</v>
      </c>
      <c r="H196">
        <v>0</v>
      </c>
      <c r="I196">
        <v>2881016.4387671235</v>
      </c>
      <c r="J196">
        <v>12982835.967286419</v>
      </c>
      <c r="L196">
        <v>17463311.506728087</v>
      </c>
    </row>
    <row r="197" spans="1:12" x14ac:dyDescent="0.4">
      <c r="A197" s="12">
        <v>46150</v>
      </c>
      <c r="B197">
        <v>3003.5839000000001</v>
      </c>
      <c r="C197">
        <v>4871.9121999999998</v>
      </c>
      <c r="D197">
        <v>8694.1708999999992</v>
      </c>
      <c r="E197">
        <v>8741.1507000000001</v>
      </c>
      <c r="G197">
        <v>0</v>
      </c>
      <c r="H197">
        <v>0</v>
      </c>
      <c r="I197">
        <v>2881016.4387671235</v>
      </c>
      <c r="J197">
        <v>13107950.163735822</v>
      </c>
      <c r="L197">
        <v>17614551.624285858</v>
      </c>
    </row>
    <row r="198" spans="1:12" x14ac:dyDescent="0.4">
      <c r="A198" s="12">
        <v>46153</v>
      </c>
      <c r="B198">
        <v>3041.6333</v>
      </c>
      <c r="C198">
        <v>4951.8365999999996</v>
      </c>
      <c r="D198">
        <v>8839.7415000000001</v>
      </c>
      <c r="E198">
        <v>8866.7792000000009</v>
      </c>
      <c r="G198">
        <v>0</v>
      </c>
      <c r="H198">
        <v>0</v>
      </c>
      <c r="I198">
        <v>2881016.4387671235</v>
      </c>
      <c r="J198">
        <v>13563193.622140454</v>
      </c>
      <c r="L198">
        <v>18150083.715655655</v>
      </c>
    </row>
    <row r="199" spans="1:12" x14ac:dyDescent="0.4">
      <c r="A199" s="12">
        <v>46154</v>
      </c>
      <c r="B199">
        <v>3043.5558999999998</v>
      </c>
      <c r="C199">
        <v>4948.0465000000004</v>
      </c>
      <c r="D199">
        <v>8785.9791000000005</v>
      </c>
      <c r="E199">
        <v>8821.8873999999996</v>
      </c>
      <c r="G199">
        <v>0</v>
      </c>
      <c r="H199">
        <v>0</v>
      </c>
      <c r="I199">
        <v>2881016.4387671235</v>
      </c>
      <c r="J199">
        <v>13482193.98561842</v>
      </c>
      <c r="L199">
        <v>18053059.319953058</v>
      </c>
    </row>
    <row r="200" spans="1:12" x14ac:dyDescent="0.4">
      <c r="A200" s="12">
        <v>46155</v>
      </c>
      <c r="B200">
        <v>3047.2456000000002</v>
      </c>
      <c r="C200">
        <v>4998.3416999999999</v>
      </c>
      <c r="D200">
        <v>8918.2389999999996</v>
      </c>
      <c r="E200">
        <v>8955.4472999999998</v>
      </c>
      <c r="G200">
        <v>0</v>
      </c>
      <c r="H200">
        <v>0</v>
      </c>
      <c r="I200">
        <v>2881016.4387671235</v>
      </c>
      <c r="J200">
        <v>13866955.39750853</v>
      </c>
      <c r="L200">
        <v>18509432.462025236</v>
      </c>
    </row>
    <row r="201" spans="1:12" x14ac:dyDescent="0.4">
      <c r="A201" s="12">
        <v>46156</v>
      </c>
      <c r="B201">
        <v>2996.5729999999999</v>
      </c>
      <c r="C201">
        <v>4914.5971</v>
      </c>
      <c r="D201">
        <v>8670.1574000000001</v>
      </c>
      <c r="E201">
        <v>8778.7088000000003</v>
      </c>
      <c r="G201">
        <v>0</v>
      </c>
      <c r="H201">
        <v>0</v>
      </c>
      <c r="I201">
        <v>2881016.4387671235</v>
      </c>
      <c r="J201">
        <v>13452569.599373976</v>
      </c>
      <c r="L201">
        <v>18015025.944706049</v>
      </c>
    </row>
    <row r="202" spans="1:12" x14ac:dyDescent="0.4">
      <c r="A202" s="12">
        <v>46157</v>
      </c>
      <c r="B202">
        <v>2957.6024000000002</v>
      </c>
      <c r="C202">
        <v>4859.5927000000001</v>
      </c>
      <c r="D202">
        <v>8536.3444</v>
      </c>
      <c r="E202">
        <v>8682.6535999999996</v>
      </c>
      <c r="G202">
        <v>0</v>
      </c>
      <c r="H202">
        <v>0</v>
      </c>
      <c r="I202">
        <v>2881016.4387671235</v>
      </c>
      <c r="J202">
        <v>13034958.221318537</v>
      </c>
      <c r="L202">
        <v>17545533.982959654</v>
      </c>
    </row>
    <row r="203" spans="1:12" x14ac:dyDescent="0.4">
      <c r="A203" s="12">
        <v>46160</v>
      </c>
      <c r="B203">
        <v>2934.9591999999998</v>
      </c>
      <c r="C203">
        <v>4833.5236999999997</v>
      </c>
      <c r="D203">
        <v>8554.2371999999996</v>
      </c>
      <c r="E203">
        <v>8720.2132000000001</v>
      </c>
      <c r="G203">
        <v>0</v>
      </c>
      <c r="H203">
        <v>0</v>
      </c>
      <c r="I203">
        <v>2881016.4387671235</v>
      </c>
      <c r="J203">
        <v>13200197.610241588</v>
      </c>
      <c r="L203">
        <v>17743895.746699266</v>
      </c>
    </row>
    <row r="204" spans="1:12" x14ac:dyDescent="0.4">
      <c r="A204" s="12">
        <v>46161</v>
      </c>
      <c r="B204">
        <v>2954.0621999999998</v>
      </c>
      <c r="C204">
        <v>4852.8832000000002</v>
      </c>
      <c r="D204">
        <v>8627.9460999999992</v>
      </c>
      <c r="E204">
        <v>8808.6445000000003</v>
      </c>
      <c r="G204">
        <v>0</v>
      </c>
      <c r="H204">
        <v>0</v>
      </c>
      <c r="I204">
        <v>2881016.4387671235</v>
      </c>
      <c r="J204">
        <v>13722202.951848924</v>
      </c>
      <c r="L204">
        <v>18325041.762636565</v>
      </c>
    </row>
    <row r="205" spans="1:12" x14ac:dyDescent="0.4">
      <c r="A205" s="12">
        <v>46162</v>
      </c>
      <c r="B205">
        <v>2953.7471999999998</v>
      </c>
      <c r="C205">
        <v>4850.7</v>
      </c>
      <c r="D205">
        <v>8656.3062000000009</v>
      </c>
      <c r="E205">
        <v>8808.9094999999998</v>
      </c>
      <c r="G205">
        <v>0</v>
      </c>
      <c r="H205">
        <v>0</v>
      </c>
      <c r="I205">
        <v>2881016.4387671235</v>
      </c>
      <c r="J205">
        <v>13779099.815954525</v>
      </c>
      <c r="L205">
        <v>18389890.087074552</v>
      </c>
    </row>
    <row r="206" spans="1:12" x14ac:dyDescent="0.4">
      <c r="A206" s="12">
        <v>46163</v>
      </c>
      <c r="B206">
        <v>2920.9288000000001</v>
      </c>
      <c r="C206">
        <v>4783.0976000000001</v>
      </c>
      <c r="D206">
        <v>8419.8372999999992</v>
      </c>
      <c r="E206">
        <v>8510.4958000000006</v>
      </c>
      <c r="G206">
        <v>0</v>
      </c>
      <c r="H206">
        <v>0</v>
      </c>
      <c r="I206">
        <v>2881016.4387671235</v>
      </c>
      <c r="J206">
        <v>11970667.334704431</v>
      </c>
      <c r="L206">
        <v>16385199.390584555</v>
      </c>
    </row>
    <row r="207" spans="1:12" x14ac:dyDescent="0.4">
      <c r="A207" s="12">
        <v>46164</v>
      </c>
      <c r="B207">
        <v>2923.5248000000001</v>
      </c>
      <c r="C207">
        <v>4845.0955999999996</v>
      </c>
      <c r="D207">
        <v>8576.9401999999991</v>
      </c>
      <c r="E207">
        <v>8692.6654999999992</v>
      </c>
      <c r="G207">
        <v>0</v>
      </c>
      <c r="H207">
        <v>0</v>
      </c>
      <c r="I207">
        <v>2881016.4387671235</v>
      </c>
      <c r="J207">
        <v>13440582.912882861</v>
      </c>
      <c r="L207">
        <v>18000989.650885075</v>
      </c>
    </row>
    <row r="208" spans="1:12" x14ac:dyDescent="0.4">
      <c r="A208" s="12">
        <v>46167</v>
      </c>
      <c r="B208">
        <v>2968.6970000000001</v>
      </c>
      <c r="C208">
        <v>4921.5973999999997</v>
      </c>
      <c r="D208">
        <v>8703.8901000000005</v>
      </c>
      <c r="E208">
        <v>8799.3116000000009</v>
      </c>
      <c r="G208">
        <v>0</v>
      </c>
      <c r="H208">
        <v>0</v>
      </c>
      <c r="I208">
        <v>2881016.4387671235</v>
      </c>
      <c r="J208">
        <v>13950333.697891288</v>
      </c>
      <c r="L208">
        <v>18579639.452532303</v>
      </c>
    </row>
    <row r="209" spans="1:12" x14ac:dyDescent="0.4">
      <c r="A209" s="12">
        <v>46168</v>
      </c>
      <c r="B209">
        <v>2973.3852999999999</v>
      </c>
      <c r="C209">
        <v>4947.8492999999999</v>
      </c>
      <c r="D209">
        <v>8658.6191999999992</v>
      </c>
      <c r="E209">
        <v>8687.2528000000002</v>
      </c>
      <c r="G209">
        <v>0</v>
      </c>
      <c r="H209">
        <v>0</v>
      </c>
      <c r="I209">
        <v>2881016.4387671235</v>
      </c>
      <c r="J209">
        <v>15931402.709412986</v>
      </c>
      <c r="L209">
        <v>19215600.850481782</v>
      </c>
    </row>
    <row r="210" spans="1:12" x14ac:dyDescent="0.4">
      <c r="A210" s="12">
        <v>46169</v>
      </c>
      <c r="B210">
        <v>2934.7121999999999</v>
      </c>
      <c r="C210">
        <v>4908.1714000000002</v>
      </c>
      <c r="D210">
        <v>8530.9802</v>
      </c>
      <c r="E210">
        <v>8546.5141999999996</v>
      </c>
      <c r="G210">
        <v>0</v>
      </c>
      <c r="H210">
        <v>0</v>
      </c>
      <c r="I210">
        <v>2881016.4387671235</v>
      </c>
      <c r="J210">
        <v>15167830.31713731</v>
      </c>
      <c r="L210">
        <v>18361467.593496781</v>
      </c>
    </row>
    <row r="211" spans="1:12" x14ac:dyDescent="0.4">
      <c r="A211" s="12">
        <v>46170</v>
      </c>
      <c r="B211">
        <v>2914.1896000000002</v>
      </c>
      <c r="C211">
        <v>4914.2133000000003</v>
      </c>
      <c r="D211">
        <v>8563.2217999999993</v>
      </c>
      <c r="E211">
        <v>8637.7430000000004</v>
      </c>
      <c r="G211">
        <v>0</v>
      </c>
      <c r="H211">
        <v>0</v>
      </c>
      <c r="I211">
        <v>2881016.4387671235</v>
      </c>
      <c r="J211">
        <v>15781607.759785447</v>
      </c>
      <c r="L211">
        <v>19050697.678197112</v>
      </c>
    </row>
    <row r="212" spans="1:12" x14ac:dyDescent="0.4">
      <c r="A212" s="12">
        <v>46171</v>
      </c>
      <c r="B212">
        <v>2921.0812000000001</v>
      </c>
      <c r="C212">
        <v>4892.1212999999998</v>
      </c>
      <c r="D212">
        <v>8359.5596000000005</v>
      </c>
      <c r="E212">
        <v>8408.7356999999993</v>
      </c>
      <c r="G212">
        <v>0</v>
      </c>
      <c r="H212">
        <v>0</v>
      </c>
      <c r="I212">
        <v>2881016.4387671235</v>
      </c>
      <c r="J212">
        <v>14346753.571028491</v>
      </c>
      <c r="L212">
        <v>17294644.482628856</v>
      </c>
    </row>
    <row r="213" spans="1:12" x14ac:dyDescent="0.4">
      <c r="A213" s="12">
        <v>46174</v>
      </c>
      <c r="B213">
        <v>2893.7190999999998</v>
      </c>
      <c r="C213">
        <v>4844.2556000000004</v>
      </c>
      <c r="D213">
        <v>8274.2119999999995</v>
      </c>
      <c r="E213">
        <v>8345.1291000000001</v>
      </c>
      <c r="G213">
        <v>0</v>
      </c>
      <c r="H213">
        <v>0</v>
      </c>
      <c r="I213">
        <v>2881016.4387671235</v>
      </c>
      <c r="J213">
        <v>13923316.357268842</v>
      </c>
      <c r="L213">
        <v>16635342.174127983</v>
      </c>
    </row>
    <row r="214" spans="1:12" x14ac:dyDescent="0.4">
      <c r="A214" s="12">
        <v>46175</v>
      </c>
      <c r="B214">
        <v>2920.2692999999999</v>
      </c>
      <c r="C214">
        <v>4914.5591000000004</v>
      </c>
      <c r="D214">
        <v>8321.4346999999998</v>
      </c>
      <c r="E214">
        <v>8384.7811999999994</v>
      </c>
      <c r="G214">
        <v>0</v>
      </c>
      <c r="H214">
        <v>0</v>
      </c>
      <c r="I214">
        <v>2881016.4387671235</v>
      </c>
      <c r="J214">
        <v>14310168.410725491</v>
      </c>
      <c r="L214">
        <v>17113537.257881556</v>
      </c>
    </row>
    <row r="215" spans="1:12" x14ac:dyDescent="0.4">
      <c r="A215" s="12">
        <v>46176</v>
      </c>
      <c r="B215">
        <v>2920.9171999999999</v>
      </c>
      <c r="C215">
        <v>4938.8091000000004</v>
      </c>
      <c r="D215">
        <v>8362.1560000000009</v>
      </c>
      <c r="E215">
        <v>8432.6790000000001</v>
      </c>
      <c r="G215">
        <v>0</v>
      </c>
      <c r="H215">
        <v>0</v>
      </c>
      <c r="I215">
        <v>2881016.4387671235</v>
      </c>
      <c r="J215">
        <v>14737888.009154823</v>
      </c>
      <c r="L215">
        <v>17641373.057962131</v>
      </c>
    </row>
    <row r="216" spans="1:12" x14ac:dyDescent="0.4">
      <c r="A216" s="12">
        <v>46177</v>
      </c>
      <c r="B216">
        <v>2891.3488000000002</v>
      </c>
      <c r="C216">
        <v>4904.7453999999998</v>
      </c>
      <c r="D216">
        <v>8356.7443999999996</v>
      </c>
      <c r="E216">
        <v>8420.0946000000004</v>
      </c>
      <c r="G216">
        <v>0</v>
      </c>
      <c r="H216">
        <v>0</v>
      </c>
      <c r="I216">
        <v>2881016.4387671235</v>
      </c>
      <c r="J216">
        <v>14718267.182938123</v>
      </c>
      <c r="L216">
        <v>17618562.543408021</v>
      </c>
    </row>
    <row r="218" spans="1:12" x14ac:dyDescent="0.4">
      <c r="A218" t="s">
        <v>52</v>
      </c>
    </row>
    <row r="219" spans="1:12" x14ac:dyDescent="0.4">
      <c r="A219" s="12"/>
    </row>
    <row r="220" spans="1:12" x14ac:dyDescent="0.4">
      <c r="A220" s="12"/>
    </row>
    <row r="221" spans="1:12" x14ac:dyDescent="0.4">
      <c r="A221" s="12"/>
    </row>
    <row r="222" spans="1:12" x14ac:dyDescent="0.4">
      <c r="A222" s="12"/>
    </row>
    <row r="223" spans="1:12" x14ac:dyDescent="0.4">
      <c r="A223" s="12"/>
    </row>
    <row r="224" spans="1:12" x14ac:dyDescent="0.4">
      <c r="A224" s="12"/>
    </row>
    <row r="225" spans="1:1" x14ac:dyDescent="0.4">
      <c r="A225" s="12"/>
    </row>
    <row r="226" spans="1:1" x14ac:dyDescent="0.4">
      <c r="A226" s="12"/>
    </row>
    <row r="227" spans="1:1" x14ac:dyDescent="0.4">
      <c r="A227" s="12"/>
    </row>
    <row r="228" spans="1:1" x14ac:dyDescent="0.4">
      <c r="A228" s="12"/>
    </row>
    <row r="229" spans="1:1" x14ac:dyDescent="0.4">
      <c r="A229" s="12"/>
    </row>
    <row r="230" spans="1:1" x14ac:dyDescent="0.4">
      <c r="A230" s="12"/>
    </row>
    <row r="231" spans="1:1" x14ac:dyDescent="0.4">
      <c r="A231" s="12"/>
    </row>
    <row r="232" spans="1:1" x14ac:dyDescent="0.4">
      <c r="A232" s="12"/>
    </row>
    <row r="233" spans="1:1" x14ac:dyDescent="0.4">
      <c r="A233" s="12"/>
    </row>
    <row r="234" spans="1:1" x14ac:dyDescent="0.4">
      <c r="A234" s="12"/>
    </row>
    <row r="235" spans="1:1" x14ac:dyDescent="0.4">
      <c r="A235" s="12"/>
    </row>
    <row r="236" spans="1:1" x14ac:dyDescent="0.4">
      <c r="A236" s="12"/>
    </row>
    <row r="237" spans="1:1" x14ac:dyDescent="0.4">
      <c r="A237" s="12"/>
    </row>
    <row r="238" spans="1:1" x14ac:dyDescent="0.4">
      <c r="A238" s="12"/>
    </row>
    <row r="239" spans="1:1" x14ac:dyDescent="0.4">
      <c r="A239" s="12"/>
    </row>
    <row r="240" spans="1:1" x14ac:dyDescent="0.4">
      <c r="A240" s="12"/>
    </row>
    <row r="241" spans="1:1" x14ac:dyDescent="0.4">
      <c r="A241" s="12"/>
    </row>
    <row r="242" spans="1:1" x14ac:dyDescent="0.4">
      <c r="A242" s="12"/>
    </row>
    <row r="243" spans="1:1" x14ac:dyDescent="0.4">
      <c r="A243" s="12"/>
    </row>
    <row r="244" spans="1:1" x14ac:dyDescent="0.4">
      <c r="A244" s="12"/>
    </row>
    <row r="245" spans="1:1" x14ac:dyDescent="0.4">
      <c r="A245" s="12"/>
    </row>
    <row r="246" spans="1:1" x14ac:dyDescent="0.4">
      <c r="A246" s="12"/>
    </row>
    <row r="247" spans="1:1" x14ac:dyDescent="0.4">
      <c r="A247" s="12"/>
    </row>
    <row r="248" spans="1:1" x14ac:dyDescent="0.4">
      <c r="A248" s="12"/>
    </row>
    <row r="249" spans="1:1" x14ac:dyDescent="0.4">
      <c r="A249" s="12"/>
    </row>
    <row r="250" spans="1:1" x14ac:dyDescent="0.4">
      <c r="A250" s="12"/>
    </row>
    <row r="251" spans="1:1" x14ac:dyDescent="0.4">
      <c r="A251" s="12"/>
    </row>
    <row r="252" spans="1:1" x14ac:dyDescent="0.4">
      <c r="A252" s="12"/>
    </row>
    <row r="253" spans="1:1" x14ac:dyDescent="0.4">
      <c r="A253" s="12"/>
    </row>
    <row r="254" spans="1:1" x14ac:dyDescent="0.4">
      <c r="A254" s="12"/>
    </row>
    <row r="255" spans="1:1" x14ac:dyDescent="0.4">
      <c r="A255" s="12"/>
    </row>
    <row r="256" spans="1:1" x14ac:dyDescent="0.4">
      <c r="A256" s="12"/>
    </row>
    <row r="257" spans="1:1" x14ac:dyDescent="0.4">
      <c r="A257" s="12"/>
    </row>
    <row r="258" spans="1:1" x14ac:dyDescent="0.4">
      <c r="A258" s="12"/>
    </row>
    <row r="259" spans="1:1" x14ac:dyDescent="0.4">
      <c r="A259" s="12"/>
    </row>
    <row r="260" spans="1:1" x14ac:dyDescent="0.4">
      <c r="A260" s="12"/>
    </row>
    <row r="261" spans="1:1" x14ac:dyDescent="0.4">
      <c r="A261" s="12"/>
    </row>
    <row r="262" spans="1:1" x14ac:dyDescent="0.4">
      <c r="A262" s="12"/>
    </row>
    <row r="263" spans="1:1" x14ac:dyDescent="0.4">
      <c r="A263" s="12"/>
    </row>
    <row r="264" spans="1:1" x14ac:dyDescent="0.4">
      <c r="A264" s="12"/>
    </row>
    <row r="265" spans="1:1" x14ac:dyDescent="0.4">
      <c r="A265" s="12"/>
    </row>
    <row r="266" spans="1:1" x14ac:dyDescent="0.4">
      <c r="A266" s="12"/>
    </row>
    <row r="267" spans="1:1" x14ac:dyDescent="0.4">
      <c r="A267" s="12"/>
    </row>
    <row r="268" spans="1:1" x14ac:dyDescent="0.4">
      <c r="A268" s="12"/>
    </row>
    <row r="269" spans="1:1" x14ac:dyDescent="0.4">
      <c r="A269" s="12"/>
    </row>
    <row r="270" spans="1:1" x14ac:dyDescent="0.4">
      <c r="A270" s="12"/>
    </row>
    <row r="271" spans="1:1" x14ac:dyDescent="0.4">
      <c r="A271" s="12"/>
    </row>
    <row r="272" spans="1:1" x14ac:dyDescent="0.4">
      <c r="A272" s="12"/>
    </row>
    <row r="273" spans="1:1" x14ac:dyDescent="0.4">
      <c r="A273" s="12"/>
    </row>
    <row r="274" spans="1:1" x14ac:dyDescent="0.4">
      <c r="A274" s="12"/>
    </row>
    <row r="275" spans="1:1" x14ac:dyDescent="0.4">
      <c r="A275" s="12"/>
    </row>
    <row r="276" spans="1:1" x14ac:dyDescent="0.4">
      <c r="A276" s="12"/>
    </row>
    <row r="277" spans="1:1" x14ac:dyDescent="0.4">
      <c r="A277" s="12"/>
    </row>
    <row r="278" spans="1:1" x14ac:dyDescent="0.4">
      <c r="A278" s="12"/>
    </row>
    <row r="279" spans="1:1" x14ac:dyDescent="0.4">
      <c r="A279" s="12"/>
    </row>
    <row r="280" spans="1:1" x14ac:dyDescent="0.4">
      <c r="A280" s="12"/>
    </row>
    <row r="281" spans="1:1" x14ac:dyDescent="0.4">
      <c r="A281" s="12"/>
    </row>
    <row r="282" spans="1:1" x14ac:dyDescent="0.4">
      <c r="A282" s="12"/>
    </row>
    <row r="283" spans="1:1" x14ac:dyDescent="0.4">
      <c r="A283" s="12"/>
    </row>
    <row r="284" spans="1:1" x14ac:dyDescent="0.4">
      <c r="A284" s="12"/>
    </row>
    <row r="285" spans="1:1" x14ac:dyDescent="0.4">
      <c r="A285" s="12"/>
    </row>
    <row r="286" spans="1:1" x14ac:dyDescent="0.4">
      <c r="A286" s="12"/>
    </row>
    <row r="287" spans="1:1" x14ac:dyDescent="0.4">
      <c r="A287" s="12"/>
    </row>
    <row r="288" spans="1:1" x14ac:dyDescent="0.4">
      <c r="A288" s="12"/>
    </row>
    <row r="289" spans="1:1" x14ac:dyDescent="0.4">
      <c r="A289" s="12"/>
    </row>
    <row r="290" spans="1:1" x14ac:dyDescent="0.4">
      <c r="A290" s="12"/>
    </row>
    <row r="291" spans="1:1" x14ac:dyDescent="0.4">
      <c r="A291" s="12"/>
    </row>
    <row r="292" spans="1:1" x14ac:dyDescent="0.4">
      <c r="A292" s="12"/>
    </row>
    <row r="293" spans="1:1" x14ac:dyDescent="0.4">
      <c r="A293" s="12"/>
    </row>
    <row r="294" spans="1:1" x14ac:dyDescent="0.4">
      <c r="A294" s="12"/>
    </row>
    <row r="295" spans="1:1" x14ac:dyDescent="0.4">
      <c r="A295" s="12"/>
    </row>
    <row r="296" spans="1:1" x14ac:dyDescent="0.4">
      <c r="A296" s="12"/>
    </row>
    <row r="297" spans="1:1" x14ac:dyDescent="0.4">
      <c r="A297" s="12"/>
    </row>
    <row r="298" spans="1:1" x14ac:dyDescent="0.4">
      <c r="A298" s="12"/>
    </row>
    <row r="299" spans="1:1" x14ac:dyDescent="0.4">
      <c r="A299" s="12"/>
    </row>
    <row r="300" spans="1:1" x14ac:dyDescent="0.4">
      <c r="A300" s="12"/>
    </row>
    <row r="301" spans="1:1" x14ac:dyDescent="0.4">
      <c r="A301" s="12"/>
    </row>
    <row r="302" spans="1:1" x14ac:dyDescent="0.4">
      <c r="A302" s="12"/>
    </row>
    <row r="303" spans="1:1" x14ac:dyDescent="0.4">
      <c r="A303" s="12"/>
    </row>
    <row r="304" spans="1:1" x14ac:dyDescent="0.4">
      <c r="A304" s="12"/>
    </row>
    <row r="305" spans="1:1" x14ac:dyDescent="0.4">
      <c r="A305" s="12"/>
    </row>
    <row r="306" spans="1:1" x14ac:dyDescent="0.4">
      <c r="A306" s="12"/>
    </row>
    <row r="307" spans="1:1" x14ac:dyDescent="0.4">
      <c r="A307" s="12"/>
    </row>
    <row r="308" spans="1:1" x14ac:dyDescent="0.4">
      <c r="A308" s="12"/>
    </row>
    <row r="309" spans="1:1" x14ac:dyDescent="0.4">
      <c r="A309" s="12"/>
    </row>
    <row r="310" spans="1:1" x14ac:dyDescent="0.4">
      <c r="A310" s="12"/>
    </row>
    <row r="311" spans="1:1" x14ac:dyDescent="0.4">
      <c r="A311" s="12"/>
    </row>
    <row r="312" spans="1:1" x14ac:dyDescent="0.4">
      <c r="A312" s="12"/>
    </row>
    <row r="313" spans="1:1" x14ac:dyDescent="0.4">
      <c r="A313" s="12"/>
    </row>
    <row r="314" spans="1:1" x14ac:dyDescent="0.4">
      <c r="A314" s="12"/>
    </row>
    <row r="315" spans="1:1" x14ac:dyDescent="0.4">
      <c r="A315" s="12"/>
    </row>
    <row r="316" spans="1:1" x14ac:dyDescent="0.4">
      <c r="A316" s="12"/>
    </row>
    <row r="317" spans="1:1" x14ac:dyDescent="0.4">
      <c r="A317" s="12"/>
    </row>
    <row r="318" spans="1:1" x14ac:dyDescent="0.4">
      <c r="A318" s="12"/>
    </row>
    <row r="319" spans="1:1" x14ac:dyDescent="0.4">
      <c r="A319" s="12"/>
    </row>
    <row r="320" spans="1:1" x14ac:dyDescent="0.4">
      <c r="A320" s="12"/>
    </row>
    <row r="321" spans="1:1" x14ac:dyDescent="0.4">
      <c r="A321" s="12"/>
    </row>
    <row r="322" spans="1:1" x14ac:dyDescent="0.4">
      <c r="A322" s="12"/>
    </row>
    <row r="323" spans="1:1" x14ac:dyDescent="0.4">
      <c r="A323" s="12"/>
    </row>
    <row r="324" spans="1:1" x14ac:dyDescent="0.4">
      <c r="A324" s="12"/>
    </row>
    <row r="325" spans="1:1" x14ac:dyDescent="0.4">
      <c r="A325" s="12"/>
    </row>
    <row r="326" spans="1:1" x14ac:dyDescent="0.4">
      <c r="A326" s="12"/>
    </row>
    <row r="327" spans="1:1" x14ac:dyDescent="0.4">
      <c r="A327" s="12"/>
    </row>
    <row r="328" spans="1:1" x14ac:dyDescent="0.4">
      <c r="A328" s="12"/>
    </row>
    <row r="329" spans="1:1" x14ac:dyDescent="0.4">
      <c r="A329" s="12"/>
    </row>
    <row r="330" spans="1:1" x14ac:dyDescent="0.4">
      <c r="A330" s="12"/>
    </row>
    <row r="331" spans="1:1" x14ac:dyDescent="0.4">
      <c r="A331" s="12"/>
    </row>
    <row r="332" spans="1:1" x14ac:dyDescent="0.4">
      <c r="A332" s="12"/>
    </row>
    <row r="333" spans="1:1" x14ac:dyDescent="0.4">
      <c r="A333" s="12"/>
    </row>
    <row r="334" spans="1:1" x14ac:dyDescent="0.4">
      <c r="A334" s="12"/>
    </row>
    <row r="335" spans="1:1" x14ac:dyDescent="0.4">
      <c r="A335" s="12"/>
    </row>
    <row r="336" spans="1:1" x14ac:dyDescent="0.4">
      <c r="A336" s="12"/>
    </row>
    <row r="337" spans="1:1" x14ac:dyDescent="0.4">
      <c r="A337" s="12"/>
    </row>
    <row r="338" spans="1:1" x14ac:dyDescent="0.4">
      <c r="A338" s="12"/>
    </row>
    <row r="339" spans="1:1" x14ac:dyDescent="0.4">
      <c r="A339" s="12"/>
    </row>
    <row r="340" spans="1:1" x14ac:dyDescent="0.4">
      <c r="A340" s="12"/>
    </row>
    <row r="341" spans="1:1" x14ac:dyDescent="0.4">
      <c r="A341" s="12"/>
    </row>
    <row r="342" spans="1:1" x14ac:dyDescent="0.4">
      <c r="A342" s="12"/>
    </row>
    <row r="343" spans="1:1" x14ac:dyDescent="0.4">
      <c r="A343" s="12"/>
    </row>
    <row r="344" spans="1:1" x14ac:dyDescent="0.4">
      <c r="A344" s="12"/>
    </row>
    <row r="345" spans="1:1" x14ac:dyDescent="0.4">
      <c r="A345" s="12"/>
    </row>
    <row r="346" spans="1:1" x14ac:dyDescent="0.4">
      <c r="A346" s="12"/>
    </row>
    <row r="347" spans="1:1" x14ac:dyDescent="0.4">
      <c r="A347" s="12"/>
    </row>
    <row r="348" spans="1:1" x14ac:dyDescent="0.4">
      <c r="A348" s="12"/>
    </row>
    <row r="349" spans="1:1" x14ac:dyDescent="0.4">
      <c r="A349" s="12"/>
    </row>
    <row r="350" spans="1:1" x14ac:dyDescent="0.4">
      <c r="A350" s="12"/>
    </row>
    <row r="351" spans="1:1" x14ac:dyDescent="0.4">
      <c r="A351" s="12"/>
    </row>
    <row r="352" spans="1:1" x14ac:dyDescent="0.4">
      <c r="A352" s="12"/>
    </row>
    <row r="353" spans="1:1" x14ac:dyDescent="0.4">
      <c r="A353" s="12"/>
    </row>
    <row r="354" spans="1:1" x14ac:dyDescent="0.4">
      <c r="A354" s="12"/>
    </row>
    <row r="355" spans="1:1" x14ac:dyDescent="0.4">
      <c r="A355" s="12"/>
    </row>
    <row r="356" spans="1:1" x14ac:dyDescent="0.4">
      <c r="A356" s="12"/>
    </row>
    <row r="357" spans="1:1" x14ac:dyDescent="0.4">
      <c r="A357" s="12"/>
    </row>
    <row r="358" spans="1:1" x14ac:dyDescent="0.4">
      <c r="A358" s="12"/>
    </row>
    <row r="359" spans="1:1" x14ac:dyDescent="0.4">
      <c r="A359" s="12"/>
    </row>
    <row r="360" spans="1:1" x14ac:dyDescent="0.4">
      <c r="A360" s="12"/>
    </row>
    <row r="361" spans="1:1" x14ac:dyDescent="0.4">
      <c r="A361" s="12"/>
    </row>
    <row r="362" spans="1:1" x14ac:dyDescent="0.4">
      <c r="A362" s="12"/>
    </row>
    <row r="363" spans="1:1" x14ac:dyDescent="0.4">
      <c r="A363" s="12"/>
    </row>
    <row r="364" spans="1:1" x14ac:dyDescent="0.4">
      <c r="A364" s="12"/>
    </row>
    <row r="365" spans="1:1" x14ac:dyDescent="0.4">
      <c r="A365" s="12"/>
    </row>
    <row r="366" spans="1:1" x14ac:dyDescent="0.4">
      <c r="A366" s="12"/>
    </row>
    <row r="367" spans="1:1" x14ac:dyDescent="0.4">
      <c r="A367" s="12"/>
    </row>
    <row r="368" spans="1:1" x14ac:dyDescent="0.4">
      <c r="A368" s="12"/>
    </row>
    <row r="369" spans="1:1" x14ac:dyDescent="0.4">
      <c r="A369" s="12"/>
    </row>
    <row r="370" spans="1:1" x14ac:dyDescent="0.4">
      <c r="A370" s="12"/>
    </row>
    <row r="371" spans="1:1" x14ac:dyDescent="0.4">
      <c r="A371" s="12"/>
    </row>
    <row r="372" spans="1:1" x14ac:dyDescent="0.4">
      <c r="A372" s="12"/>
    </row>
    <row r="373" spans="1:1" x14ac:dyDescent="0.4">
      <c r="A373" s="12"/>
    </row>
    <row r="374" spans="1:1" x14ac:dyDescent="0.4">
      <c r="A374" s="12"/>
    </row>
    <row r="375" spans="1:1" x14ac:dyDescent="0.4">
      <c r="A375" s="12"/>
    </row>
    <row r="376" spans="1:1" x14ac:dyDescent="0.4">
      <c r="A376" s="12"/>
    </row>
    <row r="377" spans="1:1" x14ac:dyDescent="0.4">
      <c r="A377" s="12"/>
    </row>
    <row r="378" spans="1:1" x14ac:dyDescent="0.4">
      <c r="A378" s="12"/>
    </row>
    <row r="379" spans="1:1" x14ac:dyDescent="0.4">
      <c r="A379" s="12"/>
    </row>
    <row r="380" spans="1:1" x14ac:dyDescent="0.4">
      <c r="A380" s="12"/>
    </row>
    <row r="381" spans="1:1" x14ac:dyDescent="0.4">
      <c r="A381" s="12"/>
    </row>
    <row r="382" spans="1:1" x14ac:dyDescent="0.4">
      <c r="A382" s="12"/>
    </row>
    <row r="383" spans="1:1" x14ac:dyDescent="0.4">
      <c r="A383" s="12"/>
    </row>
    <row r="384" spans="1:1" x14ac:dyDescent="0.4">
      <c r="A384" s="12"/>
    </row>
    <row r="385" spans="1:1" x14ac:dyDescent="0.4">
      <c r="A385" s="12"/>
    </row>
    <row r="386" spans="1:1" x14ac:dyDescent="0.4">
      <c r="A386" s="12"/>
    </row>
    <row r="387" spans="1:1" x14ac:dyDescent="0.4">
      <c r="A387" s="12"/>
    </row>
    <row r="388" spans="1:1" x14ac:dyDescent="0.4">
      <c r="A388" s="12"/>
    </row>
    <row r="389" spans="1:1" x14ac:dyDescent="0.4">
      <c r="A389" s="12"/>
    </row>
    <row r="390" spans="1:1" x14ac:dyDescent="0.4">
      <c r="A390" s="12"/>
    </row>
    <row r="391" spans="1:1" x14ac:dyDescent="0.4">
      <c r="A391" s="12"/>
    </row>
    <row r="392" spans="1:1" x14ac:dyDescent="0.4">
      <c r="A392" s="12"/>
    </row>
    <row r="393" spans="1:1" x14ac:dyDescent="0.4">
      <c r="A393" s="12"/>
    </row>
    <row r="394" spans="1:1" x14ac:dyDescent="0.4">
      <c r="A394" s="12"/>
    </row>
    <row r="395" spans="1:1" x14ac:dyDescent="0.4">
      <c r="A395" s="12"/>
    </row>
    <row r="396" spans="1:1" x14ac:dyDescent="0.4">
      <c r="A396" s="12"/>
    </row>
    <row r="397" spans="1:1" x14ac:dyDescent="0.4">
      <c r="A397" s="12"/>
    </row>
    <row r="398" spans="1:1" x14ac:dyDescent="0.4">
      <c r="A398" s="12"/>
    </row>
    <row r="399" spans="1:1" x14ac:dyDescent="0.4">
      <c r="A399" s="12"/>
    </row>
    <row r="400" spans="1:1" x14ac:dyDescent="0.4">
      <c r="A400" s="12"/>
    </row>
    <row r="401" spans="1:1" x14ac:dyDescent="0.4">
      <c r="A401" s="12"/>
    </row>
    <row r="402" spans="1:1" x14ac:dyDescent="0.4">
      <c r="A402" s="12"/>
    </row>
    <row r="403" spans="1:1" x14ac:dyDescent="0.4">
      <c r="A403" s="12"/>
    </row>
    <row r="404" spans="1:1" x14ac:dyDescent="0.4">
      <c r="A404" s="12"/>
    </row>
    <row r="405" spans="1:1" x14ac:dyDescent="0.4">
      <c r="A405" s="12"/>
    </row>
    <row r="406" spans="1:1" x14ac:dyDescent="0.4">
      <c r="A406" s="12"/>
    </row>
    <row r="407" spans="1:1" x14ac:dyDescent="0.4">
      <c r="A407" s="12"/>
    </row>
    <row r="408" spans="1:1" x14ac:dyDescent="0.4">
      <c r="A408" s="12"/>
    </row>
    <row r="409" spans="1:1" x14ac:dyDescent="0.4">
      <c r="A409" s="12"/>
    </row>
    <row r="410" spans="1:1" x14ac:dyDescent="0.4">
      <c r="A410" s="12"/>
    </row>
    <row r="411" spans="1:1" x14ac:dyDescent="0.4">
      <c r="A411" s="12"/>
    </row>
    <row r="412" spans="1:1" x14ac:dyDescent="0.4">
      <c r="A412" s="12"/>
    </row>
    <row r="413" spans="1:1" x14ac:dyDescent="0.4">
      <c r="A413" s="12"/>
    </row>
    <row r="414" spans="1:1" x14ac:dyDescent="0.4">
      <c r="A414" s="12"/>
    </row>
    <row r="415" spans="1:1" x14ac:dyDescent="0.4">
      <c r="A415" s="12"/>
    </row>
    <row r="416" spans="1:1" x14ac:dyDescent="0.4">
      <c r="A416" s="12"/>
    </row>
    <row r="417" spans="1:1" x14ac:dyDescent="0.4">
      <c r="A417" s="12"/>
    </row>
    <row r="418" spans="1:1" x14ac:dyDescent="0.4">
      <c r="A418" s="12"/>
    </row>
    <row r="419" spans="1:1" x14ac:dyDescent="0.4">
      <c r="A419" s="12"/>
    </row>
    <row r="420" spans="1:1" x14ac:dyDescent="0.4">
      <c r="A420" s="12"/>
    </row>
    <row r="421" spans="1:1" x14ac:dyDescent="0.4">
      <c r="A421" s="12"/>
    </row>
    <row r="422" spans="1:1" x14ac:dyDescent="0.4">
      <c r="A422" s="12"/>
    </row>
    <row r="423" spans="1:1" x14ac:dyDescent="0.4">
      <c r="A423" s="12"/>
    </row>
    <row r="424" spans="1:1" x14ac:dyDescent="0.4">
      <c r="A424" s="12"/>
    </row>
    <row r="425" spans="1:1" x14ac:dyDescent="0.4">
      <c r="A425" s="12"/>
    </row>
    <row r="426" spans="1:1" x14ac:dyDescent="0.4">
      <c r="A426" s="12"/>
    </row>
    <row r="427" spans="1:1" x14ac:dyDescent="0.4">
      <c r="A427" s="12"/>
    </row>
    <row r="428" spans="1:1" x14ac:dyDescent="0.4">
      <c r="A428" s="12"/>
    </row>
    <row r="429" spans="1:1" x14ac:dyDescent="0.4">
      <c r="A429" s="12"/>
    </row>
    <row r="430" spans="1:1" x14ac:dyDescent="0.4">
      <c r="A430" s="12"/>
    </row>
    <row r="431" spans="1:1" x14ac:dyDescent="0.4">
      <c r="A431" s="12"/>
    </row>
    <row r="432" spans="1:1" x14ac:dyDescent="0.4">
      <c r="A432" s="12"/>
    </row>
    <row r="433" spans="1:1" x14ac:dyDescent="0.4">
      <c r="A433" s="12"/>
    </row>
    <row r="434" spans="1:1" x14ac:dyDescent="0.4">
      <c r="A434" s="12"/>
    </row>
    <row r="435" spans="1:1" x14ac:dyDescent="0.4">
      <c r="A435" s="12"/>
    </row>
    <row r="436" spans="1:1" x14ac:dyDescent="0.4">
      <c r="A436" s="12"/>
    </row>
    <row r="437" spans="1:1" x14ac:dyDescent="0.4">
      <c r="A437" s="12"/>
    </row>
    <row r="438" spans="1:1" x14ac:dyDescent="0.4">
      <c r="A438" s="12"/>
    </row>
    <row r="439" spans="1:1" x14ac:dyDescent="0.4">
      <c r="A439" s="12"/>
    </row>
    <row r="440" spans="1:1" x14ac:dyDescent="0.4">
      <c r="A440" s="12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B63E-CAF0-4BFD-A026-28DB8344F248}">
  <dimension ref="A1:D7"/>
  <sheetViews>
    <sheetView workbookViewId="0">
      <selection activeCell="K21" sqref="K21"/>
    </sheetView>
  </sheetViews>
  <sheetFormatPr defaultRowHeight="13.9" x14ac:dyDescent="0.4"/>
  <cols>
    <col min="1" max="1" width="16.265625" style="32" customWidth="1"/>
    <col min="2" max="4" width="15" style="32" customWidth="1"/>
    <col min="6" max="8" width="16.1328125" customWidth="1"/>
  </cols>
  <sheetData>
    <row r="1" spans="1:4" x14ac:dyDescent="0.4">
      <c r="A1" s="32" t="s">
        <v>72</v>
      </c>
    </row>
    <row r="2" spans="1:4" x14ac:dyDescent="0.4">
      <c r="A2" s="110"/>
      <c r="B2" s="110" t="s">
        <v>93</v>
      </c>
      <c r="C2" s="111" t="s">
        <v>107</v>
      </c>
      <c r="D2" s="111" t="s">
        <v>94</v>
      </c>
    </row>
    <row r="3" spans="1:4" x14ac:dyDescent="0.4">
      <c r="A3" s="110" t="s">
        <v>106</v>
      </c>
      <c r="B3" s="63">
        <v>14056408.556310903</v>
      </c>
      <c r="C3" s="63">
        <v>14056408.556310903</v>
      </c>
      <c r="D3" s="63">
        <v>14056408.556310903</v>
      </c>
    </row>
    <row r="4" spans="1:4" x14ac:dyDescent="0.4">
      <c r="A4" s="112">
        <v>46226.625</v>
      </c>
      <c r="B4" s="113">
        <v>-4421687.6437770762</v>
      </c>
      <c r="C4" s="113">
        <v>21089486.376588304</v>
      </c>
      <c r="D4" s="113">
        <v>23035497.938747726</v>
      </c>
    </row>
    <row r="5" spans="1:4" x14ac:dyDescent="0.4">
      <c r="A5" s="112">
        <v>46316.625</v>
      </c>
      <c r="B5" s="63">
        <v>186715.08171742922</v>
      </c>
      <c r="C5" s="63">
        <v>28749316.888915177</v>
      </c>
      <c r="D5" s="63">
        <v>31448878.061314959</v>
      </c>
    </row>
    <row r="6" spans="1:4" x14ac:dyDescent="0.4">
      <c r="A6" s="112">
        <v>46406.625</v>
      </c>
      <c r="B6" s="113">
        <v>5515937.0071913358</v>
      </c>
      <c r="C6" s="113">
        <v>26385042.474364571</v>
      </c>
      <c r="D6" s="113">
        <v>30418136.073287264</v>
      </c>
    </row>
    <row r="7" spans="1:4" x14ac:dyDescent="0.4">
      <c r="A7" s="112">
        <v>46470.589549421296</v>
      </c>
      <c r="B7" s="63">
        <v>12668890.148037024</v>
      </c>
      <c r="C7" s="63">
        <v>21654655.958760813</v>
      </c>
      <c r="D7" s="63">
        <v>21444355.033728257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合约状态</vt:lpstr>
      <vt:lpstr>实时行情</vt:lpstr>
      <vt:lpstr>了结合约</vt:lpstr>
      <vt:lpstr>历史行情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 Song</dc:creator>
  <cp:lastModifiedBy>Zhi Shen</cp:lastModifiedBy>
  <dcterms:created xsi:type="dcterms:W3CDTF">2025-12-08T07:20:37Z</dcterms:created>
  <dcterms:modified xsi:type="dcterms:W3CDTF">2026-06-05T03:07:53Z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52C6BD94-239B-4F20-9E35-B14AAFB22769</vt:lpwstr>
  </property>
</Properties>
</file>